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 activeTab="5"/>
  </bookViews>
  <sheets>
    <sheet name="Hoja4" sheetId="4" r:id="rId1"/>
    <sheet name="Hoja1" sheetId="1" r:id="rId2"/>
    <sheet name="Hoja2" sheetId="2" r:id="rId3"/>
    <sheet name="Paises" sheetId="3" r:id="rId4"/>
    <sheet name="Matriz" sheetId="5" r:id="rId5"/>
    <sheet name="Hoja3" sheetId="6" r:id="rId6"/>
  </sheets>
  <definedNames>
    <definedName name="_xlnm._FilterDatabase" localSheetId="1" hidden="1">Hoja1!$A$1:$O$747</definedName>
  </definedNames>
  <calcPr calcId="145621"/>
  <pivotCaches>
    <pivotCache cacheId="0" r:id="rId7"/>
    <pivotCache cacheId="1" r:id="rId8"/>
    <pivotCache cacheId="2" r:id="rId9"/>
    <pivotCache cacheId="3" r:id="rId10"/>
  </pivotCaches>
</workbook>
</file>

<file path=xl/calcChain.xml><?xml version="1.0" encoding="utf-8"?>
<calcChain xmlns="http://schemas.openxmlformats.org/spreadsheetml/2006/main">
  <c r="F747" i="6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2" i="6"/>
  <c r="E747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2" i="6"/>
  <c r="P108" i="5" l="1"/>
  <c r="E111" i="5"/>
  <c r="D111" i="5"/>
  <c r="C105" i="5"/>
  <c r="AK79" i="5"/>
  <c r="AJ79" i="5"/>
  <c r="P119" i="5" s="1"/>
  <c r="AJ78" i="5"/>
  <c r="AI79" i="5"/>
  <c r="O119" i="5" s="1"/>
  <c r="AI78" i="5"/>
  <c r="O118" i="5" s="1"/>
  <c r="AI77" i="5"/>
  <c r="O117" i="5" s="1"/>
  <c r="AH79" i="5"/>
  <c r="AH78" i="5"/>
  <c r="AH77" i="5"/>
  <c r="AH76" i="5"/>
  <c r="AG79" i="5"/>
  <c r="AG78" i="5"/>
  <c r="M118" i="5" s="1"/>
  <c r="AG77" i="5"/>
  <c r="AG76" i="5"/>
  <c r="M116" i="5" s="1"/>
  <c r="AG75" i="5"/>
  <c r="AF79" i="5"/>
  <c r="AF78" i="5"/>
  <c r="AF77" i="5"/>
  <c r="AF76" i="5"/>
  <c r="L116" i="5" s="1"/>
  <c r="AF75" i="5"/>
  <c r="AF74" i="5"/>
  <c r="AE79" i="5"/>
  <c r="K119" i="5" s="1"/>
  <c r="AE78" i="5"/>
  <c r="AE77" i="5"/>
  <c r="AE76" i="5"/>
  <c r="AE75" i="5"/>
  <c r="K115" i="5" s="1"/>
  <c r="AE74" i="5"/>
  <c r="AE73" i="5"/>
  <c r="AD79" i="5"/>
  <c r="AD78" i="5"/>
  <c r="AD77" i="5"/>
  <c r="AD76" i="5"/>
  <c r="AD75" i="5"/>
  <c r="AD74" i="5"/>
  <c r="AD73" i="5"/>
  <c r="J113" i="5" s="1"/>
  <c r="AD72" i="5"/>
  <c r="AC79" i="5"/>
  <c r="I119" i="5" s="1"/>
  <c r="AC78" i="5"/>
  <c r="AC77" i="5"/>
  <c r="AC76" i="5"/>
  <c r="AC75" i="5"/>
  <c r="I115" i="5" s="1"/>
  <c r="AC74" i="5"/>
  <c r="AC73" i="5"/>
  <c r="AC72" i="5"/>
  <c r="AC71" i="5"/>
  <c r="I111" i="5" s="1"/>
  <c r="AB79" i="5"/>
  <c r="H119" i="5" s="1"/>
  <c r="AB78" i="5"/>
  <c r="AB77" i="5"/>
  <c r="AB76" i="5"/>
  <c r="AB75" i="5"/>
  <c r="H115" i="5" s="1"/>
  <c r="AB74" i="5"/>
  <c r="AB73" i="5"/>
  <c r="AB72" i="5"/>
  <c r="AB71" i="5"/>
  <c r="H111" i="5" s="1"/>
  <c r="AB70" i="5"/>
  <c r="AA79" i="5"/>
  <c r="AA78" i="5"/>
  <c r="AA77" i="5"/>
  <c r="AA76" i="5"/>
  <c r="AA75" i="5"/>
  <c r="AA74" i="5"/>
  <c r="AA73" i="5"/>
  <c r="G113" i="5" s="1"/>
  <c r="AA72" i="5"/>
  <c r="AA71" i="5"/>
  <c r="G111" i="5" s="1"/>
  <c r="AA70" i="5"/>
  <c r="AA69" i="5"/>
  <c r="Z79" i="5"/>
  <c r="Z78" i="5"/>
  <c r="Z77" i="5"/>
  <c r="Z76" i="5"/>
  <c r="Z75" i="5"/>
  <c r="Z74" i="5"/>
  <c r="Z73" i="5"/>
  <c r="Z72" i="5"/>
  <c r="Z71" i="5"/>
  <c r="Z70" i="5"/>
  <c r="F110" i="5" s="1"/>
  <c r="Z69" i="5"/>
  <c r="Z68" i="5"/>
  <c r="Y79" i="5"/>
  <c r="E119" i="5" s="1"/>
  <c r="Y78" i="5"/>
  <c r="Y77" i="5"/>
  <c r="Y76" i="5"/>
  <c r="Y75" i="5"/>
  <c r="Y74" i="5"/>
  <c r="Y73" i="5"/>
  <c r="E113" i="5" s="1"/>
  <c r="Y72" i="5"/>
  <c r="Y71" i="5"/>
  <c r="Y70" i="5"/>
  <c r="Y69" i="5"/>
  <c r="Y68" i="5"/>
  <c r="E108" i="5" s="1"/>
  <c r="Y67" i="5"/>
  <c r="X79" i="5"/>
  <c r="X78" i="5"/>
  <c r="X77" i="5"/>
  <c r="X76" i="5"/>
  <c r="X75" i="5"/>
  <c r="X74" i="5"/>
  <c r="X73" i="5"/>
  <c r="X72" i="5"/>
  <c r="X71" i="5"/>
  <c r="X70" i="5"/>
  <c r="X69" i="5"/>
  <c r="X68" i="5"/>
  <c r="D108" i="5" s="1"/>
  <c r="X67" i="5"/>
  <c r="X66" i="5"/>
  <c r="W79" i="5"/>
  <c r="W78" i="5"/>
  <c r="W77" i="5"/>
  <c r="W76" i="5"/>
  <c r="W75" i="5"/>
  <c r="W74" i="5"/>
  <c r="W73" i="5"/>
  <c r="W72" i="5"/>
  <c r="W71" i="5"/>
  <c r="W70" i="5"/>
  <c r="C110" i="5" s="1"/>
  <c r="W69" i="5"/>
  <c r="W68" i="5"/>
  <c r="C108" i="5" s="1"/>
  <c r="W67" i="5"/>
  <c r="W66" i="5"/>
  <c r="W65" i="5"/>
  <c r="D104" i="5"/>
  <c r="R104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C106" i="5"/>
  <c r="D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C107" i="5"/>
  <c r="D107" i="5"/>
  <c r="E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F108" i="5"/>
  <c r="H108" i="5"/>
  <c r="I108" i="5"/>
  <c r="J108" i="5"/>
  <c r="K108" i="5"/>
  <c r="L108" i="5"/>
  <c r="M108" i="5"/>
  <c r="N108" i="5"/>
  <c r="O108" i="5"/>
  <c r="Q108" i="5"/>
  <c r="R108" i="5"/>
  <c r="C109" i="5"/>
  <c r="D109" i="5"/>
  <c r="E109" i="5"/>
  <c r="F109" i="5"/>
  <c r="G109" i="5"/>
  <c r="I109" i="5"/>
  <c r="J109" i="5"/>
  <c r="K109" i="5"/>
  <c r="L109" i="5"/>
  <c r="M109" i="5"/>
  <c r="N109" i="5"/>
  <c r="O109" i="5"/>
  <c r="P109" i="5"/>
  <c r="Q109" i="5"/>
  <c r="R109" i="5"/>
  <c r="D110" i="5"/>
  <c r="E110" i="5"/>
  <c r="G110" i="5"/>
  <c r="H110" i="5"/>
  <c r="J110" i="5"/>
  <c r="K110" i="5"/>
  <c r="L110" i="5"/>
  <c r="M110" i="5"/>
  <c r="N110" i="5"/>
  <c r="O110" i="5"/>
  <c r="P110" i="5"/>
  <c r="Q110" i="5"/>
  <c r="R110" i="5"/>
  <c r="C111" i="5"/>
  <c r="F111" i="5"/>
  <c r="K111" i="5"/>
  <c r="L111" i="5"/>
  <c r="M111" i="5"/>
  <c r="N111" i="5"/>
  <c r="O111" i="5"/>
  <c r="P111" i="5"/>
  <c r="Q111" i="5"/>
  <c r="R111" i="5"/>
  <c r="C112" i="5"/>
  <c r="D112" i="5"/>
  <c r="E112" i="5"/>
  <c r="F112" i="5"/>
  <c r="G112" i="5"/>
  <c r="H112" i="5"/>
  <c r="I112" i="5"/>
  <c r="J112" i="5"/>
  <c r="L112" i="5"/>
  <c r="M112" i="5"/>
  <c r="N112" i="5"/>
  <c r="O112" i="5"/>
  <c r="P112" i="5"/>
  <c r="Q112" i="5"/>
  <c r="R112" i="5"/>
  <c r="C113" i="5"/>
  <c r="D113" i="5"/>
  <c r="F113" i="5"/>
  <c r="H113" i="5"/>
  <c r="I113" i="5"/>
  <c r="K113" i="5"/>
  <c r="M113" i="5"/>
  <c r="N113" i="5"/>
  <c r="O113" i="5"/>
  <c r="P113" i="5"/>
  <c r="Q113" i="5"/>
  <c r="R113" i="5"/>
  <c r="C114" i="5"/>
  <c r="D114" i="5"/>
  <c r="E114" i="5"/>
  <c r="F114" i="5"/>
  <c r="G114" i="5"/>
  <c r="H114" i="5"/>
  <c r="I114" i="5"/>
  <c r="J114" i="5"/>
  <c r="K114" i="5"/>
  <c r="L114" i="5"/>
  <c r="N114" i="5"/>
  <c r="O114" i="5"/>
  <c r="P114" i="5"/>
  <c r="Q114" i="5"/>
  <c r="R114" i="5"/>
  <c r="C115" i="5"/>
  <c r="D115" i="5"/>
  <c r="E115" i="5"/>
  <c r="F115" i="5"/>
  <c r="G115" i="5"/>
  <c r="J115" i="5"/>
  <c r="L115" i="5"/>
  <c r="M115" i="5"/>
  <c r="O115" i="5"/>
  <c r="P115" i="5"/>
  <c r="Q115" i="5"/>
  <c r="R115" i="5"/>
  <c r="C116" i="5"/>
  <c r="D116" i="5"/>
  <c r="E116" i="5"/>
  <c r="F116" i="5"/>
  <c r="G116" i="5"/>
  <c r="H116" i="5"/>
  <c r="I116" i="5"/>
  <c r="J116" i="5"/>
  <c r="K116" i="5"/>
  <c r="N116" i="5"/>
  <c r="P116" i="5"/>
  <c r="Q116" i="5"/>
  <c r="R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Q117" i="5"/>
  <c r="R117" i="5"/>
  <c r="C118" i="5"/>
  <c r="D118" i="5"/>
  <c r="E118" i="5"/>
  <c r="F118" i="5"/>
  <c r="G118" i="5"/>
  <c r="H118" i="5"/>
  <c r="I118" i="5"/>
  <c r="J118" i="5"/>
  <c r="K118" i="5"/>
  <c r="L118" i="5"/>
  <c r="N118" i="5"/>
  <c r="P118" i="5"/>
  <c r="R118" i="5"/>
  <c r="C119" i="5"/>
  <c r="D119" i="5"/>
  <c r="F119" i="5"/>
  <c r="G119" i="5"/>
  <c r="J119" i="5"/>
  <c r="L119" i="5"/>
  <c r="M119" i="5"/>
  <c r="N119" i="5"/>
  <c r="Q119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AL78" i="5"/>
  <c r="AL77" i="5"/>
  <c r="AK77" i="5"/>
  <c r="AK76" i="5"/>
  <c r="AL76" i="5"/>
  <c r="AJ76" i="5"/>
  <c r="AJ75" i="5"/>
  <c r="AK75" i="5"/>
  <c r="AL75" i="5"/>
  <c r="AI75" i="5"/>
  <c r="AI74" i="5"/>
  <c r="AJ74" i="5"/>
  <c r="AK74" i="5"/>
  <c r="AL74" i="5"/>
  <c r="AH74" i="5"/>
  <c r="AH73" i="5"/>
  <c r="AI73" i="5"/>
  <c r="AJ73" i="5"/>
  <c r="AK73" i="5"/>
  <c r="AL73" i="5"/>
  <c r="AG73" i="5"/>
  <c r="AG72" i="5"/>
  <c r="AH72" i="5"/>
  <c r="AI72" i="5"/>
  <c r="AJ72" i="5"/>
  <c r="AK72" i="5"/>
  <c r="AL72" i="5"/>
  <c r="AF72" i="5"/>
  <c r="AF71" i="5"/>
  <c r="AG71" i="5"/>
  <c r="AH71" i="5"/>
  <c r="AI71" i="5"/>
  <c r="AJ71" i="5"/>
  <c r="AK71" i="5"/>
  <c r="AL71" i="5"/>
  <c r="AE71" i="5"/>
  <c r="AE70" i="5"/>
  <c r="AF70" i="5"/>
  <c r="AG70" i="5"/>
  <c r="AH70" i="5"/>
  <c r="AI70" i="5"/>
  <c r="AJ70" i="5"/>
  <c r="AK70" i="5"/>
  <c r="AL70" i="5"/>
  <c r="AD70" i="5"/>
  <c r="AD69" i="5"/>
  <c r="AE69" i="5"/>
  <c r="AF69" i="5"/>
  <c r="AG69" i="5"/>
  <c r="AH69" i="5"/>
  <c r="AI69" i="5"/>
  <c r="AJ69" i="5"/>
  <c r="AK69" i="5"/>
  <c r="AL69" i="5"/>
  <c r="AC69" i="5"/>
  <c r="AC68" i="5"/>
  <c r="AD68" i="5"/>
  <c r="AE68" i="5"/>
  <c r="AF68" i="5"/>
  <c r="AG68" i="5"/>
  <c r="AH68" i="5"/>
  <c r="AI68" i="5"/>
  <c r="AJ68" i="5"/>
  <c r="AK68" i="5"/>
  <c r="AL68" i="5"/>
  <c r="AB68" i="5"/>
  <c r="AB67" i="5"/>
  <c r="AC67" i="5"/>
  <c r="AD67" i="5"/>
  <c r="AE67" i="5"/>
  <c r="AF67" i="5"/>
  <c r="AG67" i="5"/>
  <c r="AH67" i="5"/>
  <c r="AI67" i="5"/>
  <c r="AJ67" i="5"/>
  <c r="AK67" i="5"/>
  <c r="AL67" i="5"/>
  <c r="AA67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Z66" i="5"/>
  <c r="Y65" i="5"/>
  <c r="X64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K85" i="5"/>
  <c r="K86" i="5"/>
  <c r="L86" i="5"/>
  <c r="J87" i="5"/>
  <c r="K87" i="5"/>
  <c r="L87" i="5"/>
  <c r="K88" i="5"/>
  <c r="L88" i="5"/>
  <c r="I89" i="5"/>
  <c r="K89" i="5"/>
  <c r="L89" i="5"/>
  <c r="O89" i="5"/>
  <c r="P89" i="5"/>
  <c r="R89" i="5"/>
  <c r="H90" i="5"/>
  <c r="J90" i="5"/>
  <c r="K90" i="5"/>
  <c r="L90" i="5"/>
  <c r="C91" i="5"/>
  <c r="F91" i="5"/>
  <c r="I91" i="5"/>
  <c r="K91" i="5"/>
  <c r="L91" i="5"/>
  <c r="M91" i="5"/>
  <c r="N91" i="5"/>
  <c r="O91" i="5"/>
  <c r="P91" i="5"/>
  <c r="R91" i="5"/>
  <c r="D92" i="5"/>
  <c r="E92" i="5"/>
  <c r="F92" i="5"/>
  <c r="G92" i="5"/>
  <c r="H92" i="5"/>
  <c r="I92" i="5"/>
  <c r="J92" i="5"/>
  <c r="L92" i="5"/>
  <c r="M92" i="5"/>
  <c r="O92" i="5"/>
  <c r="P92" i="5"/>
  <c r="R92" i="5"/>
  <c r="C93" i="5"/>
  <c r="E93" i="5"/>
  <c r="F93" i="5"/>
  <c r="G93" i="5"/>
  <c r="H93" i="5"/>
  <c r="I93" i="5"/>
  <c r="J93" i="5"/>
  <c r="K93" i="5"/>
  <c r="M93" i="5"/>
  <c r="P93" i="5"/>
  <c r="Q93" i="5"/>
  <c r="R93" i="5"/>
  <c r="J94" i="5"/>
  <c r="K94" i="5"/>
  <c r="L94" i="5"/>
  <c r="J95" i="5"/>
  <c r="H96" i="5"/>
  <c r="J96" i="5"/>
  <c r="K96" i="5"/>
  <c r="P96" i="5"/>
  <c r="H97" i="5"/>
  <c r="J97" i="5"/>
  <c r="K97" i="5"/>
  <c r="L97" i="5"/>
  <c r="O97" i="5"/>
  <c r="L98" i="5"/>
  <c r="H99" i="5"/>
  <c r="J99" i="5"/>
  <c r="K99" i="5"/>
  <c r="L99" i="5"/>
  <c r="J84" i="5"/>
  <c r="L84" i="5"/>
  <c r="K65" i="5"/>
  <c r="K66" i="5"/>
  <c r="L66" i="5"/>
  <c r="J67" i="5"/>
  <c r="K67" i="5"/>
  <c r="L67" i="5"/>
  <c r="K68" i="5"/>
  <c r="L68" i="5"/>
  <c r="I69" i="5"/>
  <c r="K69" i="5"/>
  <c r="L69" i="5"/>
  <c r="O69" i="5"/>
  <c r="P69" i="5"/>
  <c r="R69" i="5"/>
  <c r="H70" i="5"/>
  <c r="J70" i="5"/>
  <c r="K70" i="5"/>
  <c r="L70" i="5"/>
  <c r="F71" i="5"/>
  <c r="I71" i="5"/>
  <c r="K71" i="5"/>
  <c r="L71" i="5"/>
  <c r="M71" i="5"/>
  <c r="N71" i="5"/>
  <c r="O71" i="5"/>
  <c r="P71" i="5"/>
  <c r="R71" i="5"/>
  <c r="D72" i="5"/>
  <c r="E72" i="5"/>
  <c r="F72" i="5"/>
  <c r="G72" i="5"/>
  <c r="H72" i="5"/>
  <c r="I72" i="5"/>
  <c r="J72" i="5"/>
  <c r="L72" i="5"/>
  <c r="M72" i="5"/>
  <c r="O72" i="5"/>
  <c r="P72" i="5"/>
  <c r="R72" i="5"/>
  <c r="E73" i="5"/>
  <c r="F73" i="5"/>
  <c r="G73" i="5"/>
  <c r="H73" i="5"/>
  <c r="I73" i="5"/>
  <c r="J73" i="5"/>
  <c r="K73" i="5"/>
  <c r="M73" i="5"/>
  <c r="P73" i="5"/>
  <c r="Q73" i="5"/>
  <c r="R73" i="5"/>
  <c r="J74" i="5"/>
  <c r="K74" i="5"/>
  <c r="L74" i="5"/>
  <c r="J75" i="5"/>
  <c r="H76" i="5"/>
  <c r="J76" i="5"/>
  <c r="K76" i="5"/>
  <c r="P76" i="5"/>
  <c r="H77" i="5"/>
  <c r="J77" i="5"/>
  <c r="K77" i="5"/>
  <c r="L77" i="5"/>
  <c r="O77" i="5"/>
  <c r="L78" i="5"/>
  <c r="H79" i="5"/>
  <c r="J79" i="5"/>
  <c r="K79" i="5"/>
  <c r="L79" i="5"/>
  <c r="C71" i="5"/>
  <c r="C73" i="5"/>
  <c r="J64" i="5"/>
  <c r="AD64" i="5" s="1"/>
  <c r="L64" i="5"/>
  <c r="AF64" i="5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2" i="1"/>
  <c r="S11" i="5"/>
  <c r="S12" i="5"/>
  <c r="S13" i="5"/>
  <c r="S17" i="5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2" i="1"/>
  <c r="K55" i="5"/>
  <c r="K58" i="5"/>
  <c r="L55" i="5"/>
  <c r="L56" i="5"/>
  <c r="E50" i="5"/>
  <c r="M50" i="5"/>
  <c r="E55" i="5"/>
  <c r="M55" i="5"/>
  <c r="E56" i="5"/>
  <c r="M56" i="5"/>
  <c r="E58" i="5"/>
  <c r="M58" i="5"/>
  <c r="E59" i="5"/>
  <c r="M59" i="5"/>
  <c r="N50" i="5"/>
  <c r="O50" i="5"/>
  <c r="O55" i="5"/>
  <c r="P50" i="5"/>
  <c r="H54" i="5"/>
  <c r="P54" i="5"/>
  <c r="H55" i="5"/>
  <c r="P55" i="5"/>
  <c r="H58" i="5"/>
  <c r="P58" i="5"/>
  <c r="P59" i="5"/>
  <c r="Q50" i="5"/>
  <c r="Q55" i="5"/>
  <c r="Q56" i="5"/>
  <c r="R50" i="5"/>
  <c r="R55" i="5"/>
  <c r="R56" i="5"/>
  <c r="J58" i="5"/>
  <c r="R58" i="5"/>
  <c r="J49" i="5"/>
  <c r="H48" i="5"/>
  <c r="E48" i="5"/>
  <c r="M48" i="5"/>
  <c r="N48" i="5"/>
  <c r="O48" i="5"/>
  <c r="P48" i="5"/>
  <c r="I48" i="5"/>
  <c r="Q48" i="5"/>
  <c r="J48" i="5"/>
  <c r="R48" i="5"/>
  <c r="E47" i="5"/>
  <c r="M47" i="5"/>
  <c r="N47" i="5"/>
  <c r="G47" i="5"/>
  <c r="O47" i="5"/>
  <c r="H47" i="5"/>
  <c r="P47" i="5"/>
  <c r="I47" i="5"/>
  <c r="Q47" i="5"/>
  <c r="R47" i="5"/>
  <c r="M46" i="5"/>
  <c r="H46" i="5"/>
  <c r="P46" i="5"/>
  <c r="J46" i="5"/>
  <c r="L45" i="5"/>
  <c r="E45" i="5"/>
  <c r="M45" i="5"/>
  <c r="F45" i="5"/>
  <c r="N45" i="5"/>
  <c r="G45" i="5"/>
  <c r="O45" i="5"/>
  <c r="H45" i="5"/>
  <c r="P45" i="5"/>
  <c r="I45" i="5"/>
  <c r="Q45" i="5"/>
  <c r="J45" i="5"/>
  <c r="R45" i="5"/>
  <c r="E44" i="5"/>
  <c r="M44" i="5"/>
  <c r="F44" i="5"/>
  <c r="N44" i="5"/>
  <c r="G44" i="5"/>
  <c r="O44" i="5"/>
  <c r="H44" i="5"/>
  <c r="P44" i="5"/>
  <c r="I44" i="5"/>
  <c r="Q44" i="5"/>
  <c r="R44" i="5"/>
  <c r="K44" i="5"/>
  <c r="D44" i="5"/>
  <c r="D39" i="5"/>
  <c r="F39" i="5"/>
  <c r="N39" i="5"/>
  <c r="G39" i="5"/>
  <c r="O39" i="5"/>
  <c r="I39" i="5"/>
  <c r="Q39" i="5"/>
  <c r="C39" i="5"/>
  <c r="D38" i="5"/>
  <c r="F38" i="5"/>
  <c r="N38" i="5"/>
  <c r="G38" i="5"/>
  <c r="O38" i="5"/>
  <c r="I38" i="5"/>
  <c r="C38" i="5"/>
  <c r="D37" i="5"/>
  <c r="E37" i="5"/>
  <c r="M37" i="5"/>
  <c r="F37" i="5"/>
  <c r="N37" i="5"/>
  <c r="G37" i="5"/>
  <c r="I37" i="5"/>
  <c r="Q37" i="5"/>
  <c r="R37" i="5"/>
  <c r="C37" i="5"/>
  <c r="D36" i="5"/>
  <c r="F36" i="5"/>
  <c r="N36" i="5"/>
  <c r="G36" i="5"/>
  <c r="I36" i="5"/>
  <c r="C36" i="5"/>
  <c r="D35" i="5"/>
  <c r="F35" i="5"/>
  <c r="G35" i="5"/>
  <c r="I35" i="5"/>
  <c r="C35" i="5"/>
  <c r="D34" i="5"/>
  <c r="E34" i="5"/>
  <c r="F34" i="5"/>
  <c r="N34" i="5"/>
  <c r="G34" i="5"/>
  <c r="O34" i="5"/>
  <c r="I34" i="5"/>
  <c r="Q34" i="5"/>
  <c r="R34" i="5"/>
  <c r="C34" i="5"/>
  <c r="D33" i="5"/>
  <c r="N33" i="5"/>
  <c r="O33" i="5"/>
  <c r="N32" i="5"/>
  <c r="Q32" i="5"/>
  <c r="C32" i="5"/>
  <c r="D31" i="5"/>
  <c r="E31" i="5"/>
  <c r="G31" i="5"/>
  <c r="H31" i="5"/>
  <c r="Q31" i="5"/>
  <c r="D30" i="5"/>
  <c r="F30" i="5"/>
  <c r="G30" i="5"/>
  <c r="C30" i="5"/>
  <c r="D29" i="5"/>
  <c r="E29" i="5"/>
  <c r="M29" i="5"/>
  <c r="F29" i="5"/>
  <c r="N29" i="5"/>
  <c r="G29" i="5"/>
  <c r="Q29" i="5"/>
  <c r="C29" i="5"/>
  <c r="D28" i="5"/>
  <c r="F28" i="5"/>
  <c r="C28" i="5"/>
  <c r="D27" i="5"/>
  <c r="C27" i="5"/>
  <c r="D26" i="5"/>
  <c r="F26" i="5"/>
  <c r="N26" i="5"/>
  <c r="G26" i="5"/>
  <c r="O26" i="5"/>
  <c r="I26" i="5"/>
  <c r="Q26" i="5"/>
  <c r="R26" i="5"/>
  <c r="C26" i="5"/>
  <c r="C25" i="5"/>
  <c r="E19" i="5"/>
  <c r="M19" i="5"/>
  <c r="P19" i="5"/>
  <c r="E18" i="5"/>
  <c r="M18" i="5"/>
  <c r="H18" i="5"/>
  <c r="P18" i="5"/>
  <c r="K18" i="5"/>
  <c r="J18" i="5"/>
  <c r="R18" i="5"/>
  <c r="L16" i="5"/>
  <c r="E16" i="5"/>
  <c r="M16" i="5"/>
  <c r="Q16" i="5"/>
  <c r="R16" i="5"/>
  <c r="L15" i="5"/>
  <c r="E15" i="5"/>
  <c r="M15" i="5"/>
  <c r="O15" i="5"/>
  <c r="H15" i="5"/>
  <c r="P15" i="5"/>
  <c r="Q15" i="5"/>
  <c r="R15" i="5"/>
  <c r="K15" i="5"/>
  <c r="H14" i="5"/>
  <c r="P14" i="5"/>
  <c r="E10" i="5"/>
  <c r="M10" i="5"/>
  <c r="N10" i="5"/>
  <c r="O10" i="5"/>
  <c r="P10" i="5"/>
  <c r="Q10" i="5"/>
  <c r="R10" i="5"/>
  <c r="J9" i="5"/>
  <c r="I8" i="5"/>
  <c r="Q8" i="5"/>
  <c r="J8" i="5"/>
  <c r="R8" i="5"/>
  <c r="M8" i="5"/>
  <c r="N8" i="5"/>
  <c r="O8" i="5"/>
  <c r="P8" i="5"/>
  <c r="H8" i="5"/>
  <c r="E8" i="5"/>
  <c r="D4" i="5"/>
  <c r="E7" i="5"/>
  <c r="H7" i="5"/>
  <c r="P7" i="5"/>
  <c r="I7" i="5"/>
  <c r="Q7" i="5"/>
  <c r="R7" i="5"/>
  <c r="M7" i="5"/>
  <c r="N7" i="5"/>
  <c r="O7" i="5"/>
  <c r="H6" i="5"/>
  <c r="G7" i="5"/>
  <c r="P6" i="5"/>
  <c r="J6" i="5"/>
  <c r="M6" i="5"/>
  <c r="F5" i="5"/>
  <c r="N5" i="5"/>
  <c r="G5" i="5"/>
  <c r="O5" i="5"/>
  <c r="H5" i="5"/>
  <c r="P5" i="5"/>
  <c r="I5" i="5"/>
  <c r="Q5" i="5"/>
  <c r="J5" i="5"/>
  <c r="R5" i="5"/>
  <c r="M5" i="5"/>
  <c r="L5" i="5"/>
  <c r="E5" i="5"/>
  <c r="E4" i="5"/>
  <c r="M4" i="5"/>
  <c r="F4" i="5"/>
  <c r="N4" i="5"/>
  <c r="G4" i="5"/>
  <c r="O4" i="5"/>
  <c r="H4" i="5"/>
  <c r="P4" i="5"/>
  <c r="I4" i="5"/>
  <c r="Q4" i="5"/>
  <c r="R4" i="5"/>
  <c r="K4" i="5"/>
  <c r="AM73" i="5" l="1"/>
  <c r="K84" i="5"/>
  <c r="K64" i="5"/>
  <c r="R84" i="5"/>
  <c r="R64" i="5"/>
  <c r="Q84" i="5"/>
  <c r="Q64" i="5"/>
  <c r="I84" i="5"/>
  <c r="I64" i="5"/>
  <c r="P84" i="5"/>
  <c r="P64" i="5"/>
  <c r="H84" i="5"/>
  <c r="H64" i="5"/>
  <c r="O84" i="5"/>
  <c r="O64" i="5"/>
  <c r="G84" i="5"/>
  <c r="G64" i="5"/>
  <c r="N84" i="5"/>
  <c r="N64" i="5"/>
  <c r="F84" i="5"/>
  <c r="F64" i="5"/>
  <c r="M84" i="5"/>
  <c r="M64" i="5"/>
  <c r="E84" i="5"/>
  <c r="E64" i="5"/>
  <c r="E65" i="5"/>
  <c r="E85" i="5"/>
  <c r="L65" i="5"/>
  <c r="L85" i="5"/>
  <c r="M65" i="5"/>
  <c r="M85" i="5"/>
  <c r="R85" i="5"/>
  <c r="R65" i="5"/>
  <c r="J85" i="5"/>
  <c r="J65" i="5"/>
  <c r="Q85" i="5"/>
  <c r="Q65" i="5"/>
  <c r="I85" i="5"/>
  <c r="I65" i="5"/>
  <c r="P85" i="5"/>
  <c r="P65" i="5"/>
  <c r="H85" i="5"/>
  <c r="H65" i="5"/>
  <c r="O65" i="5"/>
  <c r="O85" i="5"/>
  <c r="G65" i="5"/>
  <c r="G85" i="5"/>
  <c r="N65" i="5"/>
  <c r="N85" i="5"/>
  <c r="F65" i="5"/>
  <c r="F85" i="5"/>
  <c r="M86" i="5"/>
  <c r="M66" i="5"/>
  <c r="J86" i="5"/>
  <c r="J66" i="5"/>
  <c r="P66" i="5"/>
  <c r="P86" i="5"/>
  <c r="G87" i="5"/>
  <c r="G67" i="5"/>
  <c r="H66" i="5"/>
  <c r="H86" i="5"/>
  <c r="O87" i="5"/>
  <c r="O67" i="5"/>
  <c r="N87" i="5"/>
  <c r="N67" i="5"/>
  <c r="M87" i="5"/>
  <c r="M67" i="5"/>
  <c r="R87" i="5"/>
  <c r="R67" i="5"/>
  <c r="Q67" i="5"/>
  <c r="Q87" i="5"/>
  <c r="I67" i="5"/>
  <c r="I87" i="5"/>
  <c r="P67" i="5"/>
  <c r="P87" i="5"/>
  <c r="H67" i="5"/>
  <c r="H87" i="5"/>
  <c r="E87" i="5"/>
  <c r="E67" i="5"/>
  <c r="D84" i="5"/>
  <c r="D64" i="5"/>
  <c r="E88" i="5"/>
  <c r="E68" i="5"/>
  <c r="H88" i="5"/>
  <c r="H68" i="5"/>
  <c r="P88" i="5"/>
  <c r="P68" i="5"/>
  <c r="O88" i="5"/>
  <c r="O68" i="5"/>
  <c r="N88" i="5"/>
  <c r="N68" i="5"/>
  <c r="M88" i="5"/>
  <c r="M68" i="5"/>
  <c r="R68" i="5"/>
  <c r="R88" i="5"/>
  <c r="J68" i="5"/>
  <c r="J88" i="5"/>
  <c r="Q88" i="5"/>
  <c r="Q68" i="5"/>
  <c r="I88" i="5"/>
  <c r="I68" i="5"/>
  <c r="J89" i="5"/>
  <c r="J69" i="5"/>
  <c r="R70" i="5"/>
  <c r="R90" i="5"/>
  <c r="Q70" i="5"/>
  <c r="Q90" i="5"/>
  <c r="P70" i="5"/>
  <c r="P90" i="5"/>
  <c r="O70" i="5"/>
  <c r="O90" i="5"/>
  <c r="N70" i="5"/>
  <c r="N90" i="5"/>
  <c r="M90" i="5"/>
  <c r="M70" i="5"/>
  <c r="E70" i="5"/>
  <c r="E90" i="5"/>
  <c r="P94" i="5"/>
  <c r="P74" i="5"/>
  <c r="H94" i="5"/>
  <c r="H74" i="5"/>
  <c r="K95" i="5"/>
  <c r="K75" i="5"/>
  <c r="R95" i="5"/>
  <c r="R75" i="5"/>
  <c r="Q95" i="5"/>
  <c r="Q75" i="5"/>
  <c r="P75" i="5"/>
  <c r="P95" i="5"/>
  <c r="H95" i="5"/>
  <c r="H75" i="5"/>
  <c r="O95" i="5"/>
  <c r="O75" i="5"/>
  <c r="M95" i="5"/>
  <c r="M75" i="5"/>
  <c r="E95" i="5"/>
  <c r="E75" i="5"/>
  <c r="L95" i="5"/>
  <c r="L75" i="5"/>
  <c r="R96" i="5"/>
  <c r="R76" i="5"/>
  <c r="Q96" i="5"/>
  <c r="Q76" i="5"/>
  <c r="M96" i="5"/>
  <c r="M76" i="5"/>
  <c r="E96" i="5"/>
  <c r="E76" i="5"/>
  <c r="L96" i="5"/>
  <c r="L76" i="5"/>
  <c r="R78" i="5"/>
  <c r="R98" i="5"/>
  <c r="J78" i="5"/>
  <c r="J98" i="5"/>
  <c r="K98" i="5"/>
  <c r="K78" i="5"/>
  <c r="P78" i="5"/>
  <c r="P98" i="5"/>
  <c r="H78" i="5"/>
  <c r="H98" i="5"/>
  <c r="M78" i="5"/>
  <c r="M98" i="5"/>
  <c r="E78" i="5"/>
  <c r="E98" i="5"/>
  <c r="P79" i="5"/>
  <c r="P99" i="5"/>
  <c r="M99" i="5"/>
  <c r="M79" i="5"/>
  <c r="E99" i="5"/>
  <c r="E79" i="5"/>
  <c r="C65" i="5"/>
  <c r="C85" i="5"/>
  <c r="S85" i="5" s="1"/>
  <c r="C86" i="5"/>
  <c r="C66" i="5"/>
  <c r="R86" i="5"/>
  <c r="R66" i="5"/>
  <c r="Q86" i="5"/>
  <c r="Q66" i="5"/>
  <c r="I86" i="5"/>
  <c r="I66" i="5"/>
  <c r="O66" i="5"/>
  <c r="O86" i="5"/>
  <c r="G66" i="5"/>
  <c r="G86" i="5"/>
  <c r="N66" i="5"/>
  <c r="N86" i="5"/>
  <c r="F66" i="5"/>
  <c r="F86" i="5"/>
  <c r="D86" i="5"/>
  <c r="D66" i="5"/>
  <c r="C87" i="5"/>
  <c r="C67" i="5"/>
  <c r="D87" i="5"/>
  <c r="D67" i="5"/>
  <c r="C88" i="5"/>
  <c r="C68" i="5"/>
  <c r="F88" i="5"/>
  <c r="F68" i="5"/>
  <c r="D88" i="5"/>
  <c r="S88" i="5" s="1"/>
  <c r="D68" i="5"/>
  <c r="C89" i="5"/>
  <c r="C69" i="5"/>
  <c r="Q89" i="5"/>
  <c r="Q69" i="5"/>
  <c r="G89" i="5"/>
  <c r="G69" i="5"/>
  <c r="N89" i="5"/>
  <c r="N69" i="5"/>
  <c r="F89" i="5"/>
  <c r="F69" i="5"/>
  <c r="M89" i="5"/>
  <c r="M69" i="5"/>
  <c r="E89" i="5"/>
  <c r="E69" i="5"/>
  <c r="D89" i="5"/>
  <c r="D69" i="5"/>
  <c r="C90" i="5"/>
  <c r="C70" i="5"/>
  <c r="G70" i="5"/>
  <c r="G90" i="5"/>
  <c r="F70" i="5"/>
  <c r="F90" i="5"/>
  <c r="D90" i="5"/>
  <c r="D70" i="5"/>
  <c r="Q71" i="5"/>
  <c r="Q91" i="5"/>
  <c r="H71" i="5"/>
  <c r="H91" i="5"/>
  <c r="G71" i="5"/>
  <c r="G91" i="5"/>
  <c r="E91" i="5"/>
  <c r="E71" i="5"/>
  <c r="D71" i="5"/>
  <c r="D91" i="5"/>
  <c r="C72" i="5"/>
  <c r="C92" i="5"/>
  <c r="Q92" i="5"/>
  <c r="Q72" i="5"/>
  <c r="N92" i="5"/>
  <c r="N72" i="5"/>
  <c r="O93" i="5"/>
  <c r="O73" i="5"/>
  <c r="N73" i="5"/>
  <c r="N93" i="5"/>
  <c r="D73" i="5"/>
  <c r="D93" i="5"/>
  <c r="S93" i="5" s="1"/>
  <c r="C74" i="5"/>
  <c r="C94" i="5"/>
  <c r="R94" i="5"/>
  <c r="R74" i="5"/>
  <c r="Q94" i="5"/>
  <c r="Q74" i="5"/>
  <c r="I94" i="5"/>
  <c r="I74" i="5"/>
  <c r="O74" i="5"/>
  <c r="O94" i="5"/>
  <c r="G94" i="5"/>
  <c r="G74" i="5"/>
  <c r="N74" i="5"/>
  <c r="N94" i="5"/>
  <c r="F74" i="5"/>
  <c r="F94" i="5"/>
  <c r="E74" i="5"/>
  <c r="E94" i="5"/>
  <c r="D94" i="5"/>
  <c r="D74" i="5"/>
  <c r="C95" i="5"/>
  <c r="C75" i="5"/>
  <c r="I95" i="5"/>
  <c r="I75" i="5"/>
  <c r="G75" i="5"/>
  <c r="G95" i="5"/>
  <c r="F95" i="5"/>
  <c r="F75" i="5"/>
  <c r="D95" i="5"/>
  <c r="S95" i="5" s="1"/>
  <c r="D75" i="5"/>
  <c r="C96" i="5"/>
  <c r="C76" i="5"/>
  <c r="I96" i="5"/>
  <c r="I76" i="5"/>
  <c r="G96" i="5"/>
  <c r="G76" i="5"/>
  <c r="N96" i="5"/>
  <c r="N76" i="5"/>
  <c r="F96" i="5"/>
  <c r="F76" i="5"/>
  <c r="D96" i="5"/>
  <c r="S96" i="5" s="1"/>
  <c r="D76" i="5"/>
  <c r="C97" i="5"/>
  <c r="C77" i="5"/>
  <c r="R77" i="5"/>
  <c r="R97" i="5"/>
  <c r="Q77" i="5"/>
  <c r="Q97" i="5"/>
  <c r="I77" i="5"/>
  <c r="I97" i="5"/>
  <c r="G77" i="5"/>
  <c r="G97" i="5"/>
  <c r="N77" i="5"/>
  <c r="N97" i="5"/>
  <c r="F77" i="5"/>
  <c r="F97" i="5"/>
  <c r="M77" i="5"/>
  <c r="M97" i="5"/>
  <c r="E77" i="5"/>
  <c r="E97" i="5"/>
  <c r="D77" i="5"/>
  <c r="D97" i="5"/>
  <c r="S97" i="5" s="1"/>
  <c r="C98" i="5"/>
  <c r="C78" i="5"/>
  <c r="I78" i="5"/>
  <c r="I98" i="5"/>
  <c r="O78" i="5"/>
  <c r="O98" i="5"/>
  <c r="G78" i="5"/>
  <c r="G98" i="5"/>
  <c r="N78" i="5"/>
  <c r="N98" i="5"/>
  <c r="F78" i="5"/>
  <c r="F98" i="5"/>
  <c r="D98" i="5"/>
  <c r="D78" i="5"/>
  <c r="C79" i="5"/>
  <c r="C99" i="5"/>
  <c r="Q79" i="5"/>
  <c r="Q99" i="5"/>
  <c r="I79" i="5"/>
  <c r="I99" i="5"/>
  <c r="O99" i="5"/>
  <c r="O79" i="5"/>
  <c r="G99" i="5"/>
  <c r="G79" i="5"/>
  <c r="N99" i="5"/>
  <c r="N79" i="5"/>
  <c r="F99" i="5"/>
  <c r="F79" i="5"/>
  <c r="D99" i="5"/>
  <c r="D79" i="5"/>
  <c r="S92" i="5"/>
  <c r="S99" i="5"/>
  <c r="AM78" i="5"/>
  <c r="AM79" i="5"/>
  <c r="AM77" i="5"/>
  <c r="AM75" i="5"/>
  <c r="AM71" i="5"/>
  <c r="AM70" i="5"/>
  <c r="AM69" i="5"/>
  <c r="AM76" i="5"/>
  <c r="AM74" i="5"/>
  <c r="AM72" i="5"/>
  <c r="AM68" i="5"/>
  <c r="AM66" i="5"/>
  <c r="AM67" i="5"/>
  <c r="S74" i="5"/>
  <c r="S64" i="5"/>
  <c r="S70" i="5"/>
  <c r="S76" i="5"/>
  <c r="S44" i="5"/>
  <c r="S47" i="5"/>
  <c r="S50" i="5"/>
  <c r="S49" i="5"/>
  <c r="S48" i="5"/>
  <c r="S52" i="5"/>
  <c r="S54" i="5"/>
  <c r="S57" i="5"/>
  <c r="S45" i="5"/>
  <c r="S56" i="5"/>
  <c r="S53" i="5"/>
  <c r="S51" i="5"/>
  <c r="S46" i="5"/>
  <c r="S55" i="5"/>
  <c r="S58" i="5"/>
  <c r="S59" i="5"/>
  <c r="S37" i="5"/>
  <c r="S33" i="5"/>
  <c r="S32" i="5"/>
  <c r="S31" i="5"/>
  <c r="S5" i="5"/>
  <c r="S6" i="5"/>
  <c r="S7" i="5"/>
  <c r="S4" i="5"/>
  <c r="S8" i="5"/>
  <c r="S9" i="5"/>
  <c r="S10" i="5"/>
  <c r="S14" i="5"/>
  <c r="S15" i="5"/>
  <c r="S16" i="5"/>
  <c r="S18" i="5"/>
  <c r="S19" i="5"/>
  <c r="S26" i="5"/>
  <c r="S25" i="5"/>
  <c r="S29" i="5"/>
  <c r="S35" i="5"/>
  <c r="S24" i="5"/>
  <c r="S38" i="5"/>
  <c r="S39" i="5"/>
  <c r="S27" i="5"/>
  <c r="S30" i="5"/>
  <c r="S36" i="5"/>
  <c r="S28" i="5"/>
  <c r="S34" i="5"/>
  <c r="S67" i="5" l="1"/>
  <c r="S66" i="5"/>
  <c r="S91" i="5"/>
  <c r="Y64" i="5"/>
  <c r="AA64" i="5"/>
  <c r="AC64" i="5"/>
  <c r="S65" i="5"/>
  <c r="S79" i="5"/>
  <c r="S73" i="5"/>
  <c r="S98" i="5"/>
  <c r="S77" i="5"/>
  <c r="S94" i="5"/>
  <c r="S71" i="5"/>
  <c r="S87" i="5"/>
  <c r="S84" i="5"/>
  <c r="S72" i="5"/>
  <c r="S78" i="5"/>
  <c r="AG64" i="5"/>
  <c r="AI64" i="5"/>
  <c r="AK64" i="5"/>
  <c r="S90" i="5"/>
  <c r="S89" i="5"/>
  <c r="Z64" i="5"/>
  <c r="AB64" i="5"/>
  <c r="AL64" i="5"/>
  <c r="S75" i="5"/>
  <c r="S69" i="5"/>
  <c r="S86" i="5"/>
  <c r="AH64" i="5"/>
  <c r="AJ64" i="5"/>
  <c r="AE64" i="5"/>
  <c r="S68" i="5"/>
  <c r="AM65" i="5"/>
  <c r="AM64" i="5" l="1"/>
</calcChain>
</file>

<file path=xl/sharedStrings.xml><?xml version="1.0" encoding="utf-8"?>
<sst xmlns="http://schemas.openxmlformats.org/spreadsheetml/2006/main" count="6368" uniqueCount="606">
  <si>
    <t>Fecha</t>
  </si>
  <si>
    <t>Equipo1</t>
  </si>
  <si>
    <t>Equipo2</t>
  </si>
  <si>
    <t>Marcador</t>
  </si>
  <si>
    <t>Ciudad</t>
  </si>
  <si>
    <t>Torneo</t>
  </si>
  <si>
    <t>Fixture</t>
  </si>
  <si>
    <t>GolE1</t>
  </si>
  <si>
    <t>GolE2</t>
  </si>
  <si>
    <t>Copa_América</t>
  </si>
  <si>
    <t>Chile</t>
  </si>
  <si>
    <t>Uruguay</t>
  </si>
  <si>
    <t>0 - 4</t>
  </si>
  <si>
    <t>Buenos Aires, Arg</t>
  </si>
  <si>
    <t>Copa América</t>
  </si>
  <si>
    <t>Chile vs Uruguay</t>
  </si>
  <si>
    <t>Argentina</t>
  </si>
  <si>
    <t>Buenos Aires</t>
  </si>
  <si>
    <t>Argentina vs Chile</t>
  </si>
  <si>
    <t>Brazil</t>
  </si>
  <si>
    <t>Chile vs Brazil</t>
  </si>
  <si>
    <t>Argentina vs Brazil</t>
  </si>
  <si>
    <t>Buenos Aires, ARG</t>
  </si>
  <si>
    <t>Uruguay vs Brazil</t>
  </si>
  <si>
    <t>0 - 0</t>
  </si>
  <si>
    <t>Avellaneda</t>
  </si>
  <si>
    <t>Argentina vs Uruguay</t>
  </si>
  <si>
    <t>Montevideo, Uru</t>
  </si>
  <si>
    <t>Montevideo</t>
  </si>
  <si>
    <t>1 - 0</t>
  </si>
  <si>
    <t>4 - 0</t>
  </si>
  <si>
    <t>Montevideo, URU</t>
  </si>
  <si>
    <t>0 - 5</t>
  </si>
  <si>
    <t>0 - 1</t>
  </si>
  <si>
    <t>0 - 6</t>
  </si>
  <si>
    <t>Rio de Janeiro, Bra</t>
  </si>
  <si>
    <t>Rio de Janeiro</t>
  </si>
  <si>
    <t>0 - 2</t>
  </si>
  <si>
    <t>Río de Janeiro, BRA</t>
  </si>
  <si>
    <t>Viña del Mar</t>
  </si>
  <si>
    <t>6 - 0</t>
  </si>
  <si>
    <t>Valparaíso, CHI</t>
  </si>
  <si>
    <t>2 - 0</t>
  </si>
  <si>
    <t>Paraguay</t>
  </si>
  <si>
    <t>Paraguay vs Uruguay</t>
  </si>
  <si>
    <t>0 - 3</t>
  </si>
  <si>
    <t>Paraguay vs Brazil</t>
  </si>
  <si>
    <t>3 - 0</t>
  </si>
  <si>
    <t>Argentina vs Paraguay</t>
  </si>
  <si>
    <t>Chile vs Paraguay</t>
  </si>
  <si>
    <t>02dec1923</t>
  </si>
  <si>
    <t>06dec1925</t>
  </si>
  <si>
    <t>13dec1925</t>
  </si>
  <si>
    <t>17dec1925</t>
  </si>
  <si>
    <t>20dec1925</t>
  </si>
  <si>
    <t>25dec1925</t>
  </si>
  <si>
    <t>Bolivia</t>
  </si>
  <si>
    <t>Santiago, Chi</t>
  </si>
  <si>
    <t>Bolivia vs Chile</t>
  </si>
  <si>
    <t>5 - 0</t>
  </si>
  <si>
    <t>Santiago</t>
  </si>
  <si>
    <t>Argentina vs Bolivia</t>
  </si>
  <si>
    <t>8 - 0</t>
  </si>
  <si>
    <t>Bolivia vs Paraguay</t>
  </si>
  <si>
    <t>Bolivia vs Uruguay</t>
  </si>
  <si>
    <t>Lima</t>
  </si>
  <si>
    <t>Peru</t>
  </si>
  <si>
    <t>Peru vs Uruguay</t>
  </si>
  <si>
    <t>0 - 9</t>
  </si>
  <si>
    <t>Lima, Per</t>
  </si>
  <si>
    <t>Lima, PER</t>
  </si>
  <si>
    <t>Bolivia vs Peru</t>
  </si>
  <si>
    <t>Argentina vs Peru</t>
  </si>
  <si>
    <t>BuenosAires</t>
  </si>
  <si>
    <t>Paraguay vs Peru</t>
  </si>
  <si>
    <t>06jan1935</t>
  </si>
  <si>
    <t>13jan1935</t>
  </si>
  <si>
    <t>18jan1935</t>
  </si>
  <si>
    <t>20jan1935</t>
  </si>
  <si>
    <t>26jan1935</t>
  </si>
  <si>
    <t>Chile vs Peru</t>
  </si>
  <si>
    <t>27jan1935</t>
  </si>
  <si>
    <t>27dec1936</t>
  </si>
  <si>
    <t>Peru vs Brazil</t>
  </si>
  <si>
    <t>30dec1936</t>
  </si>
  <si>
    <t>02jan1937</t>
  </si>
  <si>
    <t>03jan1937</t>
  </si>
  <si>
    <t>06jan1937</t>
  </si>
  <si>
    <t>09jan1937</t>
  </si>
  <si>
    <t>10jan1937</t>
  </si>
  <si>
    <t>13jan1937</t>
  </si>
  <si>
    <t>16jan1937</t>
  </si>
  <si>
    <t>17jan1937</t>
  </si>
  <si>
    <t>19jan1937</t>
  </si>
  <si>
    <t>21jan1937</t>
  </si>
  <si>
    <t>23jan1937</t>
  </si>
  <si>
    <t>24jan1937</t>
  </si>
  <si>
    <t>30jan1937</t>
  </si>
  <si>
    <t>15jan1939</t>
  </si>
  <si>
    <t>Ecuador</t>
  </si>
  <si>
    <t>Ecuador vs Peru</t>
  </si>
  <si>
    <t>22jan1939</t>
  </si>
  <si>
    <t>Ecuador vs Uruguay</t>
  </si>
  <si>
    <t>29jan1939</t>
  </si>
  <si>
    <t>Chile vs Ecuador</t>
  </si>
  <si>
    <t>Ecuador vs Paraguay</t>
  </si>
  <si>
    <t>Argentina vs Ecuador</t>
  </si>
  <si>
    <t>Santiago/Chile</t>
  </si>
  <si>
    <t>10jan1942</t>
  </si>
  <si>
    <t>11jan1942</t>
  </si>
  <si>
    <t>14jan1942</t>
  </si>
  <si>
    <t>17jan1942</t>
  </si>
  <si>
    <t>18jan1942</t>
  </si>
  <si>
    <t>0 - 7</t>
  </si>
  <si>
    <t>21jan1942</t>
  </si>
  <si>
    <t>22jan1942</t>
  </si>
  <si>
    <t>12 - 0</t>
  </si>
  <si>
    <t>24jan1942</t>
  </si>
  <si>
    <t>25jan1942</t>
  </si>
  <si>
    <t>28jan1942</t>
  </si>
  <si>
    <t>31jan1942</t>
  </si>
  <si>
    <t>Ecuador vs Brazil</t>
  </si>
  <si>
    <t>14jan1945</t>
  </si>
  <si>
    <t>18jan1945</t>
  </si>
  <si>
    <t>21jan1945</t>
  </si>
  <si>
    <t>Colombia</t>
  </si>
  <si>
    <t>Colombia vs Brazil</t>
  </si>
  <si>
    <t>24jan1945</t>
  </si>
  <si>
    <t>28jan1945</t>
  </si>
  <si>
    <t>Colombia vs Uruguay</t>
  </si>
  <si>
    <t>Bolivia vs Brazil</t>
  </si>
  <si>
    <t>31jan1945</t>
  </si>
  <si>
    <t>Chile vs Colombia</t>
  </si>
  <si>
    <t>Argentina vs Colombia</t>
  </si>
  <si>
    <t>Santiago, CHI</t>
  </si>
  <si>
    <t>Bolivia vs Ecuador</t>
  </si>
  <si>
    <t>Colombia vs Ecuador</t>
  </si>
  <si>
    <t>Bolivia vs Colombia</t>
  </si>
  <si>
    <t>12jan1946</t>
  </si>
  <si>
    <t>16jan1946</t>
  </si>
  <si>
    <t>19jan1946</t>
  </si>
  <si>
    <t>23jan1946</t>
  </si>
  <si>
    <t>26jan1946</t>
  </si>
  <si>
    <t>29jan1946</t>
  </si>
  <si>
    <t>Guayaquil, Ecu</t>
  </si>
  <si>
    <t>02dec1947</t>
  </si>
  <si>
    <t>Guayaquil</t>
  </si>
  <si>
    <t>04dec1947</t>
  </si>
  <si>
    <t>7 - 0</t>
  </si>
  <si>
    <t>06dec1947</t>
  </si>
  <si>
    <t>09dec1947</t>
  </si>
  <si>
    <t>11dec1947</t>
  </si>
  <si>
    <t>13dec1947</t>
  </si>
  <si>
    <t>16dec1947</t>
  </si>
  <si>
    <t>18dec1947</t>
  </si>
  <si>
    <t>20dec1947</t>
  </si>
  <si>
    <t>Colombia vs Paraguay</t>
  </si>
  <si>
    <t>23dec1947</t>
  </si>
  <si>
    <t>Colombia vs Peru</t>
  </si>
  <si>
    <t>25dec1947</t>
  </si>
  <si>
    <t>26dec1947</t>
  </si>
  <si>
    <t>27dec1947</t>
  </si>
  <si>
    <t>28dec1947</t>
  </si>
  <si>
    <t>29dec1947</t>
  </si>
  <si>
    <t>31dec1947</t>
  </si>
  <si>
    <t>03apr1949</t>
  </si>
  <si>
    <t>06apr1949</t>
  </si>
  <si>
    <t>Sao Paulo, Bra</t>
  </si>
  <si>
    <t>São Paulo</t>
  </si>
  <si>
    <t>10apr1949</t>
  </si>
  <si>
    <t>13apr1949</t>
  </si>
  <si>
    <t>São Paulo, Bra</t>
  </si>
  <si>
    <t>17apr1949</t>
  </si>
  <si>
    <t>20apr1949</t>
  </si>
  <si>
    <t>24apr1949</t>
  </si>
  <si>
    <t>Rio deJaneiro</t>
  </si>
  <si>
    <t>27apr1949</t>
  </si>
  <si>
    <t>Santos, Bra</t>
  </si>
  <si>
    <t>30apr1949</t>
  </si>
  <si>
    <t>Belo Horizonte, Bra</t>
  </si>
  <si>
    <t>01apr1953</t>
  </si>
  <si>
    <t>21jan1956</t>
  </si>
  <si>
    <t>22jan1956</t>
  </si>
  <si>
    <t>24jan1956</t>
  </si>
  <si>
    <t>28jan1956</t>
  </si>
  <si>
    <t>29jan1956</t>
  </si>
  <si>
    <t>01apr1957</t>
  </si>
  <si>
    <t>03apr1957</t>
  </si>
  <si>
    <t>06apr1957</t>
  </si>
  <si>
    <t>02apr1959</t>
  </si>
  <si>
    <t>04apr1959</t>
  </si>
  <si>
    <t>05dec1959</t>
  </si>
  <si>
    <t>06dec1959</t>
  </si>
  <si>
    <t>09dec1959</t>
  </si>
  <si>
    <t>12dec1959</t>
  </si>
  <si>
    <t>Guayaquil, ECU</t>
  </si>
  <si>
    <t>16dec1959</t>
  </si>
  <si>
    <t>19dec1959</t>
  </si>
  <si>
    <t>22dec1959</t>
  </si>
  <si>
    <t>25dec1959</t>
  </si>
  <si>
    <t>Cochabamba</t>
  </si>
  <si>
    <t>La Paz</t>
  </si>
  <si>
    <t>La Paz, Bol</t>
  </si>
  <si>
    <t>Cochabamba, Bol</t>
  </si>
  <si>
    <t>11dec1966</t>
  </si>
  <si>
    <t>Bogotá, Col</t>
  </si>
  <si>
    <t>21dec1966</t>
  </si>
  <si>
    <t>28dec1966</t>
  </si>
  <si>
    <t>Asuncion, Par</t>
  </si>
  <si>
    <t>13jan1967</t>
  </si>
  <si>
    <t>18jan1967</t>
  </si>
  <si>
    <t>Venezuela</t>
  </si>
  <si>
    <t>Chile vs Venezuela</t>
  </si>
  <si>
    <t>21jan1967</t>
  </si>
  <si>
    <t>Uruguay vs Venezuela</t>
  </si>
  <si>
    <t>22jan1967</t>
  </si>
  <si>
    <t>25jan1967</t>
  </si>
  <si>
    <t>Argentina vs Venezuela</t>
  </si>
  <si>
    <t>26jan1967</t>
  </si>
  <si>
    <t>28jan1967</t>
  </si>
  <si>
    <t>Bolivia vs Venezuela</t>
  </si>
  <si>
    <t>29jan1967</t>
  </si>
  <si>
    <t>Paraguay vs Venezuela</t>
  </si>
  <si>
    <t>Bogotá</t>
  </si>
  <si>
    <t>Oruro</t>
  </si>
  <si>
    <t>Quito</t>
  </si>
  <si>
    <t>Asunción</t>
  </si>
  <si>
    <t>Caracas</t>
  </si>
  <si>
    <t>Venezuela vs Brazil</t>
  </si>
  <si>
    <t>03aug1975</t>
  </si>
  <si>
    <t>06aug1975</t>
  </si>
  <si>
    <t>Belo Horizonte</t>
  </si>
  <si>
    <t>07aug1975</t>
  </si>
  <si>
    <t>10aug1975</t>
  </si>
  <si>
    <t>11 - 0</t>
  </si>
  <si>
    <t>Rosario</t>
  </si>
  <si>
    <t>13aug1975</t>
  </si>
  <si>
    <t>16aug1975</t>
  </si>
  <si>
    <t>20aug1975</t>
  </si>
  <si>
    <t>01aug1979</t>
  </si>
  <si>
    <t>San Cristóbal</t>
  </si>
  <si>
    <t>Colombia vs Venezuela</t>
  </si>
  <si>
    <t>02aug1979</t>
  </si>
  <si>
    <t>08aug1979</t>
  </si>
  <si>
    <t>San Cristóbal, Ven</t>
  </si>
  <si>
    <t>15aug1979</t>
  </si>
  <si>
    <t>16aug1979</t>
  </si>
  <si>
    <t>22aug1979</t>
  </si>
  <si>
    <t>23aug1979</t>
  </si>
  <si>
    <t>29aug1979</t>
  </si>
  <si>
    <t>Asunción, Par</t>
  </si>
  <si>
    <t>05dec1979</t>
  </si>
  <si>
    <t>11dec1979</t>
  </si>
  <si>
    <t>10aug1983</t>
  </si>
  <si>
    <t>14aug1983</t>
  </si>
  <si>
    <t>17aug1983</t>
  </si>
  <si>
    <t>21aug1983</t>
  </si>
  <si>
    <t>24aug1983</t>
  </si>
  <si>
    <t>28aug1983</t>
  </si>
  <si>
    <t>31aug1983</t>
  </si>
  <si>
    <t>Bogota, Col</t>
  </si>
  <si>
    <t>Caracas, VEN</t>
  </si>
  <si>
    <t>Caracas, Ven</t>
  </si>
  <si>
    <t>Uberlandia, Bra</t>
  </si>
  <si>
    <t>Salvador, BRA</t>
  </si>
  <si>
    <t>Rosario, Arg</t>
  </si>
  <si>
    <t>Córdoba</t>
  </si>
  <si>
    <t>Córdoba, Arg</t>
  </si>
  <si>
    <t>Salvador, Bra</t>
  </si>
  <si>
    <t>Salvador</t>
  </si>
  <si>
    <t>Goiânia</t>
  </si>
  <si>
    <t>Goiana, Bra</t>
  </si>
  <si>
    <t>Goiania, Bra</t>
  </si>
  <si>
    <t>Peru vs Venezuela</t>
  </si>
  <si>
    <t>Goiânia, Bra</t>
  </si>
  <si>
    <t>Recife</t>
  </si>
  <si>
    <t>Recife, Bra</t>
  </si>
  <si>
    <t>Valparaiso, Chi</t>
  </si>
  <si>
    <t>Valparaíso</t>
  </si>
  <si>
    <t>Concepción</t>
  </si>
  <si>
    <t>Viña del Mar, Chi</t>
  </si>
  <si>
    <t>Vina del Mar, Chi</t>
  </si>
  <si>
    <t>Viña del Mar, CHI</t>
  </si>
  <si>
    <t>Ecuador vs Venezuela</t>
  </si>
  <si>
    <t>Ambato, ECU</t>
  </si>
  <si>
    <t>Uruguay vs USA</t>
  </si>
  <si>
    <t>Machala</t>
  </si>
  <si>
    <t>Colombia vs México</t>
  </si>
  <si>
    <t>Cuenca</t>
  </si>
  <si>
    <t>Cuenca, Ecu</t>
  </si>
  <si>
    <t>Ecuador vs USA</t>
  </si>
  <si>
    <t>Argentina vs México</t>
  </si>
  <si>
    <t>Machala, Ecu</t>
  </si>
  <si>
    <t>Venezuela vs USA</t>
  </si>
  <si>
    <t>Portoviejo, Ecu</t>
  </si>
  <si>
    <t>Bolivia vs México</t>
  </si>
  <si>
    <t>Peru vs México</t>
  </si>
  <si>
    <t>Ecuador vs México</t>
  </si>
  <si>
    <t>Portoviejo</t>
  </si>
  <si>
    <t>Maldonado, Uru</t>
  </si>
  <si>
    <t>Paraguay vs México</t>
  </si>
  <si>
    <t>Rivera, Uru</t>
  </si>
  <si>
    <t>Rivera</t>
  </si>
  <si>
    <t>Paysandú, Uru</t>
  </si>
  <si>
    <t>Chile vs U.S.A.</t>
  </si>
  <si>
    <t>Paysandú</t>
  </si>
  <si>
    <t>Maldonado</t>
  </si>
  <si>
    <t>Venezuela vs México</t>
  </si>
  <si>
    <t>Paysandu, Uru</t>
  </si>
  <si>
    <t>Bolivia vs USA</t>
  </si>
  <si>
    <t>Uruguay vs México</t>
  </si>
  <si>
    <t>United States</t>
  </si>
  <si>
    <t>Argentina vs United States</t>
  </si>
  <si>
    <t>.</t>
  </si>
  <si>
    <t>México vs USA</t>
  </si>
  <si>
    <t>Brazil vs USA</t>
  </si>
  <si>
    <t>Colombia vs United States</t>
  </si>
  <si>
    <t>Sucre</t>
  </si>
  <si>
    <t>Santa Cruz</t>
  </si>
  <si>
    <t>Costa Rica</t>
  </si>
  <si>
    <t>Brazil vs Costa Rica</t>
  </si>
  <si>
    <t>Sucre, BOL</t>
  </si>
  <si>
    <t>Brazil vs México</t>
  </si>
  <si>
    <t>Colombia vs Costa Rica</t>
  </si>
  <si>
    <t>México vs Costa Rica</t>
  </si>
  <si>
    <t>Santa Cruz, Bol</t>
  </si>
  <si>
    <t>SantaCruz</t>
  </si>
  <si>
    <t>Japan</t>
  </si>
  <si>
    <t>Peru vs Japan</t>
  </si>
  <si>
    <t>Cd del Este, Par</t>
  </si>
  <si>
    <t>Chile vs México</t>
  </si>
  <si>
    <t>Ciudad del Este</t>
  </si>
  <si>
    <t>Luque</t>
  </si>
  <si>
    <t>Paraguay vs Japan</t>
  </si>
  <si>
    <t>Luque, Par</t>
  </si>
  <si>
    <t>Pedro J. Caballero</t>
  </si>
  <si>
    <t>P.J. Caballero, Par</t>
  </si>
  <si>
    <t>Bolivia vs Japan</t>
  </si>
  <si>
    <t>Asunción, PAR</t>
  </si>
  <si>
    <t>Barranquilla</t>
  </si>
  <si>
    <t>Barranquilla, Col</t>
  </si>
  <si>
    <t>Cali, Col</t>
  </si>
  <si>
    <t>Honduras</t>
  </si>
  <si>
    <t>Costa Rica vs Honduras</t>
  </si>
  <si>
    <t>Medellín, Col</t>
  </si>
  <si>
    <t>Cali</t>
  </si>
  <si>
    <t>Medellín, COL</t>
  </si>
  <si>
    <t>Uruguay vs Costa Rica</t>
  </si>
  <si>
    <t>Bolivia vs Honduras</t>
  </si>
  <si>
    <t>Uruguay vs Honduras</t>
  </si>
  <si>
    <t>Bolivia vs Costa Rica</t>
  </si>
  <si>
    <t>Pereira, Col</t>
  </si>
  <si>
    <t>Armenia, COL</t>
  </si>
  <si>
    <t>Armenia</t>
  </si>
  <si>
    <t>Brazil vs Honduras</t>
  </si>
  <si>
    <t>Pereira, COL</t>
  </si>
  <si>
    <t>Manizales</t>
  </si>
  <si>
    <t>Colombia vs Honduras</t>
  </si>
  <si>
    <t>Bogotá, COL</t>
  </si>
  <si>
    <t>Chiclayo</t>
  </si>
  <si>
    <t>Chiclayo, PER</t>
  </si>
  <si>
    <t>Arequipa, Per</t>
  </si>
  <si>
    <t>Paraguay vs Costa Rica</t>
  </si>
  <si>
    <t>Chiclayo, Peru</t>
  </si>
  <si>
    <t>Trujillo, Per</t>
  </si>
  <si>
    <t>Trujillo</t>
  </si>
  <si>
    <t>Piura</t>
  </si>
  <si>
    <t>Piura, Peru</t>
  </si>
  <si>
    <t>Tacna, Per</t>
  </si>
  <si>
    <t>Chile vs Costa Rica</t>
  </si>
  <si>
    <t>Cuzco</t>
  </si>
  <si>
    <t>San Cristobal</t>
  </si>
  <si>
    <t>Mérida</t>
  </si>
  <si>
    <t>Puerto Ordaz</t>
  </si>
  <si>
    <t>Maracaibo</t>
  </si>
  <si>
    <t>Maturín, Ven.</t>
  </si>
  <si>
    <t>Maturín</t>
  </si>
  <si>
    <t>Barinas</t>
  </si>
  <si>
    <t>Paraguay vs USA</t>
  </si>
  <si>
    <t>Mérida, VEN</t>
  </si>
  <si>
    <t>Mérica</t>
  </si>
  <si>
    <t>Puerto La Cruz, Ve</t>
  </si>
  <si>
    <t>Puerto La Cruz</t>
  </si>
  <si>
    <t>Barquisimeto</t>
  </si>
  <si>
    <t>San Cristóbal, VEN</t>
  </si>
  <si>
    <t>Maturín, Ven</t>
  </si>
  <si>
    <t>Maracaibo, VEN</t>
  </si>
  <si>
    <t>La Plata</t>
  </si>
  <si>
    <t>Jujuy</t>
  </si>
  <si>
    <t>Santa Fé</t>
  </si>
  <si>
    <t>San Juan</t>
  </si>
  <si>
    <t>Mendoza</t>
  </si>
  <si>
    <t>Salta</t>
  </si>
  <si>
    <t>Argentina vs Costa Rica</t>
  </si>
  <si>
    <t>La Plata, ARG</t>
  </si>
  <si>
    <t>Salta, Arg</t>
  </si>
  <si>
    <t>Jamaica</t>
  </si>
  <si>
    <t>Antofagasta</t>
  </si>
  <si>
    <t>Uruguay vs Jamaica</t>
  </si>
  <si>
    <t>Temuco</t>
  </si>
  <si>
    <t>Rancagua</t>
  </si>
  <si>
    <t>Valparaiso</t>
  </si>
  <si>
    <t>La Serena</t>
  </si>
  <si>
    <t>Paraguay vs Jamaica</t>
  </si>
  <si>
    <t>Argentina vs Jamaica</t>
  </si>
  <si>
    <t>La Serena, Chi</t>
  </si>
  <si>
    <t>GanoEquipo1</t>
  </si>
  <si>
    <t>GanoEquipo2</t>
  </si>
  <si>
    <t>Empate</t>
  </si>
  <si>
    <t>Suma de GanoEquipo1</t>
  </si>
  <si>
    <t>ArgentinaBolivia</t>
  </si>
  <si>
    <t>Total general</t>
  </si>
  <si>
    <t>Etiquetas de fila</t>
  </si>
  <si>
    <t>Suma de Empate</t>
  </si>
  <si>
    <t>Suma de GanoEquipo2</t>
  </si>
  <si>
    <t>ArgentinaBrazil</t>
  </si>
  <si>
    <t>ArgentinaChile</t>
  </si>
  <si>
    <t>ArgentinaColombia</t>
  </si>
  <si>
    <t>ArgentinaCosta Rica</t>
  </si>
  <si>
    <t>ArgentinaEcuador</t>
  </si>
  <si>
    <t>ArgentinaJamaica</t>
  </si>
  <si>
    <t>ArgentinaParaguay</t>
  </si>
  <si>
    <t>ArgentinaPeru</t>
  </si>
  <si>
    <t>ArgentinaUnited States</t>
  </si>
  <si>
    <t>ArgentinaUruguay</t>
  </si>
  <si>
    <t>ArgentinaVenezuela</t>
  </si>
  <si>
    <t>BoliviaBrazil</t>
  </si>
  <si>
    <t>BoliviaChile</t>
  </si>
  <si>
    <t>BoliviaColombia</t>
  </si>
  <si>
    <t>BoliviaCosta Rica</t>
  </si>
  <si>
    <t>BoliviaEcuador</t>
  </si>
  <si>
    <t>BoliviaHonduras</t>
  </si>
  <si>
    <t>BoliviaJapan</t>
  </si>
  <si>
    <t>BoliviaParaguay</t>
  </si>
  <si>
    <t>BoliviaPeru</t>
  </si>
  <si>
    <t>BoliviaUruguay</t>
  </si>
  <si>
    <t>BoliviaVenezuela</t>
  </si>
  <si>
    <t>BrazilCosta Rica</t>
  </si>
  <si>
    <t>BrazilHonduras</t>
  </si>
  <si>
    <t>ChileBrazil</t>
  </si>
  <si>
    <t>ChileColombia</t>
  </si>
  <si>
    <t>ChileCosta Rica</t>
  </si>
  <si>
    <t>ChileEcuador</t>
  </si>
  <si>
    <t>ChileParaguay</t>
  </si>
  <si>
    <t>ChilePeru</t>
  </si>
  <si>
    <t>ChileUruguay</t>
  </si>
  <si>
    <t>ChileVenezuela</t>
  </si>
  <si>
    <t>ColombiaBrazil</t>
  </si>
  <si>
    <t>ColombiaCosta Rica</t>
  </si>
  <si>
    <t>ColombiaEcuador</t>
  </si>
  <si>
    <t>ColombiaHonduras</t>
  </si>
  <si>
    <t>ColombiaParaguay</t>
  </si>
  <si>
    <t>ColombiaPeru</t>
  </si>
  <si>
    <t>ColombiaUnited States</t>
  </si>
  <si>
    <t>ColombiaUruguay</t>
  </si>
  <si>
    <t>ColombiaVenezuela</t>
  </si>
  <si>
    <t>Costa RicaHonduras</t>
  </si>
  <si>
    <t>EcuadorBrazil</t>
  </si>
  <si>
    <t>EcuadorParaguay</t>
  </si>
  <si>
    <t>EcuadorPeru</t>
  </si>
  <si>
    <t>EcuadorUruguay</t>
  </si>
  <si>
    <t>EcuadorVenezuela</t>
  </si>
  <si>
    <t>ParaguayBrazil</t>
  </si>
  <si>
    <t>ParaguayCosta Rica</t>
  </si>
  <si>
    <t>ParaguayJamaica</t>
  </si>
  <si>
    <t>ParaguayJapan</t>
  </si>
  <si>
    <t>ParaguayPeru</t>
  </si>
  <si>
    <t>ParaguayUruguay</t>
  </si>
  <si>
    <t>ParaguayVenezuela</t>
  </si>
  <si>
    <t>PeruBrazil</t>
  </si>
  <si>
    <t>PeruJapan</t>
  </si>
  <si>
    <t>PeruUruguay</t>
  </si>
  <si>
    <t>PeruVenezuela</t>
  </si>
  <si>
    <t>UruguayBrazil</t>
  </si>
  <si>
    <t>UruguayCosta Rica</t>
  </si>
  <si>
    <t>UruguayHonduras</t>
  </si>
  <si>
    <t>UruguayJamaica</t>
  </si>
  <si>
    <t>UruguayVenezuela</t>
  </si>
  <si>
    <t>VenezuelaBrazil</t>
  </si>
  <si>
    <t>id1</t>
  </si>
  <si>
    <t>id2</t>
  </si>
  <si>
    <t>(en blanco)</t>
  </si>
  <si>
    <t>Mexico</t>
  </si>
  <si>
    <t>Equipo 1</t>
  </si>
  <si>
    <t>Equipo 2</t>
  </si>
  <si>
    <t>ArgentinaMexico</t>
  </si>
  <si>
    <t>BoliviaMexico</t>
  </si>
  <si>
    <t>BoliviaUnited States</t>
  </si>
  <si>
    <t>BrazilMexico</t>
  </si>
  <si>
    <t>BrazilUnited States</t>
  </si>
  <si>
    <t>ChileMexico</t>
  </si>
  <si>
    <t>ChileUnited States</t>
  </si>
  <si>
    <t>ColombiaMexico</t>
  </si>
  <si>
    <t>EcuadorMexico</t>
  </si>
  <si>
    <t>EcuadorUnited States</t>
  </si>
  <si>
    <t>MexicoCosta Rica</t>
  </si>
  <si>
    <t>MexicoUnited States</t>
  </si>
  <si>
    <t>ParaguayMexico</t>
  </si>
  <si>
    <t>ParaguayUnited States</t>
  </si>
  <si>
    <t>PeruMexico</t>
  </si>
  <si>
    <t>UruguayMexico</t>
  </si>
  <si>
    <t>UruguayUnited States</t>
  </si>
  <si>
    <t>VenezuelaMexico</t>
  </si>
  <si>
    <t>VenezuelaUnited States</t>
  </si>
  <si>
    <t>Partidos Ganados por Equipo 1</t>
  </si>
  <si>
    <t>Total Ganados</t>
  </si>
  <si>
    <t>Partidos Ganados por Equipo 2</t>
  </si>
  <si>
    <t>BoliviaArgentina</t>
  </si>
  <si>
    <t>BrazilArgentina</t>
  </si>
  <si>
    <t>ChileArgentina</t>
  </si>
  <si>
    <t>ColombiaArgentina</t>
  </si>
  <si>
    <t>Costa RicaArgentina</t>
  </si>
  <si>
    <t>EcuadorArgentina</t>
  </si>
  <si>
    <t>JamaicaArgentina</t>
  </si>
  <si>
    <t>MexicoArgentina</t>
  </si>
  <si>
    <t>ParaguayArgentina</t>
  </si>
  <si>
    <t>PeruArgentina</t>
  </si>
  <si>
    <t>United StatesArgentina</t>
  </si>
  <si>
    <t>UruguayArgentina</t>
  </si>
  <si>
    <t>VenezuelaArgentina</t>
  </si>
  <si>
    <t>BrazilBolivia</t>
  </si>
  <si>
    <t>ChileBolivia</t>
  </si>
  <si>
    <t>ColombiaBolivia</t>
  </si>
  <si>
    <t>Costa RicaBolivia</t>
  </si>
  <si>
    <t>EcuadorBolivia</t>
  </si>
  <si>
    <t>HondurasBolivia</t>
  </si>
  <si>
    <t>JapanBolivia</t>
  </si>
  <si>
    <t>MexicoBolivia</t>
  </si>
  <si>
    <t>ParaguayBolivia</t>
  </si>
  <si>
    <t>PeruBolivia</t>
  </si>
  <si>
    <t>United StatesBolivia</t>
  </si>
  <si>
    <t>UruguayBolivia</t>
  </si>
  <si>
    <t>VenezuelaBolivia</t>
  </si>
  <si>
    <t>Costa RicaBrazil</t>
  </si>
  <si>
    <t>HondurasBrazil</t>
  </si>
  <si>
    <t>MexicoBrazil</t>
  </si>
  <si>
    <t>United StatesBrazil</t>
  </si>
  <si>
    <t>BrazilChile</t>
  </si>
  <si>
    <t>ColombiaChile</t>
  </si>
  <si>
    <t>Costa RicaChile</t>
  </si>
  <si>
    <t>EcuadorChile</t>
  </si>
  <si>
    <t>MexicoChile</t>
  </si>
  <si>
    <t>ParaguayChile</t>
  </si>
  <si>
    <t>PeruChile</t>
  </si>
  <si>
    <t>United StatesChile</t>
  </si>
  <si>
    <t>UruguayChile</t>
  </si>
  <si>
    <t>VenezuelaChile</t>
  </si>
  <si>
    <t>BrazilColombia</t>
  </si>
  <si>
    <t>Costa RicaColombia</t>
  </si>
  <si>
    <t>EcuadorColombia</t>
  </si>
  <si>
    <t>HondurasColombia</t>
  </si>
  <si>
    <t>MexicoColombia</t>
  </si>
  <si>
    <t>ParaguayColombia</t>
  </si>
  <si>
    <t>PeruColombia</t>
  </si>
  <si>
    <t>United StatesColombia</t>
  </si>
  <si>
    <t>UruguayColombia</t>
  </si>
  <si>
    <t>VenezuelaColombia</t>
  </si>
  <si>
    <t>HondurasCosta Rica</t>
  </si>
  <si>
    <t>BrazilEcuador</t>
  </si>
  <si>
    <t>MexicoEcuador</t>
  </si>
  <si>
    <t>ParaguayEcuador</t>
  </si>
  <si>
    <t>PeruEcuador</t>
  </si>
  <si>
    <t>United StatesEcuador</t>
  </si>
  <si>
    <t>UruguayEcuador</t>
  </si>
  <si>
    <t>VenezuelaEcuador</t>
  </si>
  <si>
    <t>Costa RicaMexico</t>
  </si>
  <si>
    <t>United StatesMexico</t>
  </si>
  <si>
    <t>BrazilParaguay</t>
  </si>
  <si>
    <t>Costa RicaParaguay</t>
  </si>
  <si>
    <t>JamaicaParaguay</t>
  </si>
  <si>
    <t>JapanParaguay</t>
  </si>
  <si>
    <t>MexicoParaguay</t>
  </si>
  <si>
    <t>PeruParaguay</t>
  </si>
  <si>
    <t>United StatesParaguay</t>
  </si>
  <si>
    <t>UruguayParaguay</t>
  </si>
  <si>
    <t>VenezuelaParaguay</t>
  </si>
  <si>
    <t>BrazilPeru</t>
  </si>
  <si>
    <t>JapanPeru</t>
  </si>
  <si>
    <t>MexicoPeru</t>
  </si>
  <si>
    <t>UruguayPeru</t>
  </si>
  <si>
    <t>VenezuelaPeru</t>
  </si>
  <si>
    <t>BrazilUruguay</t>
  </si>
  <si>
    <t>Costa RicaUruguay</t>
  </si>
  <si>
    <t>HondurasUruguay</t>
  </si>
  <si>
    <t>JamaicaUruguay</t>
  </si>
  <si>
    <t>MexicoUruguay</t>
  </si>
  <si>
    <t>United StatesUruguay</t>
  </si>
  <si>
    <t>VenezuelaUruguay</t>
  </si>
  <si>
    <t>BrazilVenezuela</t>
  </si>
  <si>
    <t>MexicoVenezuela</t>
  </si>
  <si>
    <t>United StatesVenezuela</t>
  </si>
  <si>
    <t>Equipo 1 Ganador</t>
  </si>
  <si>
    <t>Equipo 2 Ganador</t>
  </si>
  <si>
    <t>Partidos Empatados</t>
  </si>
  <si>
    <t>Empates</t>
  </si>
  <si>
    <t>Equipo 1 / Equipo 2</t>
  </si>
  <si>
    <t>Equipo 2 /Equipo 1</t>
  </si>
  <si>
    <t>Total Jugados</t>
  </si>
  <si>
    <t>Total Empatados</t>
  </si>
  <si>
    <t>Participación de partidos ganados</t>
  </si>
  <si>
    <t>Equipo ganador</t>
  </si>
  <si>
    <t>Equipo perdedor</t>
  </si>
  <si>
    <t>Partidos ganados</t>
  </si>
  <si>
    <t>Total Partidos Jugados (paso1)</t>
  </si>
  <si>
    <t>NP: No Partido</t>
  </si>
  <si>
    <t>Total Partidos Jugados (paso2) - Matriz simetrica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</si>
</sst>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darkDown">
        <bgColor theme="0" tint="-0.14996795556505021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  <xf numFmtId="0" fontId="0" fillId="3" borderId="1" xfId="0" applyFill="1" applyBorder="1"/>
    <xf numFmtId="0" fontId="0" fillId="3" borderId="0" xfId="0" applyFill="1" applyBorder="1"/>
    <xf numFmtId="0" fontId="0" fillId="3" borderId="8" xfId="0" applyFill="1" applyBorder="1"/>
    <xf numFmtId="0" fontId="0" fillId="0" borderId="0" xfId="0" applyFill="1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0" fillId="0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0" borderId="0" xfId="0" applyFont="1" applyFill="1"/>
    <xf numFmtId="0" fontId="0" fillId="0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2" fillId="0" borderId="0" xfId="0" applyFont="1"/>
    <xf numFmtId="0" fontId="0" fillId="4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9" fontId="0" fillId="0" borderId="0" xfId="1" applyNumberFormat="1" applyFont="1" applyFill="1" applyBorder="1" applyAlignment="1">
      <alignment horizontal="center"/>
    </xf>
    <xf numFmtId="0" fontId="0" fillId="0" borderId="0" xfId="0" quotePrefix="1" applyFill="1"/>
    <xf numFmtId="9" fontId="0" fillId="0" borderId="2" xfId="1" applyNumberFormat="1" applyFont="1" applyFill="1" applyBorder="1" applyAlignment="1">
      <alignment horizontal="center"/>
    </xf>
    <xf numFmtId="9" fontId="0" fillId="0" borderId="3" xfId="1" applyNumberFormat="1" applyFont="1" applyFill="1" applyBorder="1" applyAlignment="1">
      <alignment horizontal="center"/>
    </xf>
    <xf numFmtId="9" fontId="0" fillId="0" borderId="4" xfId="1" applyNumberFormat="1" applyFont="1" applyFill="1" applyBorder="1" applyAlignment="1">
      <alignment horizontal="center"/>
    </xf>
    <xf numFmtId="9" fontId="0" fillId="0" borderId="5" xfId="1" applyNumberFormat="1" applyFont="1" applyFill="1" applyBorder="1" applyAlignment="1">
      <alignment horizontal="center"/>
    </xf>
    <xf numFmtId="9" fontId="0" fillId="0" borderId="6" xfId="1" applyNumberFormat="1" applyFont="1" applyFill="1" applyBorder="1" applyAlignment="1">
      <alignment horizontal="center"/>
    </xf>
    <xf numFmtId="9" fontId="0" fillId="0" borderId="7" xfId="1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2205.652133101852" createdVersion="4" refreshedVersion="4" minRefreshableVersion="3" recordCount="747">
  <cacheSource type="worksheet">
    <worksheetSource ref="B1:B1048576" sheet="Hoja1"/>
  </cacheSource>
  <cacheFields count="1">
    <cacheField name="Equipo1" numFmtId="0">
      <sharedItems containsBlank="1" count="14">
        <s v="Chile"/>
        <s v="Argentina"/>
        <s v="Uruguay"/>
        <s v="Paraguay"/>
        <s v="Bolivia"/>
        <s v="Peru"/>
        <s v="Ecuador"/>
        <s v="Colombia"/>
        <s v="Venezuela"/>
        <s v="Mexico"/>
        <s v="Brazil"/>
        <s v="Costa Rica"/>
        <m/>
        <s v="Méxic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2205.652133217591" createdVersion="4" refreshedVersion="4" minRefreshableVersion="3" recordCount="747">
  <cacheSource type="worksheet">
    <worksheetSource ref="C1:C1048576" sheet="Hoja1"/>
  </cacheSource>
  <cacheFields count="1">
    <cacheField name="Equipo2" numFmtId="0">
      <sharedItems containsBlank="1" count="20">
        <s v="Uruguay"/>
        <s v="Chile"/>
        <s v="Brazil"/>
        <s v="Paraguay"/>
        <s v="Bolivia"/>
        <s v="Peru"/>
        <s v="Ecuador"/>
        <s v="Colombia"/>
        <s v="Venezuela"/>
        <s v="United States"/>
        <s v="Mexico"/>
        <s v="Costa Rica"/>
        <s v="Japan"/>
        <s v="Honduras"/>
        <s v="Jamaica"/>
        <m/>
        <s v="USA" u="1"/>
        <s v="United States." u="1"/>
        <s v="México" u="1"/>
        <s v="U.S.A.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ser" refreshedDate="42205.676888425929" createdVersion="4" refreshedVersion="4" minRefreshableVersion="3" recordCount="746">
  <cacheSource type="worksheet">
    <worksheetSource ref="K1:O747" sheet="Hoja1"/>
  </cacheSource>
  <cacheFields count="5">
    <cacheField name="id1" numFmtId="0">
      <sharedItems count="84">
        <s v="ChileUruguay"/>
        <s v="ArgentinaChile"/>
        <s v="ChileBrazil"/>
        <s v="ArgentinaBrazil"/>
        <s v="UruguayBrazil"/>
        <s v="ArgentinaUruguay"/>
        <s v="ParaguayUruguay"/>
        <s v="ParaguayBrazil"/>
        <s v="ArgentinaParaguay"/>
        <s v="ChileParaguay"/>
        <s v="BoliviaChile"/>
        <s v="ArgentinaBolivia"/>
        <s v="BoliviaParaguay"/>
        <s v="BoliviaUruguay"/>
        <s v="PeruUruguay"/>
        <s v="BoliviaPeru"/>
        <s v="ArgentinaPeru"/>
        <s v="ParaguayPeru"/>
        <s v="ChilePeru"/>
        <s v="PeruBrazil"/>
        <s v="EcuadorPeru"/>
        <s v="EcuadorUruguay"/>
        <s v="ChileEcuador"/>
        <s v="EcuadorParaguay"/>
        <s v="ArgentinaEcuador"/>
        <s v="EcuadorBrazil"/>
        <s v="ColombiaBrazil"/>
        <s v="ColombiaUruguay"/>
        <s v="BoliviaBrazil"/>
        <s v="ChileColombia"/>
        <s v="ArgentinaColombia"/>
        <s v="BoliviaEcuador"/>
        <s v="ColombiaEcuador"/>
        <s v="BoliviaColombia"/>
        <s v="ColombiaParaguay"/>
        <s v="ColombiaPeru"/>
        <s v="ChileVenezuela"/>
        <s v="UruguayVenezuela"/>
        <s v="ArgentinaVenezuela"/>
        <s v="BoliviaVenezuela"/>
        <s v="ParaguayVenezuela"/>
        <s v="VenezuelaBrazil"/>
        <s v="ColombiaVenezuela"/>
        <s v="PeruVenezuela"/>
        <s v="EcuadorVenezuela"/>
        <s v="UruguayUnited States"/>
        <s v="ColombiaMexico"/>
        <s v="EcuadorUnited States"/>
        <s v="ArgentinaMexico"/>
        <s v="VenezuelaUnited States"/>
        <s v="BoliviaMexico"/>
        <s v="PeruMexico"/>
        <s v="EcuadorMexico"/>
        <s v="ParaguayMexico"/>
        <s v="ChileUnited States"/>
        <s v="VenezuelaMexico"/>
        <s v="BoliviaUnited States"/>
        <s v="UruguayMexico"/>
        <s v="ArgentinaUnited States"/>
        <s v="MexicoUnited States"/>
        <s v="BrazilUnited States"/>
        <s v="ColombiaUnited States"/>
        <s v="BrazilCosta Rica"/>
        <s v="BrazilMexico"/>
        <s v="ColombiaCosta Rica"/>
        <s v="MexicoCosta Rica"/>
        <s v="PeruJapan"/>
        <s v="ChileMexico"/>
        <s v="ParaguayJapan"/>
        <s v="BoliviaJapan"/>
        <s v="Costa RicaHonduras"/>
        <s v="UruguayCosta Rica"/>
        <s v="BoliviaHonduras"/>
        <s v="UruguayHonduras"/>
        <s v="BoliviaCosta Rica"/>
        <s v="BrazilHonduras"/>
        <s v="ColombiaHonduras"/>
        <s v="ParaguayCosta Rica"/>
        <s v="ChileCosta Rica"/>
        <s v="ParaguayUnited States"/>
        <s v="ArgentinaCosta Rica"/>
        <s v="UruguayJamaica"/>
        <s v="ParaguayJamaica"/>
        <s v="ArgentinaJamaica"/>
      </sharedItems>
    </cacheField>
    <cacheField name="id2" numFmtId="0">
      <sharedItems count="84">
        <s v="UruguayChile"/>
        <s v="ChileArgentina"/>
        <s v="BrazilChile"/>
        <s v="BrazilArgentina"/>
        <s v="BrazilUruguay"/>
        <s v="UruguayArgentina"/>
        <s v="UruguayParaguay"/>
        <s v="BrazilParaguay"/>
        <s v="ParaguayArgentina"/>
        <s v="ParaguayChile"/>
        <s v="ChileBolivia"/>
        <s v="BoliviaArgentina"/>
        <s v="ParaguayBolivia"/>
        <s v="UruguayBolivia"/>
        <s v="UruguayPeru"/>
        <s v="PeruBolivia"/>
        <s v="PeruArgentina"/>
        <s v="PeruParaguay"/>
        <s v="PeruChile"/>
        <s v="BrazilPeru"/>
        <s v="PeruEcuador"/>
        <s v="UruguayEcuador"/>
        <s v="EcuadorChile"/>
        <s v="ParaguayEcuador"/>
        <s v="EcuadorArgentina"/>
        <s v="BrazilEcuador"/>
        <s v="BrazilColombia"/>
        <s v="UruguayColombia"/>
        <s v="BrazilBolivia"/>
        <s v="ColombiaChile"/>
        <s v="ColombiaArgentina"/>
        <s v="EcuadorBolivia"/>
        <s v="EcuadorColombia"/>
        <s v="ColombiaBolivia"/>
        <s v="ParaguayColombia"/>
        <s v="PeruColombia"/>
        <s v="VenezuelaChile"/>
        <s v="VenezuelaUruguay"/>
        <s v="VenezuelaArgentina"/>
        <s v="VenezuelaBolivia"/>
        <s v="VenezuelaParaguay"/>
        <s v="BrazilVenezuela"/>
        <s v="VenezuelaColombia"/>
        <s v="VenezuelaPeru"/>
        <s v="VenezuelaEcuador"/>
        <s v="United StatesUruguay"/>
        <s v="MexicoColombia"/>
        <s v="United StatesEcuador"/>
        <s v="MexicoArgentina"/>
        <s v="United StatesVenezuela"/>
        <s v="MexicoBolivia"/>
        <s v="MexicoPeru"/>
        <s v="MexicoEcuador"/>
        <s v="MexicoParaguay"/>
        <s v="United StatesChile"/>
        <s v="MexicoVenezuela"/>
        <s v="United StatesBolivia"/>
        <s v="MexicoUruguay"/>
        <s v="United StatesArgentina"/>
        <s v="United StatesMexico"/>
        <s v="United StatesBrazil"/>
        <s v="United StatesColombia"/>
        <s v="Costa RicaBrazil"/>
        <s v="MexicoBrazil"/>
        <s v="Costa RicaColombia"/>
        <s v="Costa RicaMexico"/>
        <s v="JapanPeru"/>
        <s v="MexicoChile"/>
        <s v="JapanParaguay"/>
        <s v="JapanBolivia"/>
        <s v="HondurasCosta Rica"/>
        <s v="Costa RicaUruguay"/>
        <s v="HondurasBolivia"/>
        <s v="HondurasUruguay"/>
        <s v="Costa RicaBolivia"/>
        <s v="HondurasBrazil"/>
        <s v="HondurasColombia"/>
        <s v="Costa RicaParaguay"/>
        <s v="Costa RicaChile"/>
        <s v="United StatesParaguay"/>
        <s v="Costa RicaArgentina"/>
        <s v="JamaicaUruguay"/>
        <s v="JamaicaParaguay"/>
        <s v="JamaicaArgentina"/>
      </sharedItems>
    </cacheField>
    <cacheField name="GanoEquipo1" numFmtId="0">
      <sharedItems containsSemiMixedTypes="0" containsString="0" containsNumber="1" containsInteger="1" minValue="0" maxValue="1"/>
    </cacheField>
    <cacheField name="GanoEquipo2" numFmtId="0">
      <sharedItems containsSemiMixedTypes="0" containsString="0" containsNumber="1" containsInteger="1" minValue="0" maxValue="1"/>
    </cacheField>
    <cacheField name="Empat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User" refreshedDate="42205.677381250003" createdVersion="4" refreshedVersion="4" minRefreshableVersion="3" recordCount="746">
  <cacheSource type="worksheet">
    <worksheetSource ref="L1:O747" sheet="Hoja1"/>
  </cacheSource>
  <cacheFields count="4">
    <cacheField name="id2" numFmtId="0">
      <sharedItems count="84">
        <s v="UruguayChile"/>
        <s v="ChileArgentina"/>
        <s v="BrazilChile"/>
        <s v="BrazilArgentina"/>
        <s v="BrazilUruguay"/>
        <s v="UruguayArgentina"/>
        <s v="UruguayParaguay"/>
        <s v="BrazilParaguay"/>
        <s v="ParaguayArgentina"/>
        <s v="ParaguayChile"/>
        <s v="ChileBolivia"/>
        <s v="BoliviaArgentina"/>
        <s v="ParaguayBolivia"/>
        <s v="UruguayBolivia"/>
        <s v="UruguayPeru"/>
        <s v="PeruBolivia"/>
        <s v="PeruArgentina"/>
        <s v="PeruParaguay"/>
        <s v="PeruChile"/>
        <s v="BrazilPeru"/>
        <s v="PeruEcuador"/>
        <s v="UruguayEcuador"/>
        <s v="EcuadorChile"/>
        <s v="ParaguayEcuador"/>
        <s v="EcuadorArgentina"/>
        <s v="BrazilEcuador"/>
        <s v="BrazilColombia"/>
        <s v="UruguayColombia"/>
        <s v="BrazilBolivia"/>
        <s v="ColombiaChile"/>
        <s v="ColombiaArgentina"/>
        <s v="EcuadorBolivia"/>
        <s v="EcuadorColombia"/>
        <s v="ColombiaBolivia"/>
        <s v="ParaguayColombia"/>
        <s v="PeruColombia"/>
        <s v="VenezuelaChile"/>
        <s v="VenezuelaUruguay"/>
        <s v="VenezuelaArgentina"/>
        <s v="VenezuelaBolivia"/>
        <s v="VenezuelaParaguay"/>
        <s v="BrazilVenezuela"/>
        <s v="VenezuelaColombia"/>
        <s v="VenezuelaPeru"/>
        <s v="VenezuelaEcuador"/>
        <s v="United StatesUruguay"/>
        <s v="MexicoColombia"/>
        <s v="United StatesEcuador"/>
        <s v="MexicoArgentina"/>
        <s v="United StatesVenezuela"/>
        <s v="MexicoBolivia"/>
        <s v="MexicoPeru"/>
        <s v="MexicoEcuador"/>
        <s v="MexicoParaguay"/>
        <s v="United StatesChile"/>
        <s v="MexicoVenezuela"/>
        <s v="United StatesBolivia"/>
        <s v="MexicoUruguay"/>
        <s v="United StatesArgentina"/>
        <s v="United StatesMexico"/>
        <s v="United StatesBrazil"/>
        <s v="United StatesColombia"/>
        <s v="Costa RicaBrazil"/>
        <s v="MexicoBrazil"/>
        <s v="Costa RicaColombia"/>
        <s v="Costa RicaMexico"/>
        <s v="JapanPeru"/>
        <s v="MexicoChile"/>
        <s v="JapanParaguay"/>
        <s v="JapanBolivia"/>
        <s v="HondurasCosta Rica"/>
        <s v="Costa RicaUruguay"/>
        <s v="HondurasBolivia"/>
        <s v="HondurasUruguay"/>
        <s v="Costa RicaBolivia"/>
        <s v="HondurasBrazil"/>
        <s v="HondurasColombia"/>
        <s v="Costa RicaParaguay"/>
        <s v="Costa RicaChile"/>
        <s v="United StatesParaguay"/>
        <s v="Costa RicaArgentina"/>
        <s v="JamaicaUruguay"/>
        <s v="JamaicaParaguay"/>
        <s v="JamaicaArgentina"/>
      </sharedItems>
    </cacheField>
    <cacheField name="GanoEquipo1" numFmtId="0">
      <sharedItems containsSemiMixedTypes="0" containsString="0" containsNumber="1" containsInteger="1" minValue="0" maxValue="1"/>
    </cacheField>
    <cacheField name="GanoEquipo2" numFmtId="0">
      <sharedItems containsSemiMixedTypes="0" containsString="0" containsNumber="1" containsInteger="1" minValue="0" maxValue="1"/>
    </cacheField>
    <cacheField name="Empat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7">
  <r>
    <x v="0"/>
  </r>
  <r>
    <x v="1"/>
  </r>
  <r>
    <x v="0"/>
  </r>
  <r>
    <x v="1"/>
  </r>
  <r>
    <x v="2"/>
  </r>
  <r>
    <x v="1"/>
  </r>
  <r>
    <x v="0"/>
  </r>
  <r>
    <x v="1"/>
  </r>
  <r>
    <x v="1"/>
  </r>
  <r>
    <x v="2"/>
  </r>
  <r>
    <x v="0"/>
  </r>
  <r>
    <x v="1"/>
  </r>
  <r>
    <x v="0"/>
  </r>
  <r>
    <x v="1"/>
  </r>
  <r>
    <x v="0"/>
  </r>
  <r>
    <x v="1"/>
  </r>
  <r>
    <x v="1"/>
  </r>
  <r>
    <x v="2"/>
  </r>
  <r>
    <x v="2"/>
  </r>
  <r>
    <x v="0"/>
  </r>
  <r>
    <x v="1"/>
  </r>
  <r>
    <x v="2"/>
  </r>
  <r>
    <x v="1"/>
  </r>
  <r>
    <x v="1"/>
  </r>
  <r>
    <x v="0"/>
  </r>
  <r>
    <x v="1"/>
  </r>
  <r>
    <x v="3"/>
  </r>
  <r>
    <x v="3"/>
  </r>
  <r>
    <x v="1"/>
  </r>
  <r>
    <x v="2"/>
  </r>
  <r>
    <x v="1"/>
  </r>
  <r>
    <x v="0"/>
  </r>
  <r>
    <x v="0"/>
  </r>
  <r>
    <x v="3"/>
  </r>
  <r>
    <x v="1"/>
  </r>
  <r>
    <x v="2"/>
  </r>
  <r>
    <x v="0"/>
  </r>
  <r>
    <x v="1"/>
  </r>
  <r>
    <x v="3"/>
  </r>
  <r>
    <x v="1"/>
  </r>
  <r>
    <x v="1"/>
  </r>
  <r>
    <x v="3"/>
  </r>
  <r>
    <x v="1"/>
  </r>
  <r>
    <x v="3"/>
  </r>
  <r>
    <x v="3"/>
  </r>
  <r>
    <x v="1"/>
  </r>
  <r>
    <x v="2"/>
  </r>
  <r>
    <x v="1"/>
  </r>
  <r>
    <x v="1"/>
  </r>
  <r>
    <x v="0"/>
  </r>
  <r>
    <x v="1"/>
  </r>
  <r>
    <x v="3"/>
  </r>
  <r>
    <x v="0"/>
  </r>
  <r>
    <x v="1"/>
  </r>
  <r>
    <x v="1"/>
  </r>
  <r>
    <x v="3"/>
  </r>
  <r>
    <x v="1"/>
  </r>
  <r>
    <x v="3"/>
  </r>
  <r>
    <x v="1"/>
  </r>
  <r>
    <x v="1"/>
  </r>
  <r>
    <x v="4"/>
  </r>
  <r>
    <x v="1"/>
  </r>
  <r>
    <x v="0"/>
  </r>
  <r>
    <x v="1"/>
  </r>
  <r>
    <x v="4"/>
  </r>
  <r>
    <x v="1"/>
  </r>
  <r>
    <x v="4"/>
  </r>
  <r>
    <x v="1"/>
  </r>
  <r>
    <x v="3"/>
  </r>
  <r>
    <x v="0"/>
  </r>
  <r>
    <x v="1"/>
  </r>
  <r>
    <x v="5"/>
  </r>
  <r>
    <x v="4"/>
  </r>
  <r>
    <x v="4"/>
  </r>
  <r>
    <x v="4"/>
  </r>
  <r>
    <x v="1"/>
  </r>
  <r>
    <x v="1"/>
  </r>
  <r>
    <x v="3"/>
  </r>
  <r>
    <x v="1"/>
  </r>
  <r>
    <x v="1"/>
  </r>
  <r>
    <x v="5"/>
  </r>
  <r>
    <x v="3"/>
  </r>
  <r>
    <x v="1"/>
  </r>
  <r>
    <x v="1"/>
  </r>
  <r>
    <x v="5"/>
  </r>
  <r>
    <x v="0"/>
  </r>
  <r>
    <x v="1"/>
  </r>
  <r>
    <x v="0"/>
  </r>
  <r>
    <x v="1"/>
  </r>
  <r>
    <x v="5"/>
  </r>
  <r>
    <x v="1"/>
  </r>
  <r>
    <x v="3"/>
  </r>
  <r>
    <x v="0"/>
  </r>
  <r>
    <x v="5"/>
  </r>
  <r>
    <x v="1"/>
  </r>
  <r>
    <x v="0"/>
  </r>
  <r>
    <x v="3"/>
  </r>
  <r>
    <x v="1"/>
  </r>
  <r>
    <x v="0"/>
  </r>
  <r>
    <x v="2"/>
  </r>
  <r>
    <x v="0"/>
  </r>
  <r>
    <x v="1"/>
  </r>
  <r>
    <x v="3"/>
  </r>
  <r>
    <x v="1"/>
  </r>
  <r>
    <x v="1"/>
  </r>
  <r>
    <x v="6"/>
  </r>
  <r>
    <x v="0"/>
  </r>
  <r>
    <x v="0"/>
  </r>
  <r>
    <x v="6"/>
  </r>
  <r>
    <x v="0"/>
  </r>
  <r>
    <x v="3"/>
  </r>
  <r>
    <x v="0"/>
  </r>
  <r>
    <x v="3"/>
  </r>
  <r>
    <x v="5"/>
  </r>
  <r>
    <x v="6"/>
  </r>
  <r>
    <x v="0"/>
  </r>
  <r>
    <x v="6"/>
  </r>
  <r>
    <x v="0"/>
  </r>
  <r>
    <x v="1"/>
  </r>
  <r>
    <x v="1"/>
  </r>
  <r>
    <x v="0"/>
  </r>
  <r>
    <x v="6"/>
  </r>
  <r>
    <x v="1"/>
  </r>
  <r>
    <x v="5"/>
  </r>
  <r>
    <x v="1"/>
  </r>
  <r>
    <x v="0"/>
  </r>
  <r>
    <x v="1"/>
  </r>
  <r>
    <x v="0"/>
  </r>
  <r>
    <x v="1"/>
  </r>
  <r>
    <x v="3"/>
  </r>
  <r>
    <x v="6"/>
  </r>
  <r>
    <x v="5"/>
  </r>
  <r>
    <x v="0"/>
  </r>
  <r>
    <x v="1"/>
  </r>
  <r>
    <x v="2"/>
  </r>
  <r>
    <x v="6"/>
  </r>
  <r>
    <x v="1"/>
  </r>
  <r>
    <x v="3"/>
  </r>
  <r>
    <x v="6"/>
  </r>
  <r>
    <x v="1"/>
  </r>
  <r>
    <x v="6"/>
  </r>
  <r>
    <x v="5"/>
  </r>
  <r>
    <x v="3"/>
  </r>
  <r>
    <x v="0"/>
  </r>
  <r>
    <x v="1"/>
  </r>
  <r>
    <x v="0"/>
  </r>
  <r>
    <x v="0"/>
  </r>
  <r>
    <x v="1"/>
  </r>
  <r>
    <x v="7"/>
  </r>
  <r>
    <x v="6"/>
  </r>
  <r>
    <x v="4"/>
  </r>
  <r>
    <x v="7"/>
  </r>
  <r>
    <x v="4"/>
  </r>
  <r>
    <x v="1"/>
  </r>
  <r>
    <x v="0"/>
  </r>
  <r>
    <x v="1"/>
  </r>
  <r>
    <x v="2"/>
  </r>
  <r>
    <x v="4"/>
  </r>
  <r>
    <x v="1"/>
  </r>
  <r>
    <x v="1"/>
  </r>
  <r>
    <x v="4"/>
  </r>
  <r>
    <x v="7"/>
  </r>
  <r>
    <x v="0"/>
  </r>
  <r>
    <x v="4"/>
  </r>
  <r>
    <x v="6"/>
  </r>
  <r>
    <x v="1"/>
  </r>
  <r>
    <x v="0"/>
  </r>
  <r>
    <x v="1"/>
  </r>
  <r>
    <x v="4"/>
  </r>
  <r>
    <x v="0"/>
  </r>
  <r>
    <x v="1"/>
  </r>
  <r>
    <x v="0"/>
  </r>
  <r>
    <x v="2"/>
  </r>
  <r>
    <x v="1"/>
  </r>
  <r>
    <x v="4"/>
  </r>
  <r>
    <x v="4"/>
  </r>
  <r>
    <x v="3"/>
  </r>
  <r>
    <x v="1"/>
  </r>
  <r>
    <x v="0"/>
  </r>
  <r>
    <x v="4"/>
  </r>
  <r>
    <x v="3"/>
  </r>
  <r>
    <x v="1"/>
  </r>
  <r>
    <x v="4"/>
  </r>
  <r>
    <x v="1"/>
  </r>
  <r>
    <x v="7"/>
  </r>
  <r>
    <x v="7"/>
  </r>
  <r>
    <x v="1"/>
  </r>
  <r>
    <x v="0"/>
  </r>
  <r>
    <x v="3"/>
  </r>
  <r>
    <x v="0"/>
  </r>
  <r>
    <x v="4"/>
  </r>
  <r>
    <x v="0"/>
  </r>
  <r>
    <x v="1"/>
  </r>
  <r>
    <x v="4"/>
  </r>
  <r>
    <x v="3"/>
  </r>
  <r>
    <x v="1"/>
  </r>
  <r>
    <x v="6"/>
  </r>
  <r>
    <x v="4"/>
  </r>
  <r>
    <x v="1"/>
  </r>
  <r>
    <x v="7"/>
  </r>
  <r>
    <x v="6"/>
  </r>
  <r>
    <x v="0"/>
  </r>
  <r>
    <x v="7"/>
  </r>
  <r>
    <x v="1"/>
  </r>
  <r>
    <x v="5"/>
  </r>
  <r>
    <x v="4"/>
  </r>
  <r>
    <x v="1"/>
  </r>
  <r>
    <x v="0"/>
  </r>
  <r>
    <x v="6"/>
  </r>
  <r>
    <x v="4"/>
  </r>
  <r>
    <x v="6"/>
  </r>
  <r>
    <x v="4"/>
  </r>
  <r>
    <x v="7"/>
  </r>
  <r>
    <x v="4"/>
  </r>
  <r>
    <x v="7"/>
  </r>
  <r>
    <x v="6"/>
  </r>
  <r>
    <x v="3"/>
  </r>
  <r>
    <x v="0"/>
  </r>
  <r>
    <x v="6"/>
  </r>
  <r>
    <x v="0"/>
  </r>
  <r>
    <x v="7"/>
  </r>
  <r>
    <x v="4"/>
  </r>
  <r>
    <x v="0"/>
  </r>
  <r>
    <x v="6"/>
  </r>
  <r>
    <x v="3"/>
  </r>
  <r>
    <x v="4"/>
  </r>
  <r>
    <x v="7"/>
  </r>
  <r>
    <x v="5"/>
  </r>
  <r>
    <x v="0"/>
  </r>
  <r>
    <x v="4"/>
  </r>
  <r>
    <x v="2"/>
  </r>
  <r>
    <x v="4"/>
  </r>
  <r>
    <x v="0"/>
  </r>
  <r>
    <x v="7"/>
  </r>
  <r>
    <x v="5"/>
  </r>
  <r>
    <x v="4"/>
  </r>
  <r>
    <x v="0"/>
  </r>
  <r>
    <x v="3"/>
  </r>
  <r>
    <x v="3"/>
  </r>
  <r>
    <x v="4"/>
  </r>
  <r>
    <x v="4"/>
  </r>
  <r>
    <x v="0"/>
  </r>
  <r>
    <x v="6"/>
  </r>
  <r>
    <x v="0"/>
  </r>
  <r>
    <x v="4"/>
  </r>
  <r>
    <x v="6"/>
  </r>
  <r>
    <x v="0"/>
  </r>
  <r>
    <x v="3"/>
  </r>
  <r>
    <x v="4"/>
  </r>
  <r>
    <x v="3"/>
  </r>
  <r>
    <x v="6"/>
  </r>
  <r>
    <x v="2"/>
  </r>
  <r>
    <x v="4"/>
  </r>
  <r>
    <x v="0"/>
  </r>
  <r>
    <x v="5"/>
  </r>
  <r>
    <x v="0"/>
  </r>
  <r>
    <x v="6"/>
  </r>
  <r>
    <x v="3"/>
  </r>
  <r>
    <x v="5"/>
  </r>
  <r>
    <x v="4"/>
  </r>
  <r>
    <x v="3"/>
  </r>
  <r>
    <x v="0"/>
  </r>
  <r>
    <x v="1"/>
  </r>
  <r>
    <x v="0"/>
  </r>
  <r>
    <x v="3"/>
  </r>
  <r>
    <x v="1"/>
  </r>
  <r>
    <x v="0"/>
  </r>
  <r>
    <x v="6"/>
  </r>
  <r>
    <x v="6"/>
  </r>
  <r>
    <x v="1"/>
  </r>
  <r>
    <x v="0"/>
  </r>
  <r>
    <x v="6"/>
  </r>
  <r>
    <x v="3"/>
  </r>
  <r>
    <x v="1"/>
  </r>
  <r>
    <x v="1"/>
  </r>
  <r>
    <x v="5"/>
  </r>
  <r>
    <x v="3"/>
  </r>
  <r>
    <x v="1"/>
  </r>
  <r>
    <x v="0"/>
  </r>
  <r>
    <x v="5"/>
  </r>
  <r>
    <x v="3"/>
  </r>
  <r>
    <x v="1"/>
  </r>
  <r>
    <x v="5"/>
  </r>
  <r>
    <x v="1"/>
  </r>
  <r>
    <x v="1"/>
  </r>
  <r>
    <x v="3"/>
  </r>
  <r>
    <x v="0"/>
  </r>
  <r>
    <x v="0"/>
  </r>
  <r>
    <x v="2"/>
  </r>
  <r>
    <x v="0"/>
  </r>
  <r>
    <x v="1"/>
  </r>
  <r>
    <x v="6"/>
  </r>
  <r>
    <x v="6"/>
  </r>
  <r>
    <x v="0"/>
  </r>
  <r>
    <x v="1"/>
  </r>
  <r>
    <x v="0"/>
  </r>
  <r>
    <x v="1"/>
  </r>
  <r>
    <x v="7"/>
  </r>
  <r>
    <x v="1"/>
  </r>
  <r>
    <x v="6"/>
  </r>
  <r>
    <x v="0"/>
  </r>
  <r>
    <x v="5"/>
  </r>
  <r>
    <x v="7"/>
  </r>
  <r>
    <x v="0"/>
  </r>
  <r>
    <x v="7"/>
  </r>
  <r>
    <x v="1"/>
  </r>
  <r>
    <x v="2"/>
  </r>
  <r>
    <x v="5"/>
  </r>
  <r>
    <x v="0"/>
  </r>
  <r>
    <x v="7"/>
  </r>
  <r>
    <x v="1"/>
  </r>
  <r>
    <x v="1"/>
  </r>
  <r>
    <x v="1"/>
  </r>
  <r>
    <x v="4"/>
  </r>
  <r>
    <x v="5"/>
  </r>
  <r>
    <x v="0"/>
  </r>
  <r>
    <x v="1"/>
  </r>
  <r>
    <x v="5"/>
  </r>
  <r>
    <x v="4"/>
  </r>
  <r>
    <x v="0"/>
  </r>
  <r>
    <x v="1"/>
  </r>
  <r>
    <x v="3"/>
  </r>
  <r>
    <x v="0"/>
  </r>
  <r>
    <x v="4"/>
  </r>
  <r>
    <x v="1"/>
  </r>
  <r>
    <x v="2"/>
  </r>
  <r>
    <x v="4"/>
  </r>
  <r>
    <x v="4"/>
  </r>
  <r>
    <x v="3"/>
  </r>
  <r>
    <x v="1"/>
  </r>
  <r>
    <x v="0"/>
  </r>
  <r>
    <x v="3"/>
  </r>
  <r>
    <x v="1"/>
  </r>
  <r>
    <x v="3"/>
  </r>
  <r>
    <x v="6"/>
  </r>
  <r>
    <x v="1"/>
  </r>
  <r>
    <x v="1"/>
  </r>
  <r>
    <x v="2"/>
  </r>
  <r>
    <x v="1"/>
  </r>
  <r>
    <x v="6"/>
  </r>
  <r>
    <x v="3"/>
  </r>
  <r>
    <x v="1"/>
  </r>
  <r>
    <x v="6"/>
  </r>
  <r>
    <x v="5"/>
  </r>
  <r>
    <x v="1"/>
  </r>
  <r>
    <x v="4"/>
  </r>
  <r>
    <x v="1"/>
  </r>
  <r>
    <x v="6"/>
  </r>
  <r>
    <x v="7"/>
  </r>
  <r>
    <x v="3"/>
  </r>
  <r>
    <x v="4"/>
  </r>
  <r>
    <x v="6"/>
  </r>
  <r>
    <x v="1"/>
  </r>
  <r>
    <x v="7"/>
  </r>
  <r>
    <x v="4"/>
  </r>
  <r>
    <x v="1"/>
  </r>
  <r>
    <x v="7"/>
  </r>
  <r>
    <x v="4"/>
  </r>
  <r>
    <x v="6"/>
  </r>
  <r>
    <x v="3"/>
  </r>
  <r>
    <x v="1"/>
  </r>
  <r>
    <x v="4"/>
  </r>
  <r>
    <x v="7"/>
  </r>
  <r>
    <x v="1"/>
  </r>
  <r>
    <x v="0"/>
  </r>
  <r>
    <x v="0"/>
  </r>
  <r>
    <x v="6"/>
  </r>
  <r>
    <x v="6"/>
  </r>
  <r>
    <x v="4"/>
  </r>
  <r>
    <x v="1"/>
  </r>
  <r>
    <x v="0"/>
  </r>
  <r>
    <x v="2"/>
  </r>
  <r>
    <x v="0"/>
  </r>
  <r>
    <x v="1"/>
  </r>
  <r>
    <x v="1"/>
  </r>
  <r>
    <x v="4"/>
  </r>
  <r>
    <x v="0"/>
  </r>
  <r>
    <x v="4"/>
  </r>
  <r>
    <x v="1"/>
  </r>
  <r>
    <x v="3"/>
  </r>
  <r>
    <x v="3"/>
  </r>
  <r>
    <x v="4"/>
  </r>
  <r>
    <x v="1"/>
  </r>
  <r>
    <x v="0"/>
  </r>
  <r>
    <x v="4"/>
  </r>
  <r>
    <x v="7"/>
  </r>
  <r>
    <x v="6"/>
  </r>
  <r>
    <x v="4"/>
  </r>
  <r>
    <x v="7"/>
  </r>
  <r>
    <x v="7"/>
  </r>
  <r>
    <x v="8"/>
  </r>
  <r>
    <x v="1"/>
  </r>
  <r>
    <x v="1"/>
  </r>
  <r>
    <x v="4"/>
  </r>
  <r>
    <x v="7"/>
  </r>
  <r>
    <x v="1"/>
  </r>
  <r>
    <x v="6"/>
  </r>
  <r>
    <x v="4"/>
  </r>
  <r>
    <x v="8"/>
  </r>
  <r>
    <x v="1"/>
  </r>
  <r>
    <x v="0"/>
  </r>
  <r>
    <x v="7"/>
  </r>
  <r>
    <x v="5"/>
  </r>
  <r>
    <x v="7"/>
  </r>
  <r>
    <x v="5"/>
  </r>
  <r>
    <x v="7"/>
  </r>
  <r>
    <x v="7"/>
  </r>
  <r>
    <x v="7"/>
  </r>
  <r>
    <x v="1"/>
  </r>
  <r>
    <x v="4"/>
  </r>
  <r>
    <x v="7"/>
  </r>
  <r>
    <x v="1"/>
  </r>
  <r>
    <x v="1"/>
  </r>
  <r>
    <x v="0"/>
  </r>
  <r>
    <x v="0"/>
  </r>
  <r>
    <x v="4"/>
  </r>
  <r>
    <x v="7"/>
  </r>
  <r>
    <x v="1"/>
  </r>
  <r>
    <x v="0"/>
  </r>
  <r>
    <x v="6"/>
  </r>
  <r>
    <x v="0"/>
  </r>
  <r>
    <x v="6"/>
  </r>
  <r>
    <x v="6"/>
  </r>
  <r>
    <x v="6"/>
  </r>
  <r>
    <x v="3"/>
  </r>
  <r>
    <x v="3"/>
  </r>
  <r>
    <x v="0"/>
  </r>
  <r>
    <x v="3"/>
  </r>
  <r>
    <x v="0"/>
  </r>
  <r>
    <x v="3"/>
  </r>
  <r>
    <x v="0"/>
  </r>
  <r>
    <x v="0"/>
  </r>
  <r>
    <x v="0"/>
  </r>
  <r>
    <x v="1"/>
  </r>
  <r>
    <x v="4"/>
  </r>
  <r>
    <x v="6"/>
  </r>
  <r>
    <x v="7"/>
  </r>
  <r>
    <x v="4"/>
  </r>
  <r>
    <x v="1"/>
  </r>
  <r>
    <x v="7"/>
  </r>
  <r>
    <x v="4"/>
  </r>
  <r>
    <x v="6"/>
  </r>
  <r>
    <x v="0"/>
  </r>
  <r>
    <x v="4"/>
  </r>
  <r>
    <x v="2"/>
  </r>
  <r>
    <x v="1"/>
  </r>
  <r>
    <x v="0"/>
  </r>
  <r>
    <x v="0"/>
  </r>
  <r>
    <x v="1"/>
  </r>
  <r>
    <x v="2"/>
  </r>
  <r>
    <x v="0"/>
  </r>
  <r>
    <x v="5"/>
  </r>
  <r>
    <x v="3"/>
  </r>
  <r>
    <x v="5"/>
  </r>
  <r>
    <x v="3"/>
  </r>
  <r>
    <x v="2"/>
  </r>
  <r>
    <x v="2"/>
  </r>
  <r>
    <x v="1"/>
  </r>
  <r>
    <x v="4"/>
  </r>
  <r>
    <x v="8"/>
  </r>
  <r>
    <x v="0"/>
  </r>
  <r>
    <x v="4"/>
  </r>
  <r>
    <x v="1"/>
  </r>
  <r>
    <x v="0"/>
  </r>
  <r>
    <x v="6"/>
  </r>
  <r>
    <x v="7"/>
  </r>
  <r>
    <x v="0"/>
  </r>
  <r>
    <x v="1"/>
  </r>
  <r>
    <x v="1"/>
  </r>
  <r>
    <x v="0"/>
  </r>
  <r>
    <x v="3"/>
  </r>
  <r>
    <x v="8"/>
  </r>
  <r>
    <x v="1"/>
  </r>
  <r>
    <x v="6"/>
  </r>
  <r>
    <x v="7"/>
  </r>
  <r>
    <x v="5"/>
  </r>
  <r>
    <x v="1"/>
  </r>
  <r>
    <x v="4"/>
  </r>
  <r>
    <x v="7"/>
  </r>
  <r>
    <x v="5"/>
  </r>
  <r>
    <x v="4"/>
  </r>
  <r>
    <x v="0"/>
  </r>
  <r>
    <x v="3"/>
  </r>
  <r>
    <x v="7"/>
  </r>
  <r>
    <x v="1"/>
  </r>
  <r>
    <x v="4"/>
  </r>
  <r>
    <x v="7"/>
  </r>
  <r>
    <x v="3"/>
  </r>
  <r>
    <x v="0"/>
  </r>
  <r>
    <x v="1"/>
  </r>
  <r>
    <x v="3"/>
  </r>
  <r>
    <x v="1"/>
  </r>
  <r>
    <x v="1"/>
  </r>
  <r>
    <x v="3"/>
  </r>
  <r>
    <x v="1"/>
  </r>
  <r>
    <x v="2"/>
  </r>
  <r>
    <x v="0"/>
  </r>
  <r>
    <x v="3"/>
  </r>
  <r>
    <x v="4"/>
  </r>
  <r>
    <x v="7"/>
  </r>
  <r>
    <x v="1"/>
  </r>
  <r>
    <x v="0"/>
  </r>
  <r>
    <x v="4"/>
  </r>
  <r>
    <x v="6"/>
  </r>
  <r>
    <x v="3"/>
  </r>
  <r>
    <x v="1"/>
  </r>
  <r>
    <x v="4"/>
  </r>
  <r>
    <x v="2"/>
  </r>
  <r>
    <x v="1"/>
  </r>
  <r>
    <x v="5"/>
  </r>
  <r>
    <x v="7"/>
  </r>
  <r>
    <x v="4"/>
  </r>
  <r>
    <x v="1"/>
  </r>
  <r>
    <x v="0"/>
  </r>
  <r>
    <x v="7"/>
  </r>
  <r>
    <x v="6"/>
  </r>
  <r>
    <x v="0"/>
  </r>
  <r>
    <x v="1"/>
  </r>
  <r>
    <x v="7"/>
  </r>
  <r>
    <x v="1"/>
  </r>
  <r>
    <x v="1"/>
  </r>
  <r>
    <x v="0"/>
  </r>
  <r>
    <x v="6"/>
  </r>
  <r>
    <x v="2"/>
  </r>
  <r>
    <x v="7"/>
  </r>
  <r>
    <x v="1"/>
  </r>
  <r>
    <x v="5"/>
  </r>
  <r>
    <x v="0"/>
  </r>
  <r>
    <x v="2"/>
  </r>
  <r>
    <x v="6"/>
  </r>
  <r>
    <x v="1"/>
  </r>
  <r>
    <x v="4"/>
  </r>
  <r>
    <x v="0"/>
  </r>
  <r>
    <x v="3"/>
  </r>
  <r>
    <x v="8"/>
  </r>
  <r>
    <x v="6"/>
  </r>
  <r>
    <x v="4"/>
  </r>
  <r>
    <x v="1"/>
  </r>
  <r>
    <x v="3"/>
  </r>
  <r>
    <x v="0"/>
  </r>
  <r>
    <x v="6"/>
  </r>
  <r>
    <x v="7"/>
  </r>
  <r>
    <x v="5"/>
  </r>
  <r>
    <x v="1"/>
  </r>
  <r>
    <x v="6"/>
  </r>
  <r>
    <x v="1"/>
  </r>
  <r>
    <x v="7"/>
  </r>
  <r>
    <x v="1"/>
  </r>
  <r>
    <x v="2"/>
  </r>
  <r>
    <x v="3"/>
  </r>
  <r>
    <x v="6"/>
  </r>
  <r>
    <x v="7"/>
  </r>
  <r>
    <x v="0"/>
  </r>
  <r>
    <x v="1"/>
  </r>
  <r>
    <x v="8"/>
  </r>
  <r>
    <x v="3"/>
  </r>
  <r>
    <x v="7"/>
  </r>
  <r>
    <x v="5"/>
  </r>
  <r>
    <x v="1"/>
  </r>
  <r>
    <x v="4"/>
  </r>
  <r>
    <x v="3"/>
  </r>
  <r>
    <x v="6"/>
  </r>
  <r>
    <x v="2"/>
  </r>
  <r>
    <x v="7"/>
  </r>
  <r>
    <x v="1"/>
  </r>
  <r>
    <x v="4"/>
  </r>
  <r>
    <x v="7"/>
  </r>
  <r>
    <x v="4"/>
  </r>
  <r>
    <x v="9"/>
  </r>
  <r>
    <x v="1"/>
  </r>
  <r>
    <x v="7"/>
  </r>
  <r>
    <x v="10"/>
  </r>
  <r>
    <x v="7"/>
  </r>
  <r>
    <x v="2"/>
  </r>
  <r>
    <x v="0"/>
  </r>
  <r>
    <x v="1"/>
  </r>
  <r>
    <x v="4"/>
  </r>
  <r>
    <x v="5"/>
  </r>
  <r>
    <x v="7"/>
  </r>
  <r>
    <x v="10"/>
  </r>
  <r>
    <x v="1"/>
  </r>
  <r>
    <x v="6"/>
  </r>
  <r>
    <x v="4"/>
  </r>
  <r>
    <x v="2"/>
  </r>
  <r>
    <x v="10"/>
  </r>
  <r>
    <x v="7"/>
  </r>
  <r>
    <x v="1"/>
  </r>
  <r>
    <x v="0"/>
  </r>
  <r>
    <x v="5"/>
  </r>
  <r>
    <x v="4"/>
  </r>
  <r>
    <x v="9"/>
  </r>
  <r>
    <x v="7"/>
  </r>
  <r>
    <x v="4"/>
  </r>
  <r>
    <x v="1"/>
  </r>
  <r>
    <x v="6"/>
  </r>
  <r>
    <x v="3"/>
  </r>
  <r>
    <x v="4"/>
  </r>
  <r>
    <x v="5"/>
  </r>
  <r>
    <x v="5"/>
  </r>
  <r>
    <x v="4"/>
  </r>
  <r>
    <x v="4"/>
  </r>
  <r>
    <x v="5"/>
  </r>
  <r>
    <x v="0"/>
  </r>
  <r>
    <x v="8"/>
  </r>
  <r>
    <x v="1"/>
  </r>
  <r>
    <x v="7"/>
  </r>
  <r>
    <x v="4"/>
  </r>
  <r>
    <x v="3"/>
  </r>
  <r>
    <x v="10"/>
  </r>
  <r>
    <x v="0"/>
  </r>
  <r>
    <x v="6"/>
  </r>
  <r>
    <x v="1"/>
  </r>
  <r>
    <x v="3"/>
  </r>
  <r>
    <x v="4"/>
  </r>
  <r>
    <x v="8"/>
  </r>
  <r>
    <x v="0"/>
  </r>
  <r>
    <x v="7"/>
  </r>
  <r>
    <x v="1"/>
  </r>
  <r>
    <x v="5"/>
  </r>
  <r>
    <x v="3"/>
  </r>
  <r>
    <x v="0"/>
  </r>
  <r>
    <x v="1"/>
  </r>
  <r>
    <x v="0"/>
  </r>
  <r>
    <x v="10"/>
  </r>
  <r>
    <x v="0"/>
  </r>
  <r>
    <x v="2"/>
  </r>
  <r>
    <x v="7"/>
  </r>
  <r>
    <x v="0"/>
  </r>
  <r>
    <x v="10"/>
  </r>
  <r>
    <x v="3"/>
  </r>
  <r>
    <x v="11"/>
  </r>
  <r>
    <x v="4"/>
  </r>
  <r>
    <x v="0"/>
  </r>
  <r>
    <x v="7"/>
  </r>
  <r>
    <x v="3"/>
  </r>
  <r>
    <x v="5"/>
  </r>
  <r>
    <x v="2"/>
  </r>
  <r>
    <x v="4"/>
  </r>
  <r>
    <x v="0"/>
  </r>
  <r>
    <x v="6"/>
  </r>
  <r>
    <x v="3"/>
  </r>
  <r>
    <x v="5"/>
  </r>
  <r>
    <x v="2"/>
  </r>
  <r>
    <x v="4"/>
  </r>
  <r>
    <x v="0"/>
  </r>
  <r>
    <x v="2"/>
  </r>
  <r>
    <x v="7"/>
  </r>
  <r>
    <x v="10"/>
  </r>
  <r>
    <x v="2"/>
  </r>
  <r>
    <x v="7"/>
  </r>
  <r>
    <x v="7"/>
  </r>
  <r>
    <x v="2"/>
  </r>
  <r>
    <x v="7"/>
  </r>
  <r>
    <x v="4"/>
  </r>
  <r>
    <x v="1"/>
  </r>
  <r>
    <x v="2"/>
  </r>
  <r>
    <x v="0"/>
  </r>
  <r>
    <x v="3"/>
  </r>
  <r>
    <x v="5"/>
  </r>
  <r>
    <x v="4"/>
  </r>
  <r>
    <x v="1"/>
  </r>
  <r>
    <x v="6"/>
  </r>
  <r>
    <x v="10"/>
  </r>
  <r>
    <x v="0"/>
  </r>
  <r>
    <x v="4"/>
  </r>
  <r>
    <x v="7"/>
  </r>
  <r>
    <x v="1"/>
  </r>
  <r>
    <x v="6"/>
  </r>
  <r>
    <x v="3"/>
  </r>
  <r>
    <x v="0"/>
  </r>
  <r>
    <x v="1"/>
  </r>
  <r>
    <x v="7"/>
  </r>
  <r>
    <x v="3"/>
  </r>
  <r>
    <x v="10"/>
  </r>
  <r>
    <x v="1"/>
  </r>
  <r>
    <x v="2"/>
  </r>
  <r>
    <x v="7"/>
  </r>
  <r>
    <x v="1"/>
  </r>
  <r>
    <x v="4"/>
  </r>
  <r>
    <x v="5"/>
  </r>
  <r>
    <x v="10"/>
  </r>
  <r>
    <x v="0"/>
  </r>
  <r>
    <x v="1"/>
  </r>
  <r>
    <x v="7"/>
  </r>
  <r>
    <x v="5"/>
  </r>
  <r>
    <x v="4"/>
  </r>
  <r>
    <x v="6"/>
  </r>
  <r>
    <x v="0"/>
  </r>
  <r>
    <x v="1"/>
  </r>
  <r>
    <x v="3"/>
  </r>
  <r>
    <x v="2"/>
  </r>
  <r>
    <x v="4"/>
  </r>
  <r>
    <x v="6"/>
  </r>
  <r>
    <x v="0"/>
  </r>
  <r>
    <x v="1"/>
  </r>
  <r>
    <x v="7"/>
  </r>
  <r>
    <x v="0"/>
  </r>
  <r>
    <x v="2"/>
  </r>
  <r>
    <x v="1"/>
  </r>
  <r>
    <x v="3"/>
  </r>
  <r>
    <x v="2"/>
  </r>
  <r>
    <x v="1"/>
  </r>
  <r>
    <x v="2"/>
  </r>
  <r>
    <x v="1"/>
  </r>
  <r>
    <x v="1"/>
  </r>
  <r>
    <x v="7"/>
  </r>
  <r>
    <x v="8"/>
  </r>
  <r>
    <x v="6"/>
  </r>
  <r>
    <x v="0"/>
  </r>
  <r>
    <x v="5"/>
  </r>
  <r>
    <x v="1"/>
  </r>
  <r>
    <x v="4"/>
  </r>
  <r>
    <x v="0"/>
  </r>
  <r>
    <x v="5"/>
  </r>
  <r>
    <x v="6"/>
  </r>
  <r>
    <x v="3"/>
  </r>
  <r>
    <x v="4"/>
  </r>
  <r>
    <x v="1"/>
  </r>
  <r>
    <x v="0"/>
  </r>
  <r>
    <x v="2"/>
  </r>
  <r>
    <x v="3"/>
  </r>
  <r>
    <x v="6"/>
  </r>
  <r>
    <x v="7"/>
  </r>
  <r>
    <x v="1"/>
  </r>
  <r>
    <x v="3"/>
  </r>
  <r>
    <x v="0"/>
  </r>
  <r>
    <x v="5"/>
  </r>
  <r>
    <x v="3"/>
  </r>
  <r>
    <x v="5"/>
  </r>
  <r>
    <x v="3"/>
  </r>
  <r>
    <x v="0"/>
  </r>
  <r>
    <x v="4"/>
  </r>
  <r>
    <x v="2"/>
  </r>
  <r>
    <x v="1"/>
  </r>
  <r>
    <x v="5"/>
  </r>
  <r>
    <x v="7"/>
  </r>
  <r>
    <x v="0"/>
  </r>
  <r>
    <x v="4"/>
  </r>
  <r>
    <x v="1"/>
  </r>
  <r>
    <x v="3"/>
  </r>
  <r>
    <x v="7"/>
  </r>
  <r>
    <x v="5"/>
  </r>
  <r>
    <x v="4"/>
  </r>
  <r>
    <x v="6"/>
  </r>
  <r>
    <x v="1"/>
  </r>
  <r>
    <x v="3"/>
  </r>
  <r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47">
  <r>
    <x v="0"/>
  </r>
  <r>
    <x v="1"/>
  </r>
  <r>
    <x v="2"/>
  </r>
  <r>
    <x v="2"/>
  </r>
  <r>
    <x v="2"/>
  </r>
  <r>
    <x v="0"/>
  </r>
  <r>
    <x v="0"/>
  </r>
  <r>
    <x v="2"/>
  </r>
  <r>
    <x v="1"/>
  </r>
  <r>
    <x v="2"/>
  </r>
  <r>
    <x v="2"/>
  </r>
  <r>
    <x v="0"/>
  </r>
  <r>
    <x v="2"/>
  </r>
  <r>
    <x v="0"/>
  </r>
  <r>
    <x v="0"/>
  </r>
  <r>
    <x v="2"/>
  </r>
  <r>
    <x v="1"/>
  </r>
  <r>
    <x v="2"/>
  </r>
  <r>
    <x v="2"/>
  </r>
  <r>
    <x v="2"/>
  </r>
  <r>
    <x v="0"/>
  </r>
  <r>
    <x v="2"/>
  </r>
  <r>
    <x v="1"/>
  </r>
  <r>
    <x v="2"/>
  </r>
  <r>
    <x v="0"/>
  </r>
  <r>
    <x v="2"/>
  </r>
  <r>
    <x v="0"/>
  </r>
  <r>
    <x v="2"/>
  </r>
  <r>
    <x v="3"/>
  </r>
  <r>
    <x v="2"/>
  </r>
  <r>
    <x v="0"/>
  </r>
  <r>
    <x v="2"/>
  </r>
  <r>
    <x v="0"/>
  </r>
  <r>
    <x v="2"/>
  </r>
  <r>
    <x v="1"/>
  </r>
  <r>
    <x v="2"/>
  </r>
  <r>
    <x v="3"/>
  </r>
  <r>
    <x v="0"/>
  </r>
  <r>
    <x v="0"/>
  </r>
  <r>
    <x v="2"/>
  </r>
  <r>
    <x v="3"/>
  </r>
  <r>
    <x v="2"/>
  </r>
  <r>
    <x v="3"/>
  </r>
  <r>
    <x v="0"/>
  </r>
  <r>
    <x v="2"/>
  </r>
  <r>
    <x v="2"/>
  </r>
  <r>
    <x v="2"/>
  </r>
  <r>
    <x v="0"/>
  </r>
  <r>
    <x v="3"/>
  </r>
  <r>
    <x v="0"/>
  </r>
  <r>
    <x v="1"/>
  </r>
  <r>
    <x v="0"/>
  </r>
  <r>
    <x v="3"/>
  </r>
  <r>
    <x v="0"/>
  </r>
  <r>
    <x v="3"/>
  </r>
  <r>
    <x v="2"/>
  </r>
  <r>
    <x v="2"/>
  </r>
  <r>
    <x v="2"/>
  </r>
  <r>
    <x v="3"/>
  </r>
  <r>
    <x v="2"/>
  </r>
  <r>
    <x v="1"/>
  </r>
  <r>
    <x v="4"/>
  </r>
  <r>
    <x v="0"/>
  </r>
  <r>
    <x v="3"/>
  </r>
  <r>
    <x v="3"/>
  </r>
  <r>
    <x v="0"/>
  </r>
  <r>
    <x v="0"/>
  </r>
  <r>
    <x v="1"/>
  </r>
  <r>
    <x v="0"/>
  </r>
  <r>
    <x v="3"/>
  </r>
  <r>
    <x v="4"/>
  </r>
  <r>
    <x v="0"/>
  </r>
  <r>
    <x v="0"/>
  </r>
  <r>
    <x v="0"/>
  </r>
  <r>
    <x v="5"/>
  </r>
  <r>
    <x v="0"/>
  </r>
  <r>
    <x v="5"/>
  </r>
  <r>
    <x v="0"/>
  </r>
  <r>
    <x v="5"/>
  </r>
  <r>
    <x v="3"/>
  </r>
  <r>
    <x v="0"/>
  </r>
  <r>
    <x v="5"/>
  </r>
  <r>
    <x v="0"/>
  </r>
  <r>
    <x v="1"/>
  </r>
  <r>
    <x v="0"/>
  </r>
  <r>
    <x v="0"/>
  </r>
  <r>
    <x v="5"/>
  </r>
  <r>
    <x v="5"/>
  </r>
  <r>
    <x v="0"/>
  </r>
  <r>
    <x v="2"/>
  </r>
  <r>
    <x v="1"/>
  </r>
  <r>
    <x v="0"/>
  </r>
  <r>
    <x v="2"/>
  </r>
  <r>
    <x v="0"/>
  </r>
  <r>
    <x v="3"/>
  </r>
  <r>
    <x v="0"/>
  </r>
  <r>
    <x v="2"/>
  </r>
  <r>
    <x v="5"/>
  </r>
  <r>
    <x v="3"/>
  </r>
  <r>
    <x v="2"/>
  </r>
  <r>
    <x v="5"/>
  </r>
  <r>
    <x v="0"/>
  </r>
  <r>
    <x v="5"/>
  </r>
  <r>
    <x v="2"/>
  </r>
  <r>
    <x v="2"/>
  </r>
  <r>
    <x v="5"/>
  </r>
  <r>
    <x v="3"/>
  </r>
  <r>
    <x v="5"/>
  </r>
  <r>
    <x v="0"/>
  </r>
  <r>
    <x v="0"/>
  </r>
  <r>
    <x v="5"/>
  </r>
  <r>
    <x v="6"/>
  </r>
  <r>
    <x v="0"/>
  </r>
  <r>
    <x v="0"/>
  </r>
  <r>
    <x v="3"/>
  </r>
  <r>
    <x v="6"/>
  </r>
  <r>
    <x v="0"/>
  </r>
  <r>
    <x v="5"/>
  </r>
  <r>
    <x v="5"/>
  </r>
  <r>
    <x v="6"/>
  </r>
  <r>
    <x v="0"/>
  </r>
  <r>
    <x v="5"/>
  </r>
  <r>
    <x v="0"/>
  </r>
  <r>
    <x v="0"/>
  </r>
  <r>
    <x v="1"/>
  </r>
  <r>
    <x v="0"/>
  </r>
  <r>
    <x v="3"/>
  </r>
  <r>
    <x v="2"/>
  </r>
  <r>
    <x v="2"/>
  </r>
  <r>
    <x v="5"/>
  </r>
  <r>
    <x v="0"/>
  </r>
  <r>
    <x v="2"/>
  </r>
  <r>
    <x v="3"/>
  </r>
  <r>
    <x v="6"/>
  </r>
  <r>
    <x v="2"/>
  </r>
  <r>
    <x v="3"/>
  </r>
  <r>
    <x v="5"/>
  </r>
  <r>
    <x v="0"/>
  </r>
  <r>
    <x v="5"/>
  </r>
  <r>
    <x v="1"/>
  </r>
  <r>
    <x v="2"/>
  </r>
  <r>
    <x v="0"/>
  </r>
  <r>
    <x v="2"/>
  </r>
  <r>
    <x v="6"/>
  </r>
  <r>
    <x v="0"/>
  </r>
  <r>
    <x v="5"/>
  </r>
  <r>
    <x v="6"/>
  </r>
  <r>
    <x v="4"/>
  </r>
  <r>
    <x v="2"/>
  </r>
  <r>
    <x v="0"/>
  </r>
  <r>
    <x v="1"/>
  </r>
  <r>
    <x v="0"/>
  </r>
  <r>
    <x v="2"/>
  </r>
  <r>
    <x v="6"/>
  </r>
  <r>
    <x v="7"/>
  </r>
  <r>
    <x v="7"/>
  </r>
  <r>
    <x v="2"/>
  </r>
  <r>
    <x v="6"/>
  </r>
  <r>
    <x v="1"/>
  </r>
  <r>
    <x v="2"/>
  </r>
  <r>
    <x v="0"/>
  </r>
  <r>
    <x v="6"/>
  </r>
  <r>
    <x v="0"/>
  </r>
  <r>
    <x v="7"/>
  </r>
  <r>
    <x v="2"/>
  </r>
  <r>
    <x v="0"/>
  </r>
  <r>
    <x v="2"/>
  </r>
  <r>
    <x v="3"/>
  </r>
  <r>
    <x v="2"/>
  </r>
  <r>
    <x v="0"/>
  </r>
  <r>
    <x v="4"/>
  </r>
  <r>
    <x v="3"/>
  </r>
  <r>
    <x v="2"/>
  </r>
  <r>
    <x v="1"/>
  </r>
  <r>
    <x v="3"/>
  </r>
  <r>
    <x v="0"/>
  </r>
  <r>
    <x v="2"/>
  </r>
  <r>
    <x v="0"/>
  </r>
  <r>
    <x v="2"/>
  </r>
  <r>
    <x v="1"/>
  </r>
  <r>
    <x v="0"/>
  </r>
  <r>
    <x v="2"/>
  </r>
  <r>
    <x v="6"/>
  </r>
  <r>
    <x v="3"/>
  </r>
  <r>
    <x v="0"/>
  </r>
  <r>
    <x v="6"/>
  </r>
  <r>
    <x v="4"/>
  </r>
  <r>
    <x v="0"/>
  </r>
  <r>
    <x v="5"/>
  </r>
  <r>
    <x v="5"/>
  </r>
  <r>
    <x v="0"/>
  </r>
  <r>
    <x v="6"/>
  </r>
  <r>
    <x v="5"/>
  </r>
  <r>
    <x v="7"/>
  </r>
  <r>
    <x v="0"/>
  </r>
  <r>
    <x v="1"/>
  </r>
  <r>
    <x v="0"/>
  </r>
  <r>
    <x v="3"/>
  </r>
  <r>
    <x v="7"/>
  </r>
  <r>
    <x v="3"/>
  </r>
  <r>
    <x v="5"/>
  </r>
  <r>
    <x v="3"/>
  </r>
  <r>
    <x v="5"/>
  </r>
  <r>
    <x v="6"/>
  </r>
  <r>
    <x v="0"/>
  </r>
  <r>
    <x v="5"/>
  </r>
  <r>
    <x v="0"/>
  </r>
  <r>
    <x v="7"/>
  </r>
  <r>
    <x v="3"/>
  </r>
  <r>
    <x v="1"/>
  </r>
  <r>
    <x v="2"/>
  </r>
  <r>
    <x v="1"/>
  </r>
  <r>
    <x v="3"/>
  </r>
  <r>
    <x v="2"/>
  </r>
  <r>
    <x v="5"/>
  </r>
  <r>
    <x v="3"/>
  </r>
  <r>
    <x v="5"/>
  </r>
  <r>
    <x v="2"/>
  </r>
  <r>
    <x v="0"/>
  </r>
  <r>
    <x v="6"/>
  </r>
  <r>
    <x v="2"/>
  </r>
  <r>
    <x v="0"/>
  </r>
  <r>
    <x v="7"/>
  </r>
  <r>
    <x v="5"/>
  </r>
  <r>
    <x v="0"/>
  </r>
  <r>
    <x v="6"/>
  </r>
  <r>
    <x v="0"/>
  </r>
  <r>
    <x v="2"/>
  </r>
  <r>
    <x v="3"/>
  </r>
  <r>
    <x v="5"/>
  </r>
  <r>
    <x v="2"/>
  </r>
  <r>
    <x v="3"/>
  </r>
  <r>
    <x v="5"/>
  </r>
  <r>
    <x v="6"/>
  </r>
  <r>
    <x v="0"/>
  </r>
  <r>
    <x v="7"/>
  </r>
  <r>
    <x v="0"/>
  </r>
  <r>
    <x v="2"/>
  </r>
  <r>
    <x v="2"/>
  </r>
  <r>
    <x v="5"/>
  </r>
  <r>
    <x v="0"/>
  </r>
  <r>
    <x v="3"/>
  </r>
  <r>
    <x v="5"/>
  </r>
  <r>
    <x v="0"/>
  </r>
  <r>
    <x v="2"/>
  </r>
  <r>
    <x v="3"/>
  </r>
  <r>
    <x v="5"/>
  </r>
  <r>
    <x v="5"/>
  </r>
  <r>
    <x v="6"/>
  </r>
  <r>
    <x v="0"/>
  </r>
  <r>
    <x v="2"/>
  </r>
  <r>
    <x v="2"/>
  </r>
  <r>
    <x v="3"/>
  </r>
  <r>
    <x v="6"/>
  </r>
  <r>
    <x v="2"/>
  </r>
  <r>
    <x v="2"/>
  </r>
  <r>
    <x v="0"/>
  </r>
  <r>
    <x v="2"/>
  </r>
  <r>
    <x v="0"/>
  </r>
  <r>
    <x v="1"/>
  </r>
  <r>
    <x v="2"/>
  </r>
  <r>
    <x v="6"/>
  </r>
  <r>
    <x v="3"/>
  </r>
  <r>
    <x v="5"/>
  </r>
  <r>
    <x v="0"/>
  </r>
  <r>
    <x v="6"/>
  </r>
  <r>
    <x v="0"/>
  </r>
  <r>
    <x v="5"/>
  </r>
  <r>
    <x v="3"/>
  </r>
  <r>
    <x v="5"/>
  </r>
  <r>
    <x v="3"/>
  </r>
  <r>
    <x v="0"/>
  </r>
  <r>
    <x v="5"/>
  </r>
  <r>
    <x v="0"/>
  </r>
  <r>
    <x v="1"/>
  </r>
  <r>
    <x v="0"/>
  </r>
  <r>
    <x v="0"/>
  </r>
  <r>
    <x v="5"/>
  </r>
  <r>
    <x v="2"/>
  </r>
  <r>
    <x v="0"/>
  </r>
  <r>
    <x v="2"/>
  </r>
  <r>
    <x v="1"/>
  </r>
  <r>
    <x v="2"/>
  </r>
  <r>
    <x v="3"/>
  </r>
  <r>
    <x v="2"/>
  </r>
  <r>
    <x v="5"/>
  </r>
  <r>
    <x v="0"/>
  </r>
  <r>
    <x v="5"/>
  </r>
  <r>
    <x v="2"/>
  </r>
  <r>
    <x v="3"/>
  </r>
  <r>
    <x v="0"/>
  </r>
  <r>
    <x v="0"/>
  </r>
  <r>
    <x v="5"/>
  </r>
  <r>
    <x v="2"/>
  </r>
  <r>
    <x v="7"/>
  </r>
  <r>
    <x v="5"/>
  </r>
  <r>
    <x v="6"/>
  </r>
  <r>
    <x v="0"/>
  </r>
  <r>
    <x v="0"/>
  </r>
  <r>
    <x v="2"/>
  </r>
  <r>
    <x v="7"/>
  </r>
  <r>
    <x v="0"/>
  </r>
  <r>
    <x v="2"/>
  </r>
  <r>
    <x v="6"/>
  </r>
  <r>
    <x v="5"/>
  </r>
  <r>
    <x v="1"/>
  </r>
  <r>
    <x v="2"/>
  </r>
  <r>
    <x v="2"/>
  </r>
  <r>
    <x v="0"/>
  </r>
  <r>
    <x v="6"/>
  </r>
  <r>
    <x v="2"/>
  </r>
  <r>
    <x v="5"/>
  </r>
  <r>
    <x v="1"/>
  </r>
  <r>
    <x v="0"/>
  </r>
  <r>
    <x v="2"/>
  </r>
  <r>
    <x v="3"/>
  </r>
  <r>
    <x v="4"/>
  </r>
  <r>
    <x v="0"/>
  </r>
  <r>
    <x v="3"/>
  </r>
  <r>
    <x v="2"/>
  </r>
  <r>
    <x v="5"/>
  </r>
  <r>
    <x v="0"/>
  </r>
  <r>
    <x v="5"/>
  </r>
  <r>
    <x v="2"/>
  </r>
  <r>
    <x v="3"/>
  </r>
  <r>
    <x v="2"/>
  </r>
  <r>
    <x v="1"/>
  </r>
  <r>
    <x v="5"/>
  </r>
  <r>
    <x v="2"/>
  </r>
  <r>
    <x v="0"/>
  </r>
  <r>
    <x v="0"/>
  </r>
  <r>
    <x v="5"/>
  </r>
  <r>
    <x v="2"/>
  </r>
  <r>
    <x v="2"/>
  </r>
  <r>
    <x v="0"/>
  </r>
  <r>
    <x v="3"/>
  </r>
  <r>
    <x v="6"/>
  </r>
  <r>
    <x v="2"/>
  </r>
  <r>
    <x v="0"/>
  </r>
  <r>
    <x v="2"/>
  </r>
  <r>
    <x v="0"/>
  </r>
  <r>
    <x v="2"/>
  </r>
  <r>
    <x v="3"/>
  </r>
  <r>
    <x v="2"/>
  </r>
  <r>
    <x v="7"/>
  </r>
  <r>
    <x v="6"/>
  </r>
  <r>
    <x v="5"/>
  </r>
  <r>
    <x v="3"/>
  </r>
  <r>
    <x v="2"/>
  </r>
  <r>
    <x v="2"/>
  </r>
  <r>
    <x v="7"/>
  </r>
  <r>
    <x v="5"/>
  </r>
  <r>
    <x v="6"/>
  </r>
  <r>
    <x v="3"/>
  </r>
  <r>
    <x v="5"/>
  </r>
  <r>
    <x v="2"/>
  </r>
  <r>
    <x v="5"/>
  </r>
  <r>
    <x v="3"/>
  </r>
  <r>
    <x v="2"/>
  </r>
  <r>
    <x v="5"/>
  </r>
  <r>
    <x v="4"/>
  </r>
  <r>
    <x v="2"/>
  </r>
  <r>
    <x v="6"/>
  </r>
  <r>
    <x v="3"/>
  </r>
  <r>
    <x v="7"/>
  </r>
  <r>
    <x v="7"/>
  </r>
  <r>
    <x v="3"/>
  </r>
  <r>
    <x v="3"/>
  </r>
  <r>
    <x v="0"/>
  </r>
  <r>
    <x v="3"/>
  </r>
  <r>
    <x v="8"/>
  </r>
  <r>
    <x v="8"/>
  </r>
  <r>
    <x v="3"/>
  </r>
  <r>
    <x v="4"/>
  </r>
  <r>
    <x v="8"/>
  </r>
  <r>
    <x v="3"/>
  </r>
  <r>
    <x v="0"/>
  </r>
  <r>
    <x v="8"/>
  </r>
  <r>
    <x v="1"/>
  </r>
  <r>
    <x v="0"/>
  </r>
  <r>
    <x v="8"/>
  </r>
  <r>
    <x v="1"/>
  </r>
  <r>
    <x v="0"/>
  </r>
  <r>
    <x v="5"/>
  </r>
  <r>
    <x v="1"/>
  </r>
  <r>
    <x v="3"/>
  </r>
  <r>
    <x v="3"/>
  </r>
  <r>
    <x v="5"/>
  </r>
  <r>
    <x v="6"/>
  </r>
  <r>
    <x v="3"/>
  </r>
  <r>
    <x v="2"/>
  </r>
  <r>
    <x v="8"/>
  </r>
  <r>
    <x v="2"/>
  </r>
  <r>
    <x v="5"/>
  </r>
  <r>
    <x v="6"/>
  </r>
  <r>
    <x v="8"/>
  </r>
  <r>
    <x v="3"/>
  </r>
  <r>
    <x v="1"/>
  </r>
  <r>
    <x v="2"/>
  </r>
  <r>
    <x v="2"/>
  </r>
  <r>
    <x v="5"/>
  </r>
  <r>
    <x v="0"/>
  </r>
  <r>
    <x v="2"/>
  </r>
  <r>
    <x v="0"/>
  </r>
  <r>
    <x v="2"/>
  </r>
  <r>
    <x v="5"/>
  </r>
  <r>
    <x v="5"/>
  </r>
  <r>
    <x v="5"/>
  </r>
  <r>
    <x v="4"/>
  </r>
  <r>
    <x v="2"/>
  </r>
  <r>
    <x v="8"/>
  </r>
  <r>
    <x v="2"/>
  </r>
  <r>
    <x v="4"/>
  </r>
  <r>
    <x v="8"/>
  </r>
  <r>
    <x v="7"/>
  </r>
  <r>
    <x v="2"/>
  </r>
  <r>
    <x v="8"/>
  </r>
  <r>
    <x v="2"/>
  </r>
  <r>
    <x v="8"/>
  </r>
  <r>
    <x v="3"/>
  </r>
  <r>
    <x v="7"/>
  </r>
  <r>
    <x v="0"/>
  </r>
  <r>
    <x v="3"/>
  </r>
  <r>
    <x v="0"/>
  </r>
  <r>
    <x v="0"/>
  </r>
  <r>
    <x v="0"/>
  </r>
  <r>
    <x v="5"/>
  </r>
  <r>
    <x v="2"/>
  </r>
  <r>
    <x v="5"/>
  </r>
  <r>
    <x v="2"/>
  </r>
  <r>
    <x v="3"/>
  </r>
  <r>
    <x v="3"/>
  </r>
  <r>
    <x v="3"/>
  </r>
  <r>
    <x v="6"/>
  </r>
  <r>
    <x v="7"/>
  </r>
  <r>
    <x v="2"/>
  </r>
  <r>
    <x v="5"/>
  </r>
  <r>
    <x v="5"/>
  </r>
  <r>
    <x v="2"/>
  </r>
  <r>
    <x v="5"/>
  </r>
  <r>
    <x v="7"/>
  </r>
  <r>
    <x v="2"/>
  </r>
  <r>
    <x v="0"/>
  </r>
  <r>
    <x v="5"/>
  </r>
  <r>
    <x v="8"/>
  </r>
  <r>
    <x v="6"/>
  </r>
  <r>
    <x v="8"/>
  </r>
  <r>
    <x v="0"/>
  </r>
  <r>
    <x v="2"/>
  </r>
  <r>
    <x v="8"/>
  </r>
  <r>
    <x v="8"/>
  </r>
  <r>
    <x v="0"/>
  </r>
  <r>
    <x v="2"/>
  </r>
  <r>
    <x v="0"/>
  </r>
  <r>
    <x v="2"/>
  </r>
  <r>
    <x v="2"/>
  </r>
  <r>
    <x v="2"/>
  </r>
  <r>
    <x v="5"/>
  </r>
  <r>
    <x v="3"/>
  </r>
  <r>
    <x v="2"/>
  </r>
  <r>
    <x v="8"/>
  </r>
  <r>
    <x v="7"/>
  </r>
  <r>
    <x v="6"/>
  </r>
  <r>
    <x v="2"/>
  </r>
  <r>
    <x v="5"/>
  </r>
  <r>
    <x v="3"/>
  </r>
  <r>
    <x v="7"/>
  </r>
  <r>
    <x v="0"/>
  </r>
  <r>
    <x v="7"/>
  </r>
  <r>
    <x v="0"/>
  </r>
  <r>
    <x v="5"/>
  </r>
  <r>
    <x v="2"/>
  </r>
  <r>
    <x v="1"/>
  </r>
  <r>
    <x v="0"/>
  </r>
  <r>
    <x v="8"/>
  </r>
  <r>
    <x v="2"/>
  </r>
  <r>
    <x v="6"/>
  </r>
  <r>
    <x v="0"/>
  </r>
  <r>
    <x v="3"/>
  </r>
  <r>
    <x v="8"/>
  </r>
  <r>
    <x v="6"/>
  </r>
  <r>
    <x v="0"/>
  </r>
  <r>
    <x v="8"/>
  </r>
  <r>
    <x v="2"/>
  </r>
  <r>
    <x v="0"/>
  </r>
  <r>
    <x v="1"/>
  </r>
  <r>
    <x v="5"/>
  </r>
  <r>
    <x v="2"/>
  </r>
  <r>
    <x v="6"/>
  </r>
  <r>
    <x v="4"/>
  </r>
  <r>
    <x v="0"/>
  </r>
  <r>
    <x v="2"/>
  </r>
  <r>
    <x v="0"/>
  </r>
  <r>
    <x v="2"/>
  </r>
  <r>
    <x v="3"/>
  </r>
  <r>
    <x v="2"/>
  </r>
  <r>
    <x v="8"/>
  </r>
  <r>
    <x v="5"/>
  </r>
  <r>
    <x v="0"/>
  </r>
  <r>
    <x v="6"/>
  </r>
  <r>
    <x v="8"/>
  </r>
  <r>
    <x v="5"/>
  </r>
  <r>
    <x v="2"/>
  </r>
  <r>
    <x v="0"/>
  </r>
  <r>
    <x v="8"/>
  </r>
  <r>
    <x v="1"/>
  </r>
  <r>
    <x v="7"/>
  </r>
  <r>
    <x v="2"/>
  </r>
  <r>
    <x v="3"/>
  </r>
  <r>
    <x v="8"/>
  </r>
  <r>
    <x v="2"/>
  </r>
  <r>
    <x v="6"/>
  </r>
  <r>
    <x v="5"/>
  </r>
  <r>
    <x v="3"/>
  </r>
  <r>
    <x v="0"/>
  </r>
  <r>
    <x v="2"/>
  </r>
  <r>
    <x v="7"/>
  </r>
  <r>
    <x v="2"/>
  </r>
  <r>
    <x v="2"/>
  </r>
  <r>
    <x v="1"/>
  </r>
  <r>
    <x v="7"/>
  </r>
  <r>
    <x v="2"/>
  </r>
  <r>
    <x v="8"/>
  </r>
  <r>
    <x v="9"/>
  </r>
  <r>
    <x v="10"/>
  </r>
  <r>
    <x v="4"/>
  </r>
  <r>
    <x v="2"/>
  </r>
  <r>
    <x v="3"/>
  </r>
  <r>
    <x v="8"/>
  </r>
  <r>
    <x v="9"/>
  </r>
  <r>
    <x v="10"/>
  </r>
  <r>
    <x v="7"/>
  </r>
  <r>
    <x v="2"/>
  </r>
  <r>
    <x v="5"/>
  </r>
  <r>
    <x v="9"/>
  </r>
  <r>
    <x v="0"/>
  </r>
  <r>
    <x v="10"/>
  </r>
  <r>
    <x v="7"/>
  </r>
  <r>
    <x v="2"/>
  </r>
  <r>
    <x v="5"/>
  </r>
  <r>
    <x v="3"/>
  </r>
  <r>
    <x v="0"/>
  </r>
  <r>
    <x v="10"/>
  </r>
  <r>
    <x v="2"/>
  </r>
  <r>
    <x v="10"/>
  </r>
  <r>
    <x v="7"/>
  </r>
  <r>
    <x v="6"/>
  </r>
  <r>
    <x v="10"/>
  </r>
  <r>
    <x v="8"/>
  </r>
  <r>
    <x v="10"/>
  </r>
  <r>
    <x v="2"/>
  </r>
  <r>
    <x v="5"/>
  </r>
  <r>
    <x v="9"/>
  </r>
  <r>
    <x v="4"/>
  </r>
  <r>
    <x v="10"/>
  </r>
  <r>
    <x v="0"/>
  </r>
  <r>
    <x v="6"/>
  </r>
  <r>
    <x v="2"/>
  </r>
  <r>
    <x v="1"/>
  </r>
  <r>
    <x v="9"/>
  </r>
  <r>
    <x v="8"/>
  </r>
  <r>
    <x v="5"/>
  </r>
  <r>
    <x v="10"/>
  </r>
  <r>
    <x v="2"/>
  </r>
  <r>
    <x v="9"/>
  </r>
  <r>
    <x v="1"/>
  </r>
  <r>
    <x v="3"/>
  </r>
  <r>
    <x v="0"/>
  </r>
  <r>
    <x v="9"/>
  </r>
  <r>
    <x v="2"/>
  </r>
  <r>
    <x v="0"/>
  </r>
  <r>
    <x v="9"/>
  </r>
  <r>
    <x v="9"/>
  </r>
  <r>
    <x v="2"/>
  </r>
  <r>
    <x v="3"/>
  </r>
  <r>
    <x v="6"/>
  </r>
  <r>
    <x v="8"/>
  </r>
  <r>
    <x v="0"/>
  </r>
  <r>
    <x v="10"/>
  </r>
  <r>
    <x v="11"/>
  </r>
  <r>
    <x v="1"/>
  </r>
  <r>
    <x v="3"/>
  </r>
  <r>
    <x v="5"/>
  </r>
  <r>
    <x v="8"/>
  </r>
  <r>
    <x v="10"/>
  </r>
  <r>
    <x v="11"/>
  </r>
  <r>
    <x v="3"/>
  </r>
  <r>
    <x v="6"/>
  </r>
  <r>
    <x v="8"/>
  </r>
  <r>
    <x v="0"/>
  </r>
  <r>
    <x v="11"/>
  </r>
  <r>
    <x v="2"/>
  </r>
  <r>
    <x v="7"/>
  </r>
  <r>
    <x v="5"/>
  </r>
  <r>
    <x v="10"/>
  </r>
  <r>
    <x v="2"/>
  </r>
  <r>
    <x v="10"/>
  </r>
  <r>
    <x v="2"/>
  </r>
  <r>
    <x v="10"/>
  </r>
  <r>
    <x v="2"/>
  </r>
  <r>
    <x v="3"/>
  </r>
  <r>
    <x v="12"/>
  </r>
  <r>
    <x v="10"/>
  </r>
  <r>
    <x v="2"/>
  </r>
  <r>
    <x v="6"/>
  </r>
  <r>
    <x v="0"/>
  </r>
  <r>
    <x v="5"/>
  </r>
  <r>
    <x v="12"/>
  </r>
  <r>
    <x v="10"/>
  </r>
  <r>
    <x v="8"/>
  </r>
  <r>
    <x v="0"/>
  </r>
  <r>
    <x v="7"/>
  </r>
  <r>
    <x v="5"/>
  </r>
  <r>
    <x v="12"/>
  </r>
  <r>
    <x v="10"/>
  </r>
  <r>
    <x v="2"/>
  </r>
  <r>
    <x v="6"/>
  </r>
  <r>
    <x v="0"/>
  </r>
  <r>
    <x v="10"/>
  </r>
  <r>
    <x v="0"/>
  </r>
  <r>
    <x v="7"/>
  </r>
  <r>
    <x v="2"/>
  </r>
  <r>
    <x v="0"/>
  </r>
  <r>
    <x v="10"/>
  </r>
  <r>
    <x v="10"/>
  </r>
  <r>
    <x v="2"/>
  </r>
  <r>
    <x v="8"/>
  </r>
  <r>
    <x v="6"/>
  </r>
  <r>
    <x v="10"/>
  </r>
  <r>
    <x v="5"/>
  </r>
  <r>
    <x v="13"/>
  </r>
  <r>
    <x v="0"/>
  </r>
  <r>
    <x v="8"/>
  </r>
  <r>
    <x v="6"/>
  </r>
  <r>
    <x v="10"/>
  </r>
  <r>
    <x v="2"/>
  </r>
  <r>
    <x v="11"/>
  </r>
  <r>
    <x v="13"/>
  </r>
  <r>
    <x v="7"/>
  </r>
  <r>
    <x v="8"/>
  </r>
  <r>
    <x v="2"/>
  </r>
  <r>
    <x v="10"/>
  </r>
  <r>
    <x v="13"/>
  </r>
  <r>
    <x v="11"/>
  </r>
  <r>
    <x v="10"/>
  </r>
  <r>
    <x v="11"/>
  </r>
  <r>
    <x v="5"/>
  </r>
  <r>
    <x v="13"/>
  </r>
  <r>
    <x v="10"/>
  </r>
  <r>
    <x v="13"/>
  </r>
  <r>
    <x v="10"/>
  </r>
  <r>
    <x v="13"/>
  </r>
  <r>
    <x v="8"/>
  </r>
  <r>
    <x v="5"/>
  </r>
  <r>
    <x v="6"/>
  </r>
  <r>
    <x v="10"/>
  </r>
  <r>
    <x v="2"/>
  </r>
  <r>
    <x v="11"/>
  </r>
  <r>
    <x v="8"/>
  </r>
  <r>
    <x v="7"/>
  </r>
  <r>
    <x v="10"/>
  </r>
  <r>
    <x v="0"/>
  </r>
  <r>
    <x v="11"/>
  </r>
  <r>
    <x v="3"/>
  </r>
  <r>
    <x v="8"/>
  </r>
  <r>
    <x v="5"/>
  </r>
  <r>
    <x v="0"/>
  </r>
  <r>
    <x v="10"/>
  </r>
  <r>
    <x v="2"/>
  </r>
  <r>
    <x v="11"/>
  </r>
  <r>
    <x v="5"/>
  </r>
  <r>
    <x v="11"/>
  </r>
  <r>
    <x v="0"/>
  </r>
  <r>
    <x v="10"/>
  </r>
  <r>
    <x v="7"/>
  </r>
  <r>
    <x v="2"/>
  </r>
  <r>
    <x v="0"/>
  </r>
  <r>
    <x v="2"/>
  </r>
  <r>
    <x v="8"/>
  </r>
  <r>
    <x v="0"/>
  </r>
  <r>
    <x v="10"/>
  </r>
  <r>
    <x v="6"/>
  </r>
  <r>
    <x v="9"/>
  </r>
  <r>
    <x v="3"/>
  </r>
  <r>
    <x v="8"/>
  </r>
  <r>
    <x v="0"/>
  </r>
  <r>
    <x v="10"/>
  </r>
  <r>
    <x v="2"/>
  </r>
  <r>
    <x v="7"/>
  </r>
  <r>
    <x v="9"/>
  </r>
  <r>
    <x v="8"/>
  </r>
  <r>
    <x v="5"/>
  </r>
  <r>
    <x v="2"/>
  </r>
  <r>
    <x v="10"/>
  </r>
  <r>
    <x v="3"/>
  </r>
  <r>
    <x v="9"/>
  </r>
  <r>
    <x v="2"/>
  </r>
  <r>
    <x v="8"/>
  </r>
  <r>
    <x v="5"/>
  </r>
  <r>
    <x v="10"/>
  </r>
  <r>
    <x v="2"/>
  </r>
  <r>
    <x v="10"/>
  </r>
  <r>
    <x v="10"/>
  </r>
  <r>
    <x v="2"/>
  </r>
  <r>
    <x v="4"/>
  </r>
  <r>
    <x v="11"/>
  </r>
  <r>
    <x v="2"/>
  </r>
  <r>
    <x v="3"/>
  </r>
  <r>
    <x v="10"/>
  </r>
  <r>
    <x v="0"/>
  </r>
  <r>
    <x v="7"/>
  </r>
  <r>
    <x v="11"/>
  </r>
  <r>
    <x v="0"/>
  </r>
  <r>
    <x v="10"/>
  </r>
  <r>
    <x v="8"/>
  </r>
  <r>
    <x v="2"/>
  </r>
  <r>
    <x v="7"/>
  </r>
  <r>
    <x v="11"/>
  </r>
  <r>
    <x v="5"/>
  </r>
  <r>
    <x v="10"/>
  </r>
  <r>
    <x v="8"/>
  </r>
  <r>
    <x v="2"/>
  </r>
  <r>
    <x v="5"/>
  </r>
  <r>
    <x v="0"/>
  </r>
  <r>
    <x v="2"/>
  </r>
  <r>
    <x v="8"/>
  </r>
  <r>
    <x v="0"/>
  </r>
  <r>
    <x v="8"/>
  </r>
  <r>
    <x v="8"/>
  </r>
  <r>
    <x v="0"/>
  </r>
  <r>
    <x v="6"/>
  </r>
  <r>
    <x v="10"/>
  </r>
  <r>
    <x v="14"/>
  </r>
  <r>
    <x v="3"/>
  </r>
  <r>
    <x v="2"/>
  </r>
  <r>
    <x v="8"/>
  </r>
  <r>
    <x v="10"/>
  </r>
  <r>
    <x v="6"/>
  </r>
  <r>
    <x v="0"/>
  </r>
  <r>
    <x v="14"/>
  </r>
  <r>
    <x v="2"/>
  </r>
  <r>
    <x v="8"/>
  </r>
  <r>
    <x v="1"/>
  </r>
  <r>
    <x v="10"/>
  </r>
  <r>
    <x v="14"/>
  </r>
  <r>
    <x v="0"/>
  </r>
  <r>
    <x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46">
  <r>
    <x v="0"/>
    <x v="0"/>
    <n v="0"/>
    <n v="1"/>
    <n v="0"/>
  </r>
  <r>
    <x v="1"/>
    <x v="1"/>
    <n v="1"/>
    <n v="0"/>
    <n v="0"/>
  </r>
  <r>
    <x v="2"/>
    <x v="2"/>
    <n v="0"/>
    <n v="0"/>
    <n v="1"/>
  </r>
  <r>
    <x v="3"/>
    <x v="3"/>
    <n v="0"/>
    <n v="0"/>
    <n v="1"/>
  </r>
  <r>
    <x v="4"/>
    <x v="4"/>
    <n v="1"/>
    <n v="0"/>
    <n v="0"/>
  </r>
  <r>
    <x v="5"/>
    <x v="5"/>
    <n v="0"/>
    <n v="0"/>
    <n v="1"/>
  </r>
  <r>
    <x v="0"/>
    <x v="0"/>
    <n v="0"/>
    <n v="1"/>
    <n v="0"/>
  </r>
  <r>
    <x v="3"/>
    <x v="3"/>
    <n v="1"/>
    <n v="0"/>
    <n v="0"/>
  </r>
  <r>
    <x v="1"/>
    <x v="1"/>
    <n v="1"/>
    <n v="0"/>
    <n v="0"/>
  </r>
  <r>
    <x v="4"/>
    <x v="4"/>
    <n v="1"/>
    <n v="0"/>
    <n v="0"/>
  </r>
  <r>
    <x v="2"/>
    <x v="2"/>
    <n v="0"/>
    <n v="1"/>
    <n v="0"/>
  </r>
  <r>
    <x v="5"/>
    <x v="5"/>
    <n v="0"/>
    <n v="1"/>
    <n v="0"/>
  </r>
  <r>
    <x v="2"/>
    <x v="2"/>
    <n v="0"/>
    <n v="1"/>
    <n v="0"/>
  </r>
  <r>
    <x v="5"/>
    <x v="5"/>
    <n v="0"/>
    <n v="1"/>
    <n v="0"/>
  </r>
  <r>
    <x v="0"/>
    <x v="0"/>
    <n v="0"/>
    <n v="1"/>
    <n v="0"/>
  </r>
  <r>
    <x v="3"/>
    <x v="3"/>
    <n v="0"/>
    <n v="1"/>
    <n v="0"/>
  </r>
  <r>
    <x v="1"/>
    <x v="1"/>
    <n v="1"/>
    <n v="0"/>
    <n v="0"/>
  </r>
  <r>
    <x v="4"/>
    <x v="4"/>
    <n v="0"/>
    <n v="0"/>
    <n v="1"/>
  </r>
  <r>
    <x v="4"/>
    <x v="4"/>
    <n v="0"/>
    <n v="1"/>
    <n v="0"/>
  </r>
  <r>
    <x v="2"/>
    <x v="2"/>
    <n v="0"/>
    <n v="1"/>
    <n v="0"/>
  </r>
  <r>
    <x v="5"/>
    <x v="5"/>
    <n v="0"/>
    <n v="0"/>
    <n v="1"/>
  </r>
  <r>
    <x v="4"/>
    <x v="4"/>
    <n v="1"/>
    <n v="0"/>
    <n v="0"/>
  </r>
  <r>
    <x v="1"/>
    <x v="1"/>
    <n v="0"/>
    <n v="0"/>
    <n v="1"/>
  </r>
  <r>
    <x v="3"/>
    <x v="3"/>
    <n v="1"/>
    <n v="0"/>
    <n v="0"/>
  </r>
  <r>
    <x v="0"/>
    <x v="0"/>
    <n v="0"/>
    <n v="1"/>
    <n v="0"/>
  </r>
  <r>
    <x v="3"/>
    <x v="3"/>
    <n v="1"/>
    <n v="0"/>
    <n v="0"/>
  </r>
  <r>
    <x v="6"/>
    <x v="6"/>
    <n v="1"/>
    <n v="0"/>
    <n v="0"/>
  </r>
  <r>
    <x v="7"/>
    <x v="7"/>
    <n v="0"/>
    <n v="1"/>
    <n v="0"/>
  </r>
  <r>
    <x v="8"/>
    <x v="8"/>
    <n v="1"/>
    <n v="0"/>
    <n v="0"/>
  </r>
  <r>
    <x v="4"/>
    <x v="4"/>
    <n v="1"/>
    <n v="0"/>
    <n v="0"/>
  </r>
  <r>
    <x v="5"/>
    <x v="5"/>
    <n v="1"/>
    <n v="0"/>
    <n v="0"/>
  </r>
  <r>
    <x v="2"/>
    <x v="2"/>
    <n v="0"/>
    <n v="0"/>
    <n v="1"/>
  </r>
  <r>
    <x v="0"/>
    <x v="0"/>
    <n v="0"/>
    <n v="1"/>
    <n v="0"/>
  </r>
  <r>
    <x v="7"/>
    <x v="7"/>
    <n v="0"/>
    <n v="0"/>
    <n v="1"/>
  </r>
  <r>
    <x v="1"/>
    <x v="1"/>
    <n v="1"/>
    <n v="0"/>
    <n v="0"/>
  </r>
  <r>
    <x v="4"/>
    <x v="4"/>
    <n v="0"/>
    <n v="0"/>
    <n v="1"/>
  </r>
  <r>
    <x v="9"/>
    <x v="9"/>
    <n v="0"/>
    <n v="1"/>
    <n v="0"/>
  </r>
  <r>
    <x v="5"/>
    <x v="5"/>
    <n v="0"/>
    <n v="1"/>
    <n v="0"/>
  </r>
  <r>
    <x v="6"/>
    <x v="6"/>
    <n v="1"/>
    <n v="0"/>
    <n v="0"/>
  </r>
  <r>
    <x v="3"/>
    <x v="3"/>
    <n v="0"/>
    <n v="1"/>
    <n v="0"/>
  </r>
  <r>
    <x v="8"/>
    <x v="8"/>
    <n v="1"/>
    <n v="0"/>
    <n v="0"/>
  </r>
  <r>
    <x v="7"/>
    <x v="7"/>
    <n v="0"/>
    <n v="1"/>
    <n v="0"/>
  </r>
  <r>
    <x v="8"/>
    <x v="8"/>
    <n v="1"/>
    <n v="0"/>
    <n v="0"/>
  </r>
  <r>
    <x v="6"/>
    <x v="6"/>
    <n v="0"/>
    <n v="1"/>
    <n v="0"/>
  </r>
  <r>
    <x v="7"/>
    <x v="7"/>
    <n v="1"/>
    <n v="0"/>
    <n v="0"/>
  </r>
  <r>
    <x v="3"/>
    <x v="3"/>
    <n v="1"/>
    <n v="0"/>
    <n v="0"/>
  </r>
  <r>
    <x v="4"/>
    <x v="4"/>
    <n v="1"/>
    <n v="0"/>
    <n v="0"/>
  </r>
  <r>
    <x v="5"/>
    <x v="5"/>
    <n v="0"/>
    <n v="1"/>
    <n v="0"/>
  </r>
  <r>
    <x v="8"/>
    <x v="8"/>
    <n v="0"/>
    <n v="0"/>
    <n v="1"/>
  </r>
  <r>
    <x v="0"/>
    <x v="0"/>
    <n v="0"/>
    <n v="1"/>
    <n v="0"/>
  </r>
  <r>
    <x v="1"/>
    <x v="1"/>
    <n v="1"/>
    <n v="0"/>
    <n v="0"/>
  </r>
  <r>
    <x v="6"/>
    <x v="6"/>
    <n v="0"/>
    <n v="1"/>
    <n v="0"/>
  </r>
  <r>
    <x v="9"/>
    <x v="9"/>
    <n v="0"/>
    <n v="1"/>
    <n v="0"/>
  </r>
  <r>
    <x v="5"/>
    <x v="5"/>
    <n v="0"/>
    <n v="0"/>
    <n v="1"/>
  </r>
  <r>
    <x v="8"/>
    <x v="8"/>
    <n v="1"/>
    <n v="0"/>
    <n v="0"/>
  </r>
  <r>
    <x v="7"/>
    <x v="7"/>
    <n v="0"/>
    <n v="1"/>
    <n v="0"/>
  </r>
  <r>
    <x v="3"/>
    <x v="3"/>
    <n v="1"/>
    <n v="0"/>
    <n v="0"/>
  </r>
  <r>
    <x v="7"/>
    <x v="7"/>
    <n v="0"/>
    <n v="1"/>
    <n v="0"/>
  </r>
  <r>
    <x v="8"/>
    <x v="8"/>
    <n v="1"/>
    <n v="0"/>
    <n v="0"/>
  </r>
  <r>
    <x v="3"/>
    <x v="3"/>
    <n v="0"/>
    <n v="0"/>
    <n v="1"/>
  </r>
  <r>
    <x v="10"/>
    <x v="10"/>
    <n v="0"/>
    <n v="1"/>
    <n v="0"/>
  </r>
  <r>
    <x v="11"/>
    <x v="11"/>
    <n v="1"/>
    <n v="0"/>
    <n v="0"/>
  </r>
  <r>
    <x v="0"/>
    <x v="0"/>
    <n v="0"/>
    <n v="1"/>
    <n v="0"/>
  </r>
  <r>
    <x v="8"/>
    <x v="8"/>
    <n v="1"/>
    <n v="0"/>
    <n v="0"/>
  </r>
  <r>
    <x v="12"/>
    <x v="12"/>
    <n v="0"/>
    <n v="1"/>
    <n v="0"/>
  </r>
  <r>
    <x v="5"/>
    <x v="5"/>
    <n v="0"/>
    <n v="1"/>
    <n v="0"/>
  </r>
  <r>
    <x v="13"/>
    <x v="13"/>
    <n v="0"/>
    <n v="1"/>
    <n v="0"/>
  </r>
  <r>
    <x v="1"/>
    <x v="1"/>
    <n v="0"/>
    <n v="0"/>
    <n v="1"/>
  </r>
  <r>
    <x v="6"/>
    <x v="6"/>
    <n v="0"/>
    <n v="1"/>
    <n v="0"/>
  </r>
  <r>
    <x v="9"/>
    <x v="9"/>
    <n v="1"/>
    <n v="0"/>
    <n v="0"/>
  </r>
  <r>
    <x v="11"/>
    <x v="11"/>
    <n v="1"/>
    <n v="0"/>
    <n v="0"/>
  </r>
  <r>
    <x v="14"/>
    <x v="14"/>
    <n v="0"/>
    <n v="1"/>
    <n v="0"/>
  </r>
  <r>
    <x v="13"/>
    <x v="13"/>
    <n v="0"/>
    <n v="1"/>
    <n v="0"/>
  </r>
  <r>
    <x v="13"/>
    <x v="13"/>
    <n v="0"/>
    <n v="1"/>
    <n v="0"/>
  </r>
  <r>
    <x v="15"/>
    <x v="15"/>
    <n v="0"/>
    <n v="1"/>
    <n v="0"/>
  </r>
  <r>
    <x v="5"/>
    <x v="5"/>
    <n v="1"/>
    <n v="0"/>
    <n v="0"/>
  </r>
  <r>
    <x v="16"/>
    <x v="16"/>
    <n v="1"/>
    <n v="0"/>
    <n v="0"/>
  </r>
  <r>
    <x v="6"/>
    <x v="6"/>
    <n v="1"/>
    <n v="0"/>
    <n v="0"/>
  </r>
  <r>
    <x v="16"/>
    <x v="16"/>
    <n v="1"/>
    <n v="0"/>
    <n v="0"/>
  </r>
  <r>
    <x v="8"/>
    <x v="8"/>
    <n v="1"/>
    <n v="0"/>
    <n v="0"/>
  </r>
  <r>
    <x v="14"/>
    <x v="14"/>
    <n v="0"/>
    <n v="1"/>
    <n v="0"/>
  </r>
  <r>
    <x v="17"/>
    <x v="17"/>
    <n v="1"/>
    <n v="0"/>
    <n v="0"/>
  </r>
  <r>
    <x v="5"/>
    <x v="5"/>
    <n v="1"/>
    <n v="0"/>
    <n v="0"/>
  </r>
  <r>
    <x v="1"/>
    <x v="1"/>
    <n v="1"/>
    <n v="0"/>
    <n v="0"/>
  </r>
  <r>
    <x v="14"/>
    <x v="14"/>
    <n v="0"/>
    <n v="1"/>
    <n v="0"/>
  </r>
  <r>
    <x v="0"/>
    <x v="0"/>
    <n v="0"/>
    <n v="1"/>
    <n v="0"/>
  </r>
  <r>
    <x v="16"/>
    <x v="16"/>
    <n v="1"/>
    <n v="0"/>
    <n v="0"/>
  </r>
  <r>
    <x v="18"/>
    <x v="18"/>
    <n v="0"/>
    <n v="1"/>
    <n v="0"/>
  </r>
  <r>
    <x v="5"/>
    <x v="5"/>
    <n v="0"/>
    <n v="1"/>
    <n v="0"/>
  </r>
  <r>
    <x v="19"/>
    <x v="19"/>
    <n v="0"/>
    <n v="1"/>
    <n v="0"/>
  </r>
  <r>
    <x v="1"/>
    <x v="1"/>
    <n v="1"/>
    <n v="0"/>
    <n v="0"/>
  </r>
  <r>
    <x v="6"/>
    <x v="6"/>
    <n v="1"/>
    <n v="0"/>
    <n v="0"/>
  </r>
  <r>
    <x v="2"/>
    <x v="2"/>
    <n v="0"/>
    <n v="1"/>
    <n v="0"/>
  </r>
  <r>
    <x v="14"/>
    <x v="14"/>
    <n v="0"/>
    <n v="1"/>
    <n v="0"/>
  </r>
  <r>
    <x v="8"/>
    <x v="8"/>
    <n v="1"/>
    <n v="0"/>
    <n v="0"/>
  </r>
  <r>
    <x v="0"/>
    <x v="0"/>
    <n v="1"/>
    <n v="0"/>
    <n v="0"/>
  </r>
  <r>
    <x v="7"/>
    <x v="7"/>
    <n v="0"/>
    <n v="1"/>
    <n v="0"/>
  </r>
  <r>
    <x v="16"/>
    <x v="16"/>
    <n v="1"/>
    <n v="0"/>
    <n v="0"/>
  </r>
  <r>
    <x v="9"/>
    <x v="9"/>
    <n v="0"/>
    <n v="1"/>
    <n v="0"/>
  </r>
  <r>
    <x v="4"/>
    <x v="4"/>
    <n v="0"/>
    <n v="1"/>
    <n v="0"/>
  </r>
  <r>
    <x v="18"/>
    <x v="18"/>
    <n v="0"/>
    <n v="0"/>
    <n v="1"/>
  </r>
  <r>
    <x v="5"/>
    <x v="5"/>
    <n v="0"/>
    <n v="1"/>
    <n v="0"/>
  </r>
  <r>
    <x v="17"/>
    <x v="17"/>
    <n v="0"/>
    <n v="1"/>
    <n v="0"/>
  </r>
  <r>
    <x v="3"/>
    <x v="3"/>
    <n v="1"/>
    <n v="0"/>
    <n v="0"/>
  </r>
  <r>
    <x v="3"/>
    <x v="3"/>
    <n v="1"/>
    <n v="0"/>
    <n v="0"/>
  </r>
  <r>
    <x v="20"/>
    <x v="20"/>
    <n v="0"/>
    <n v="1"/>
    <n v="0"/>
  </r>
  <r>
    <x v="9"/>
    <x v="9"/>
    <n v="0"/>
    <n v="1"/>
    <n v="0"/>
  </r>
  <r>
    <x v="18"/>
    <x v="18"/>
    <n v="0"/>
    <n v="1"/>
    <n v="0"/>
  </r>
  <r>
    <x v="21"/>
    <x v="21"/>
    <n v="0"/>
    <n v="1"/>
    <n v="0"/>
  </r>
  <r>
    <x v="0"/>
    <x v="0"/>
    <n v="0"/>
    <n v="1"/>
    <n v="0"/>
  </r>
  <r>
    <x v="17"/>
    <x v="17"/>
    <n v="0"/>
    <n v="1"/>
    <n v="0"/>
  </r>
  <r>
    <x v="22"/>
    <x v="22"/>
    <n v="1"/>
    <n v="0"/>
    <n v="0"/>
  </r>
  <r>
    <x v="6"/>
    <x v="6"/>
    <n v="0"/>
    <n v="1"/>
    <n v="0"/>
  </r>
  <r>
    <x v="14"/>
    <x v="14"/>
    <n v="1"/>
    <n v="0"/>
    <n v="0"/>
  </r>
  <r>
    <x v="23"/>
    <x v="23"/>
    <n v="0"/>
    <n v="1"/>
    <n v="0"/>
  </r>
  <r>
    <x v="22"/>
    <x v="22"/>
    <n v="1"/>
    <n v="0"/>
    <n v="0"/>
  </r>
  <r>
    <x v="21"/>
    <x v="21"/>
    <n v="0"/>
    <n v="1"/>
    <n v="0"/>
  </r>
  <r>
    <x v="18"/>
    <x v="18"/>
    <n v="1"/>
    <n v="0"/>
    <n v="0"/>
  </r>
  <r>
    <x v="16"/>
    <x v="16"/>
    <n v="1"/>
    <n v="0"/>
    <n v="0"/>
  </r>
  <r>
    <x v="24"/>
    <x v="24"/>
    <n v="1"/>
    <n v="0"/>
    <n v="0"/>
  </r>
  <r>
    <x v="0"/>
    <x v="0"/>
    <n v="0"/>
    <n v="1"/>
    <n v="0"/>
  </r>
  <r>
    <x v="20"/>
    <x v="20"/>
    <n v="0"/>
    <n v="1"/>
    <n v="0"/>
  </r>
  <r>
    <x v="5"/>
    <x v="5"/>
    <n v="1"/>
    <n v="0"/>
    <n v="0"/>
  </r>
  <r>
    <x v="14"/>
    <x v="14"/>
    <n v="0"/>
    <n v="1"/>
    <n v="0"/>
  </r>
  <r>
    <x v="1"/>
    <x v="1"/>
    <n v="1"/>
    <n v="0"/>
    <n v="0"/>
  </r>
  <r>
    <x v="0"/>
    <x v="0"/>
    <n v="0"/>
    <n v="1"/>
    <n v="0"/>
  </r>
  <r>
    <x v="8"/>
    <x v="8"/>
    <n v="1"/>
    <n v="0"/>
    <n v="0"/>
  </r>
  <r>
    <x v="2"/>
    <x v="2"/>
    <n v="0"/>
    <n v="1"/>
    <n v="0"/>
  </r>
  <r>
    <x v="3"/>
    <x v="3"/>
    <n v="1"/>
    <n v="0"/>
    <n v="0"/>
  </r>
  <r>
    <x v="17"/>
    <x v="17"/>
    <n v="0"/>
    <n v="0"/>
    <n v="1"/>
  </r>
  <r>
    <x v="21"/>
    <x v="21"/>
    <n v="0"/>
    <n v="1"/>
    <n v="0"/>
  </r>
  <r>
    <x v="19"/>
    <x v="19"/>
    <n v="0"/>
    <n v="1"/>
    <n v="0"/>
  </r>
  <r>
    <x v="9"/>
    <x v="9"/>
    <n v="0"/>
    <n v="1"/>
    <n v="0"/>
  </r>
  <r>
    <x v="24"/>
    <x v="24"/>
    <n v="1"/>
    <n v="0"/>
    <n v="0"/>
  </r>
  <r>
    <x v="4"/>
    <x v="4"/>
    <n v="1"/>
    <n v="0"/>
    <n v="0"/>
  </r>
  <r>
    <x v="23"/>
    <x v="23"/>
    <n v="0"/>
    <n v="1"/>
    <n v="0"/>
  </r>
  <r>
    <x v="16"/>
    <x v="16"/>
    <n v="1"/>
    <n v="0"/>
    <n v="0"/>
  </r>
  <r>
    <x v="6"/>
    <x v="6"/>
    <n v="0"/>
    <n v="1"/>
    <n v="0"/>
  </r>
  <r>
    <x v="20"/>
    <x v="20"/>
    <n v="0"/>
    <n v="1"/>
    <n v="0"/>
  </r>
  <r>
    <x v="1"/>
    <x v="1"/>
    <n v="0"/>
    <n v="0"/>
    <n v="1"/>
  </r>
  <r>
    <x v="25"/>
    <x v="25"/>
    <n v="0"/>
    <n v="1"/>
    <n v="0"/>
  </r>
  <r>
    <x v="14"/>
    <x v="14"/>
    <n v="0"/>
    <n v="1"/>
    <n v="0"/>
  </r>
  <r>
    <x v="7"/>
    <x v="7"/>
    <n v="0"/>
    <n v="0"/>
    <n v="1"/>
  </r>
  <r>
    <x v="22"/>
    <x v="22"/>
    <n v="1"/>
    <n v="0"/>
    <n v="0"/>
  </r>
  <r>
    <x v="5"/>
    <x v="5"/>
    <n v="0"/>
    <n v="1"/>
    <n v="0"/>
  </r>
  <r>
    <x v="18"/>
    <x v="18"/>
    <n v="0"/>
    <n v="0"/>
    <n v="1"/>
  </r>
  <r>
    <x v="22"/>
    <x v="22"/>
    <n v="1"/>
    <n v="0"/>
    <n v="0"/>
  </r>
  <r>
    <x v="11"/>
    <x v="11"/>
    <n v="1"/>
    <n v="0"/>
    <n v="0"/>
  </r>
  <r>
    <x v="26"/>
    <x v="26"/>
    <n v="0"/>
    <n v="1"/>
    <n v="0"/>
  </r>
  <r>
    <x v="21"/>
    <x v="21"/>
    <n v="0"/>
    <n v="1"/>
    <n v="0"/>
  </r>
  <r>
    <x v="10"/>
    <x v="10"/>
    <n v="0"/>
    <n v="1"/>
    <n v="0"/>
  </r>
  <r>
    <x v="27"/>
    <x v="27"/>
    <n v="0"/>
    <n v="1"/>
    <n v="0"/>
  </r>
  <r>
    <x v="28"/>
    <x v="28"/>
    <n v="0"/>
    <n v="1"/>
    <n v="0"/>
  </r>
  <r>
    <x v="24"/>
    <x v="24"/>
    <n v="1"/>
    <n v="0"/>
    <n v="0"/>
  </r>
  <r>
    <x v="29"/>
    <x v="29"/>
    <n v="1"/>
    <n v="0"/>
    <n v="0"/>
  </r>
  <r>
    <x v="30"/>
    <x v="30"/>
    <n v="1"/>
    <n v="0"/>
    <n v="0"/>
  </r>
  <r>
    <x v="4"/>
    <x v="4"/>
    <n v="0"/>
    <n v="1"/>
    <n v="0"/>
  </r>
  <r>
    <x v="31"/>
    <x v="31"/>
    <n v="0"/>
    <n v="0"/>
    <n v="1"/>
  </r>
  <r>
    <x v="1"/>
    <x v="1"/>
    <n v="0"/>
    <n v="0"/>
    <n v="1"/>
  </r>
  <r>
    <x v="3"/>
    <x v="3"/>
    <n v="1"/>
    <n v="0"/>
    <n v="0"/>
  </r>
  <r>
    <x v="13"/>
    <x v="13"/>
    <n v="0"/>
    <n v="1"/>
    <n v="0"/>
  </r>
  <r>
    <x v="32"/>
    <x v="32"/>
    <n v="1"/>
    <n v="0"/>
    <n v="0"/>
  </r>
  <r>
    <x v="0"/>
    <x v="0"/>
    <n v="1"/>
    <n v="0"/>
    <n v="0"/>
  </r>
  <r>
    <x v="33"/>
    <x v="33"/>
    <n v="0"/>
    <n v="0"/>
    <n v="1"/>
  </r>
  <r>
    <x v="25"/>
    <x v="25"/>
    <n v="0"/>
    <n v="1"/>
    <n v="0"/>
  </r>
  <r>
    <x v="5"/>
    <x v="5"/>
    <n v="1"/>
    <n v="0"/>
    <n v="0"/>
  </r>
  <r>
    <x v="2"/>
    <x v="2"/>
    <n v="0"/>
    <n v="1"/>
    <n v="0"/>
  </r>
  <r>
    <x v="8"/>
    <x v="8"/>
    <n v="1"/>
    <n v="0"/>
    <n v="0"/>
  </r>
  <r>
    <x v="28"/>
    <x v="28"/>
    <n v="0"/>
    <n v="1"/>
    <n v="0"/>
  </r>
  <r>
    <x v="0"/>
    <x v="0"/>
    <n v="0"/>
    <n v="1"/>
    <n v="0"/>
  </r>
  <r>
    <x v="11"/>
    <x v="11"/>
    <n v="1"/>
    <n v="0"/>
    <n v="0"/>
  </r>
  <r>
    <x v="9"/>
    <x v="9"/>
    <n v="1"/>
    <n v="0"/>
    <n v="0"/>
  </r>
  <r>
    <x v="4"/>
    <x v="4"/>
    <n v="0"/>
    <n v="1"/>
    <n v="0"/>
  </r>
  <r>
    <x v="1"/>
    <x v="1"/>
    <n v="1"/>
    <n v="0"/>
    <n v="0"/>
  </r>
  <r>
    <x v="12"/>
    <x v="12"/>
    <n v="0"/>
    <n v="1"/>
    <n v="0"/>
  </r>
  <r>
    <x v="13"/>
    <x v="13"/>
    <n v="0"/>
    <n v="1"/>
    <n v="0"/>
  </r>
  <r>
    <x v="7"/>
    <x v="7"/>
    <n v="0"/>
    <n v="0"/>
    <n v="1"/>
  </r>
  <r>
    <x v="5"/>
    <x v="5"/>
    <n v="1"/>
    <n v="0"/>
    <n v="0"/>
  </r>
  <r>
    <x v="2"/>
    <x v="2"/>
    <n v="0"/>
    <n v="1"/>
    <n v="0"/>
  </r>
  <r>
    <x v="10"/>
    <x v="10"/>
    <n v="0"/>
    <n v="1"/>
    <n v="0"/>
  </r>
  <r>
    <x v="6"/>
    <x v="6"/>
    <n v="1"/>
    <n v="0"/>
    <n v="0"/>
  </r>
  <r>
    <x v="3"/>
    <x v="3"/>
    <n v="1"/>
    <n v="0"/>
    <n v="0"/>
  </r>
  <r>
    <x v="31"/>
    <x v="31"/>
    <n v="0"/>
    <n v="0"/>
    <n v="1"/>
  </r>
  <r>
    <x v="8"/>
    <x v="8"/>
    <n v="1"/>
    <n v="0"/>
    <n v="0"/>
  </r>
  <r>
    <x v="27"/>
    <x v="27"/>
    <n v="0"/>
    <n v="1"/>
    <n v="0"/>
  </r>
  <r>
    <x v="32"/>
    <x v="32"/>
    <n v="0"/>
    <n v="0"/>
    <n v="1"/>
  </r>
  <r>
    <x v="11"/>
    <x v="11"/>
    <n v="1"/>
    <n v="0"/>
    <n v="0"/>
  </r>
  <r>
    <x v="0"/>
    <x v="0"/>
    <n v="0"/>
    <n v="1"/>
    <n v="0"/>
  </r>
  <r>
    <x v="17"/>
    <x v="17"/>
    <n v="0"/>
    <n v="0"/>
    <n v="1"/>
  </r>
  <r>
    <x v="18"/>
    <x v="18"/>
    <n v="1"/>
    <n v="0"/>
    <n v="0"/>
  </r>
  <r>
    <x v="13"/>
    <x v="13"/>
    <n v="0"/>
    <n v="1"/>
    <n v="0"/>
  </r>
  <r>
    <x v="22"/>
    <x v="22"/>
    <n v="1"/>
    <n v="0"/>
    <n v="0"/>
  </r>
  <r>
    <x v="16"/>
    <x v="16"/>
    <n v="1"/>
    <n v="0"/>
    <n v="0"/>
  </r>
  <r>
    <x v="33"/>
    <x v="33"/>
    <n v="0"/>
    <n v="0"/>
    <n v="1"/>
  </r>
  <r>
    <x v="6"/>
    <x v="6"/>
    <n v="1"/>
    <n v="0"/>
    <n v="0"/>
  </r>
  <r>
    <x v="1"/>
    <x v="1"/>
    <n v="0"/>
    <n v="0"/>
    <n v="1"/>
  </r>
  <r>
    <x v="21"/>
    <x v="21"/>
    <n v="0"/>
    <n v="1"/>
    <n v="0"/>
  </r>
  <r>
    <x v="12"/>
    <x v="12"/>
    <n v="0"/>
    <n v="1"/>
    <n v="0"/>
  </r>
  <r>
    <x v="30"/>
    <x v="30"/>
    <n v="1"/>
    <n v="0"/>
    <n v="0"/>
  </r>
  <r>
    <x v="34"/>
    <x v="34"/>
    <n v="0"/>
    <n v="1"/>
    <n v="0"/>
  </r>
  <r>
    <x v="20"/>
    <x v="20"/>
    <n v="0"/>
    <n v="0"/>
    <n v="1"/>
  </r>
  <r>
    <x v="9"/>
    <x v="9"/>
    <n v="0"/>
    <n v="1"/>
    <n v="0"/>
  </r>
  <r>
    <x v="35"/>
    <x v="35"/>
    <n v="0"/>
    <n v="1"/>
    <n v="0"/>
  </r>
  <r>
    <x v="24"/>
    <x v="24"/>
    <n v="1"/>
    <n v="0"/>
    <n v="0"/>
  </r>
  <r>
    <x v="14"/>
    <x v="14"/>
    <n v="0"/>
    <n v="1"/>
    <n v="0"/>
  </r>
  <r>
    <x v="15"/>
    <x v="15"/>
    <n v="0"/>
    <n v="1"/>
    <n v="0"/>
  </r>
  <r>
    <x v="5"/>
    <x v="5"/>
    <n v="1"/>
    <n v="0"/>
    <n v="0"/>
  </r>
  <r>
    <x v="29"/>
    <x v="29"/>
    <n v="1"/>
    <n v="0"/>
    <n v="0"/>
  </r>
  <r>
    <x v="23"/>
    <x v="23"/>
    <n v="0"/>
    <n v="1"/>
    <n v="0"/>
  </r>
  <r>
    <x v="10"/>
    <x v="10"/>
    <n v="0"/>
    <n v="1"/>
    <n v="0"/>
  </r>
  <r>
    <x v="25"/>
    <x v="25"/>
    <n v="0"/>
    <n v="1"/>
    <n v="0"/>
  </r>
  <r>
    <x v="10"/>
    <x v="10"/>
    <n v="1"/>
    <n v="0"/>
    <n v="0"/>
  </r>
  <r>
    <x v="34"/>
    <x v="34"/>
    <n v="0"/>
    <n v="1"/>
    <n v="0"/>
  </r>
  <r>
    <x v="28"/>
    <x v="28"/>
    <n v="0"/>
    <n v="1"/>
    <n v="0"/>
  </r>
  <r>
    <x v="35"/>
    <x v="35"/>
    <n v="0"/>
    <n v="1"/>
    <n v="0"/>
  </r>
  <r>
    <x v="23"/>
    <x v="23"/>
    <n v="0"/>
    <n v="1"/>
    <n v="0"/>
  </r>
  <r>
    <x v="17"/>
    <x v="17"/>
    <n v="1"/>
    <n v="0"/>
    <n v="0"/>
  </r>
  <r>
    <x v="2"/>
    <x v="2"/>
    <n v="0"/>
    <n v="1"/>
    <n v="0"/>
  </r>
  <r>
    <x v="21"/>
    <x v="21"/>
    <n v="0"/>
    <n v="1"/>
    <n v="0"/>
  </r>
  <r>
    <x v="22"/>
    <x v="22"/>
    <n v="1"/>
    <n v="0"/>
    <n v="0"/>
  </r>
  <r>
    <x v="26"/>
    <x v="26"/>
    <n v="0"/>
    <n v="1"/>
    <n v="0"/>
  </r>
  <r>
    <x v="13"/>
    <x v="13"/>
    <n v="1"/>
    <n v="0"/>
    <n v="0"/>
  </r>
  <r>
    <x v="29"/>
    <x v="29"/>
    <n v="0"/>
    <n v="0"/>
    <n v="1"/>
  </r>
  <r>
    <x v="20"/>
    <x v="20"/>
    <n v="0"/>
    <n v="1"/>
    <n v="0"/>
  </r>
  <r>
    <x v="6"/>
    <x v="6"/>
    <n v="0"/>
    <n v="1"/>
    <n v="0"/>
  </r>
  <r>
    <x v="31"/>
    <x v="31"/>
    <n v="1"/>
    <n v="0"/>
    <n v="0"/>
  </r>
  <r>
    <x v="27"/>
    <x v="27"/>
    <n v="0"/>
    <n v="0"/>
    <n v="1"/>
  </r>
  <r>
    <x v="19"/>
    <x v="19"/>
    <n v="0"/>
    <n v="1"/>
    <n v="0"/>
  </r>
  <r>
    <x v="9"/>
    <x v="9"/>
    <n v="0"/>
    <n v="1"/>
    <n v="0"/>
  </r>
  <r>
    <x v="15"/>
    <x v="15"/>
    <n v="0"/>
    <n v="1"/>
    <n v="0"/>
  </r>
  <r>
    <x v="4"/>
    <x v="4"/>
    <n v="0"/>
    <n v="1"/>
    <n v="0"/>
  </r>
  <r>
    <x v="12"/>
    <x v="12"/>
    <n v="0"/>
    <n v="1"/>
    <n v="0"/>
  </r>
  <r>
    <x v="18"/>
    <x v="18"/>
    <n v="0"/>
    <n v="1"/>
    <n v="0"/>
  </r>
  <r>
    <x v="32"/>
    <x v="32"/>
    <n v="0"/>
    <n v="1"/>
    <n v="0"/>
  </r>
  <r>
    <x v="14"/>
    <x v="14"/>
    <n v="1"/>
    <n v="0"/>
    <n v="0"/>
  </r>
  <r>
    <x v="33"/>
    <x v="33"/>
    <n v="1"/>
    <n v="0"/>
    <n v="0"/>
  </r>
  <r>
    <x v="0"/>
    <x v="0"/>
    <n v="1"/>
    <n v="0"/>
    <n v="0"/>
  </r>
  <r>
    <x v="7"/>
    <x v="7"/>
    <n v="1"/>
    <n v="0"/>
    <n v="0"/>
  </r>
  <r>
    <x v="7"/>
    <x v="7"/>
    <n v="0"/>
    <n v="1"/>
    <n v="0"/>
  </r>
  <r>
    <x v="15"/>
    <x v="15"/>
    <n v="1"/>
    <n v="0"/>
    <n v="0"/>
  </r>
  <r>
    <x v="13"/>
    <x v="13"/>
    <n v="0"/>
    <n v="1"/>
    <n v="0"/>
  </r>
  <r>
    <x v="9"/>
    <x v="9"/>
    <n v="0"/>
    <n v="1"/>
    <n v="0"/>
  </r>
  <r>
    <x v="20"/>
    <x v="20"/>
    <n v="0"/>
    <n v="1"/>
    <n v="0"/>
  </r>
  <r>
    <x v="0"/>
    <x v="0"/>
    <n v="1"/>
    <n v="0"/>
    <n v="0"/>
  </r>
  <r>
    <x v="28"/>
    <x v="28"/>
    <n v="0"/>
    <n v="1"/>
    <n v="0"/>
  </r>
  <r>
    <x v="23"/>
    <x v="23"/>
    <n v="0"/>
    <n v="0"/>
    <n v="1"/>
  </r>
  <r>
    <x v="18"/>
    <x v="18"/>
    <n v="0"/>
    <n v="0"/>
    <n v="1"/>
  </r>
  <r>
    <x v="17"/>
    <x v="17"/>
    <n v="0"/>
    <n v="0"/>
    <n v="1"/>
  </r>
  <r>
    <x v="31"/>
    <x v="31"/>
    <n v="0"/>
    <n v="0"/>
    <n v="1"/>
  </r>
  <r>
    <x v="6"/>
    <x v="6"/>
    <n v="0"/>
    <n v="0"/>
    <n v="1"/>
  </r>
  <r>
    <x v="25"/>
    <x v="25"/>
    <n v="0"/>
    <n v="1"/>
    <n v="0"/>
  </r>
  <r>
    <x v="4"/>
    <x v="4"/>
    <n v="0"/>
    <n v="1"/>
    <n v="0"/>
  </r>
  <r>
    <x v="12"/>
    <x v="12"/>
    <n v="0"/>
    <n v="1"/>
    <n v="0"/>
  </r>
  <r>
    <x v="22"/>
    <x v="22"/>
    <n v="1"/>
    <n v="0"/>
    <n v="0"/>
  </r>
  <r>
    <x v="19"/>
    <x v="19"/>
    <n v="1"/>
    <n v="0"/>
    <n v="0"/>
  </r>
  <r>
    <x v="2"/>
    <x v="2"/>
    <n v="0"/>
    <n v="1"/>
    <n v="0"/>
  </r>
  <r>
    <x v="21"/>
    <x v="21"/>
    <n v="0"/>
    <n v="1"/>
    <n v="0"/>
  </r>
  <r>
    <x v="7"/>
    <x v="7"/>
    <n v="1"/>
    <n v="0"/>
    <n v="0"/>
  </r>
  <r>
    <x v="14"/>
    <x v="14"/>
    <n v="0"/>
    <n v="1"/>
    <n v="0"/>
  </r>
  <r>
    <x v="10"/>
    <x v="10"/>
    <n v="0"/>
    <n v="0"/>
    <n v="1"/>
  </r>
  <r>
    <x v="7"/>
    <x v="7"/>
    <n v="1"/>
    <n v="0"/>
    <n v="0"/>
  </r>
  <r>
    <x v="22"/>
    <x v="22"/>
    <n v="1"/>
    <n v="0"/>
    <n v="0"/>
  </r>
  <r>
    <x v="8"/>
    <x v="8"/>
    <n v="1"/>
    <n v="0"/>
    <n v="0"/>
  </r>
  <r>
    <x v="18"/>
    <x v="18"/>
    <n v="1"/>
    <n v="0"/>
    <n v="0"/>
  </r>
  <r>
    <x v="6"/>
    <x v="6"/>
    <n v="0"/>
    <n v="1"/>
    <n v="0"/>
  </r>
  <r>
    <x v="24"/>
    <x v="24"/>
    <n v="1"/>
    <n v="0"/>
    <n v="0"/>
  </r>
  <r>
    <x v="0"/>
    <x v="0"/>
    <n v="0"/>
    <n v="0"/>
    <n v="1"/>
  </r>
  <r>
    <x v="20"/>
    <x v="20"/>
    <n v="0"/>
    <n v="1"/>
    <n v="0"/>
  </r>
  <r>
    <x v="23"/>
    <x v="23"/>
    <n v="0"/>
    <n v="1"/>
    <n v="0"/>
  </r>
  <r>
    <x v="16"/>
    <x v="16"/>
    <n v="0"/>
    <n v="0"/>
    <n v="1"/>
  </r>
  <r>
    <x v="9"/>
    <x v="9"/>
    <n v="1"/>
    <n v="0"/>
    <n v="0"/>
  </r>
  <r>
    <x v="21"/>
    <x v="21"/>
    <n v="0"/>
    <n v="1"/>
    <n v="0"/>
  </r>
  <r>
    <x v="17"/>
    <x v="17"/>
    <n v="0"/>
    <n v="0"/>
    <n v="1"/>
  </r>
  <r>
    <x v="5"/>
    <x v="5"/>
    <n v="1"/>
    <n v="0"/>
    <n v="0"/>
  </r>
  <r>
    <x v="1"/>
    <x v="1"/>
    <n v="1"/>
    <n v="0"/>
    <n v="0"/>
  </r>
  <r>
    <x v="14"/>
    <x v="14"/>
    <n v="1"/>
    <n v="0"/>
    <n v="0"/>
  </r>
  <r>
    <x v="6"/>
    <x v="6"/>
    <n v="0"/>
    <n v="1"/>
    <n v="0"/>
  </r>
  <r>
    <x v="16"/>
    <x v="16"/>
    <n v="1"/>
    <n v="0"/>
    <n v="0"/>
  </r>
  <r>
    <x v="2"/>
    <x v="2"/>
    <n v="1"/>
    <n v="0"/>
    <n v="0"/>
  </r>
  <r>
    <x v="14"/>
    <x v="14"/>
    <n v="0"/>
    <n v="1"/>
    <n v="0"/>
  </r>
  <r>
    <x v="7"/>
    <x v="7"/>
    <n v="0"/>
    <n v="0"/>
    <n v="1"/>
  </r>
  <r>
    <x v="1"/>
    <x v="1"/>
    <n v="1"/>
    <n v="0"/>
    <n v="0"/>
  </r>
  <r>
    <x v="19"/>
    <x v="19"/>
    <n v="0"/>
    <n v="1"/>
    <n v="0"/>
  </r>
  <r>
    <x v="8"/>
    <x v="8"/>
    <n v="1"/>
    <n v="0"/>
    <n v="0"/>
  </r>
  <r>
    <x v="3"/>
    <x v="3"/>
    <n v="0"/>
    <n v="1"/>
    <n v="0"/>
  </r>
  <r>
    <x v="17"/>
    <x v="17"/>
    <n v="0"/>
    <n v="0"/>
    <n v="1"/>
  </r>
  <r>
    <x v="0"/>
    <x v="0"/>
    <n v="0"/>
    <n v="1"/>
    <n v="0"/>
  </r>
  <r>
    <x v="18"/>
    <x v="18"/>
    <n v="1"/>
    <n v="0"/>
    <n v="0"/>
  </r>
  <r>
    <x v="4"/>
    <x v="4"/>
    <n v="0"/>
    <n v="0"/>
    <n v="1"/>
  </r>
  <r>
    <x v="9"/>
    <x v="9"/>
    <n v="1"/>
    <n v="0"/>
    <n v="0"/>
  </r>
  <r>
    <x v="5"/>
    <x v="5"/>
    <n v="0"/>
    <n v="1"/>
    <n v="0"/>
  </r>
  <r>
    <x v="21"/>
    <x v="21"/>
    <n v="0"/>
    <n v="1"/>
    <n v="0"/>
  </r>
  <r>
    <x v="20"/>
    <x v="20"/>
    <n v="0"/>
    <n v="1"/>
    <n v="0"/>
  </r>
  <r>
    <x v="2"/>
    <x v="2"/>
    <n v="0"/>
    <n v="1"/>
    <n v="0"/>
  </r>
  <r>
    <x v="30"/>
    <x v="30"/>
    <n v="1"/>
    <n v="0"/>
    <n v="0"/>
  </r>
  <r>
    <x v="18"/>
    <x v="18"/>
    <n v="0"/>
    <n v="1"/>
    <n v="0"/>
  </r>
  <r>
    <x v="24"/>
    <x v="24"/>
    <n v="1"/>
    <n v="0"/>
    <n v="0"/>
  </r>
  <r>
    <x v="27"/>
    <x v="27"/>
    <n v="1"/>
    <n v="0"/>
    <n v="0"/>
  </r>
  <r>
    <x v="5"/>
    <x v="5"/>
    <n v="1"/>
    <n v="0"/>
    <n v="0"/>
  </r>
  <r>
    <x v="25"/>
    <x v="25"/>
    <n v="0"/>
    <n v="1"/>
    <n v="0"/>
  </r>
  <r>
    <x v="29"/>
    <x v="29"/>
    <n v="1"/>
    <n v="0"/>
    <n v="0"/>
  </r>
  <r>
    <x v="14"/>
    <x v="14"/>
    <n v="0"/>
    <n v="1"/>
    <n v="0"/>
  </r>
  <r>
    <x v="26"/>
    <x v="26"/>
    <n v="0"/>
    <n v="1"/>
    <n v="0"/>
  </r>
  <r>
    <x v="22"/>
    <x v="22"/>
    <n v="0"/>
    <n v="0"/>
    <n v="1"/>
  </r>
  <r>
    <x v="35"/>
    <x v="35"/>
    <n v="0"/>
    <n v="1"/>
    <n v="0"/>
  </r>
  <r>
    <x v="1"/>
    <x v="1"/>
    <n v="1"/>
    <n v="0"/>
    <n v="0"/>
  </r>
  <r>
    <x v="4"/>
    <x v="4"/>
    <n v="1"/>
    <n v="0"/>
    <n v="0"/>
  </r>
  <r>
    <x v="19"/>
    <x v="19"/>
    <n v="0"/>
    <n v="1"/>
    <n v="0"/>
  </r>
  <r>
    <x v="0"/>
    <x v="0"/>
    <n v="0"/>
    <n v="1"/>
    <n v="0"/>
  </r>
  <r>
    <x v="32"/>
    <x v="32"/>
    <n v="1"/>
    <n v="0"/>
    <n v="0"/>
  </r>
  <r>
    <x v="3"/>
    <x v="3"/>
    <n v="1"/>
    <n v="0"/>
    <n v="0"/>
  </r>
  <r>
    <x v="16"/>
    <x v="16"/>
    <n v="0"/>
    <n v="1"/>
    <n v="0"/>
  </r>
  <r>
    <x v="1"/>
    <x v="1"/>
    <n v="1"/>
    <n v="0"/>
    <n v="0"/>
  </r>
  <r>
    <x v="13"/>
    <x v="13"/>
    <n v="0"/>
    <n v="1"/>
    <n v="0"/>
  </r>
  <r>
    <x v="19"/>
    <x v="19"/>
    <n v="0"/>
    <n v="0"/>
    <n v="1"/>
  </r>
  <r>
    <x v="9"/>
    <x v="9"/>
    <n v="0"/>
    <n v="1"/>
    <n v="0"/>
  </r>
  <r>
    <x v="11"/>
    <x v="11"/>
    <n v="1"/>
    <n v="0"/>
    <n v="0"/>
  </r>
  <r>
    <x v="14"/>
    <x v="14"/>
    <n v="1"/>
    <n v="0"/>
    <n v="0"/>
  </r>
  <r>
    <x v="12"/>
    <x v="12"/>
    <n v="0"/>
    <n v="1"/>
    <n v="0"/>
  </r>
  <r>
    <x v="2"/>
    <x v="2"/>
    <n v="0"/>
    <n v="1"/>
    <n v="0"/>
  </r>
  <r>
    <x v="16"/>
    <x v="16"/>
    <n v="1"/>
    <n v="0"/>
    <n v="0"/>
  </r>
  <r>
    <x v="6"/>
    <x v="6"/>
    <n v="0"/>
    <n v="1"/>
    <n v="0"/>
  </r>
  <r>
    <x v="18"/>
    <x v="18"/>
    <n v="0"/>
    <n v="0"/>
    <n v="1"/>
  </r>
  <r>
    <x v="28"/>
    <x v="28"/>
    <n v="0"/>
    <n v="1"/>
    <n v="0"/>
  </r>
  <r>
    <x v="8"/>
    <x v="8"/>
    <n v="1"/>
    <n v="0"/>
    <n v="0"/>
  </r>
  <r>
    <x v="4"/>
    <x v="4"/>
    <n v="0"/>
    <n v="1"/>
    <n v="0"/>
  </r>
  <r>
    <x v="10"/>
    <x v="10"/>
    <n v="0"/>
    <n v="1"/>
    <n v="0"/>
  </r>
  <r>
    <x v="15"/>
    <x v="15"/>
    <n v="0"/>
    <n v="0"/>
    <n v="1"/>
  </r>
  <r>
    <x v="7"/>
    <x v="7"/>
    <n v="0"/>
    <n v="1"/>
    <n v="0"/>
  </r>
  <r>
    <x v="5"/>
    <x v="5"/>
    <n v="1"/>
    <n v="0"/>
    <n v="0"/>
  </r>
  <r>
    <x v="0"/>
    <x v="0"/>
    <n v="1"/>
    <n v="0"/>
    <n v="0"/>
  </r>
  <r>
    <x v="17"/>
    <x v="17"/>
    <n v="1"/>
    <n v="0"/>
    <n v="0"/>
  </r>
  <r>
    <x v="3"/>
    <x v="3"/>
    <n v="0"/>
    <n v="0"/>
    <n v="1"/>
  </r>
  <r>
    <x v="7"/>
    <x v="7"/>
    <n v="0"/>
    <n v="1"/>
    <n v="0"/>
  </r>
  <r>
    <x v="21"/>
    <x v="21"/>
    <n v="0"/>
    <n v="1"/>
    <n v="0"/>
  </r>
  <r>
    <x v="8"/>
    <x v="8"/>
    <n v="1"/>
    <n v="0"/>
    <n v="0"/>
  </r>
  <r>
    <x v="24"/>
    <x v="24"/>
    <n v="0"/>
    <n v="0"/>
    <n v="1"/>
  </r>
  <r>
    <x v="4"/>
    <x v="4"/>
    <n v="1"/>
    <n v="0"/>
    <n v="0"/>
  </r>
  <r>
    <x v="5"/>
    <x v="5"/>
    <n v="0"/>
    <n v="1"/>
    <n v="0"/>
  </r>
  <r>
    <x v="25"/>
    <x v="25"/>
    <n v="0"/>
    <n v="1"/>
    <n v="0"/>
  </r>
  <r>
    <x v="6"/>
    <x v="6"/>
    <n v="0"/>
    <n v="0"/>
    <n v="1"/>
  </r>
  <r>
    <x v="3"/>
    <x v="3"/>
    <n v="1"/>
    <n v="0"/>
    <n v="0"/>
  </r>
  <r>
    <x v="23"/>
    <x v="23"/>
    <n v="1"/>
    <n v="0"/>
    <n v="0"/>
  </r>
  <r>
    <x v="19"/>
    <x v="19"/>
    <n v="0"/>
    <n v="1"/>
    <n v="0"/>
  </r>
  <r>
    <x v="30"/>
    <x v="30"/>
    <n v="1"/>
    <n v="0"/>
    <n v="0"/>
  </r>
  <r>
    <x v="31"/>
    <x v="31"/>
    <n v="0"/>
    <n v="0"/>
    <n v="1"/>
  </r>
  <r>
    <x v="16"/>
    <x v="16"/>
    <n v="0"/>
    <n v="1"/>
    <n v="0"/>
  </r>
  <r>
    <x v="23"/>
    <x v="23"/>
    <n v="0"/>
    <n v="1"/>
    <n v="0"/>
  </r>
  <r>
    <x v="26"/>
    <x v="26"/>
    <n v="0"/>
    <n v="1"/>
    <n v="0"/>
  </r>
  <r>
    <x v="7"/>
    <x v="7"/>
    <n v="1"/>
    <n v="0"/>
    <n v="0"/>
  </r>
  <r>
    <x v="33"/>
    <x v="33"/>
    <n v="1"/>
    <n v="0"/>
    <n v="0"/>
  </r>
  <r>
    <x v="20"/>
    <x v="20"/>
    <n v="0"/>
    <n v="1"/>
    <n v="0"/>
  </r>
  <r>
    <x v="24"/>
    <x v="24"/>
    <n v="1"/>
    <n v="0"/>
    <n v="0"/>
  </r>
  <r>
    <x v="34"/>
    <x v="34"/>
    <n v="0"/>
    <n v="1"/>
    <n v="0"/>
  </r>
  <r>
    <x v="15"/>
    <x v="15"/>
    <n v="1"/>
    <n v="0"/>
    <n v="0"/>
  </r>
  <r>
    <x v="3"/>
    <x v="3"/>
    <n v="1"/>
    <n v="0"/>
    <n v="0"/>
  </r>
  <r>
    <x v="35"/>
    <x v="35"/>
    <n v="0"/>
    <n v="0"/>
    <n v="1"/>
  </r>
  <r>
    <x v="12"/>
    <x v="12"/>
    <n v="1"/>
    <n v="0"/>
    <n v="0"/>
  </r>
  <r>
    <x v="25"/>
    <x v="25"/>
    <n v="0"/>
    <n v="0"/>
    <n v="1"/>
  </r>
  <r>
    <x v="17"/>
    <x v="17"/>
    <n v="1"/>
    <n v="0"/>
    <n v="0"/>
  </r>
  <r>
    <x v="11"/>
    <x v="11"/>
    <n v="0"/>
    <n v="1"/>
    <n v="0"/>
  </r>
  <r>
    <x v="28"/>
    <x v="28"/>
    <n v="1"/>
    <n v="0"/>
    <n v="0"/>
  </r>
  <r>
    <x v="32"/>
    <x v="32"/>
    <n v="0"/>
    <n v="1"/>
    <n v="0"/>
  </r>
  <r>
    <x v="8"/>
    <x v="8"/>
    <n v="0"/>
    <n v="0"/>
    <n v="1"/>
  </r>
  <r>
    <x v="29"/>
    <x v="29"/>
    <n v="1"/>
    <n v="0"/>
    <n v="0"/>
  </r>
  <r>
    <x v="29"/>
    <x v="29"/>
    <n v="0"/>
    <n v="0"/>
    <n v="1"/>
  </r>
  <r>
    <x v="23"/>
    <x v="23"/>
    <n v="0"/>
    <n v="0"/>
    <n v="1"/>
  </r>
  <r>
    <x v="23"/>
    <x v="23"/>
    <n v="0"/>
    <n v="1"/>
    <n v="0"/>
  </r>
  <r>
    <x v="13"/>
    <x v="13"/>
    <n v="0"/>
    <n v="1"/>
    <n v="0"/>
  </r>
  <r>
    <x v="8"/>
    <x v="8"/>
    <n v="1"/>
    <n v="0"/>
    <n v="0"/>
  </r>
  <r>
    <x v="36"/>
    <x v="36"/>
    <n v="1"/>
    <n v="0"/>
    <n v="0"/>
  </r>
  <r>
    <x v="37"/>
    <x v="37"/>
    <n v="1"/>
    <n v="0"/>
    <n v="0"/>
  </r>
  <r>
    <x v="9"/>
    <x v="9"/>
    <n v="1"/>
    <n v="0"/>
    <n v="0"/>
  </r>
  <r>
    <x v="11"/>
    <x v="11"/>
    <n v="1"/>
    <n v="0"/>
    <n v="0"/>
  </r>
  <r>
    <x v="38"/>
    <x v="38"/>
    <n v="1"/>
    <n v="0"/>
    <n v="0"/>
  </r>
  <r>
    <x v="12"/>
    <x v="12"/>
    <n v="0"/>
    <n v="1"/>
    <n v="0"/>
  </r>
  <r>
    <x v="0"/>
    <x v="0"/>
    <n v="0"/>
    <n v="0"/>
    <n v="1"/>
  </r>
  <r>
    <x v="39"/>
    <x v="39"/>
    <n v="0"/>
    <n v="1"/>
    <n v="0"/>
  </r>
  <r>
    <x v="1"/>
    <x v="1"/>
    <n v="1"/>
    <n v="0"/>
    <n v="0"/>
  </r>
  <r>
    <x v="6"/>
    <x v="6"/>
    <n v="0"/>
    <n v="1"/>
    <n v="0"/>
  </r>
  <r>
    <x v="40"/>
    <x v="40"/>
    <n v="1"/>
    <n v="0"/>
    <n v="0"/>
  </r>
  <r>
    <x v="10"/>
    <x v="10"/>
    <n v="0"/>
    <n v="0"/>
    <n v="1"/>
  </r>
  <r>
    <x v="5"/>
    <x v="5"/>
    <n v="0"/>
    <n v="1"/>
    <n v="0"/>
  </r>
  <r>
    <x v="18"/>
    <x v="18"/>
    <n v="0"/>
    <n v="0"/>
    <n v="1"/>
  </r>
  <r>
    <x v="10"/>
    <x v="10"/>
    <n v="1"/>
    <n v="0"/>
    <n v="0"/>
  </r>
  <r>
    <x v="34"/>
    <x v="34"/>
    <n v="1"/>
    <n v="0"/>
    <n v="0"/>
  </r>
  <r>
    <x v="23"/>
    <x v="23"/>
    <n v="0"/>
    <n v="0"/>
    <n v="1"/>
  </r>
  <r>
    <x v="15"/>
    <x v="15"/>
    <n v="0"/>
    <n v="1"/>
    <n v="0"/>
  </r>
  <r>
    <x v="32"/>
    <x v="32"/>
    <n v="1"/>
    <n v="0"/>
    <n v="0"/>
  </r>
  <r>
    <x v="34"/>
    <x v="34"/>
    <n v="1"/>
    <n v="0"/>
    <n v="0"/>
  </r>
  <r>
    <x v="41"/>
    <x v="41"/>
    <n v="0"/>
    <n v="1"/>
    <n v="0"/>
  </r>
  <r>
    <x v="38"/>
    <x v="38"/>
    <n v="1"/>
    <n v="0"/>
    <n v="0"/>
  </r>
  <r>
    <x v="3"/>
    <x v="3"/>
    <n v="0"/>
    <n v="1"/>
    <n v="0"/>
  </r>
  <r>
    <x v="15"/>
    <x v="15"/>
    <n v="0"/>
    <n v="1"/>
    <n v="0"/>
  </r>
  <r>
    <x v="32"/>
    <x v="32"/>
    <n v="1"/>
    <n v="0"/>
    <n v="0"/>
  </r>
  <r>
    <x v="38"/>
    <x v="38"/>
    <n v="1"/>
    <n v="0"/>
    <n v="0"/>
  </r>
  <r>
    <x v="23"/>
    <x v="23"/>
    <n v="0"/>
    <n v="1"/>
    <n v="0"/>
  </r>
  <r>
    <x v="10"/>
    <x v="10"/>
    <n v="0"/>
    <n v="1"/>
    <n v="0"/>
  </r>
  <r>
    <x v="41"/>
    <x v="41"/>
    <n v="0"/>
    <n v="1"/>
    <n v="0"/>
  </r>
  <r>
    <x v="3"/>
    <x v="3"/>
    <n v="0"/>
    <n v="1"/>
    <n v="0"/>
  </r>
  <r>
    <x v="18"/>
    <x v="18"/>
    <n v="0"/>
    <n v="1"/>
    <n v="0"/>
  </r>
  <r>
    <x v="27"/>
    <x v="27"/>
    <n v="1"/>
    <n v="0"/>
    <n v="0"/>
  </r>
  <r>
    <x v="19"/>
    <x v="19"/>
    <n v="1"/>
    <n v="0"/>
    <n v="0"/>
  </r>
  <r>
    <x v="27"/>
    <x v="27"/>
    <n v="0"/>
    <n v="1"/>
    <n v="0"/>
  </r>
  <r>
    <x v="19"/>
    <x v="19"/>
    <n v="0"/>
    <n v="1"/>
    <n v="0"/>
  </r>
  <r>
    <x v="35"/>
    <x v="35"/>
    <n v="1"/>
    <n v="0"/>
    <n v="0"/>
  </r>
  <r>
    <x v="35"/>
    <x v="35"/>
    <n v="0"/>
    <n v="1"/>
    <n v="0"/>
  </r>
  <r>
    <x v="35"/>
    <x v="35"/>
    <n v="0"/>
    <n v="1"/>
    <n v="0"/>
  </r>
  <r>
    <x v="11"/>
    <x v="11"/>
    <n v="0"/>
    <n v="1"/>
    <n v="0"/>
  </r>
  <r>
    <x v="28"/>
    <x v="28"/>
    <n v="1"/>
    <n v="0"/>
    <n v="0"/>
  </r>
  <r>
    <x v="42"/>
    <x v="42"/>
    <n v="0"/>
    <n v="0"/>
    <n v="1"/>
  </r>
  <r>
    <x v="3"/>
    <x v="3"/>
    <n v="0"/>
    <n v="1"/>
    <n v="0"/>
  </r>
  <r>
    <x v="11"/>
    <x v="11"/>
    <n v="1"/>
    <n v="0"/>
    <n v="0"/>
  </r>
  <r>
    <x v="36"/>
    <x v="36"/>
    <n v="0"/>
    <n v="0"/>
    <n v="1"/>
  </r>
  <r>
    <x v="29"/>
    <x v="29"/>
    <n v="0"/>
    <n v="1"/>
    <n v="0"/>
  </r>
  <r>
    <x v="28"/>
    <x v="28"/>
    <n v="0"/>
    <n v="1"/>
    <n v="0"/>
  </r>
  <r>
    <x v="42"/>
    <x v="42"/>
    <n v="1"/>
    <n v="0"/>
    <n v="0"/>
  </r>
  <r>
    <x v="3"/>
    <x v="3"/>
    <n v="0"/>
    <n v="0"/>
    <n v="1"/>
  </r>
  <r>
    <x v="36"/>
    <x v="36"/>
    <n v="1"/>
    <n v="0"/>
    <n v="0"/>
  </r>
  <r>
    <x v="23"/>
    <x v="23"/>
    <n v="0"/>
    <n v="1"/>
    <n v="0"/>
  </r>
  <r>
    <x v="29"/>
    <x v="29"/>
    <n v="1"/>
    <n v="0"/>
    <n v="0"/>
  </r>
  <r>
    <x v="21"/>
    <x v="21"/>
    <n v="1"/>
    <n v="0"/>
    <n v="0"/>
  </r>
  <r>
    <x v="23"/>
    <x v="23"/>
    <n v="0"/>
    <n v="1"/>
    <n v="0"/>
  </r>
  <r>
    <x v="21"/>
    <x v="21"/>
    <n v="0"/>
    <n v="1"/>
    <n v="0"/>
  </r>
  <r>
    <x v="6"/>
    <x v="6"/>
    <n v="0"/>
    <n v="0"/>
    <n v="1"/>
  </r>
  <r>
    <x v="6"/>
    <x v="6"/>
    <n v="0"/>
    <n v="0"/>
    <n v="1"/>
  </r>
  <r>
    <x v="18"/>
    <x v="18"/>
    <n v="1"/>
    <n v="0"/>
    <n v="0"/>
  </r>
  <r>
    <x v="7"/>
    <x v="7"/>
    <n v="1"/>
    <n v="0"/>
    <n v="0"/>
  </r>
  <r>
    <x v="18"/>
    <x v="18"/>
    <n v="0"/>
    <n v="0"/>
    <n v="1"/>
  </r>
  <r>
    <x v="7"/>
    <x v="7"/>
    <n v="0"/>
    <n v="0"/>
    <n v="1"/>
  </r>
  <r>
    <x v="9"/>
    <x v="9"/>
    <n v="0"/>
    <n v="1"/>
    <n v="0"/>
  </r>
  <r>
    <x v="9"/>
    <x v="9"/>
    <n v="1"/>
    <n v="0"/>
    <n v="0"/>
  </r>
  <r>
    <x v="9"/>
    <x v="9"/>
    <n v="0"/>
    <n v="0"/>
    <n v="1"/>
  </r>
  <r>
    <x v="24"/>
    <x v="24"/>
    <n v="0"/>
    <n v="0"/>
    <n v="1"/>
  </r>
  <r>
    <x v="33"/>
    <x v="33"/>
    <n v="0"/>
    <n v="1"/>
    <n v="0"/>
  </r>
  <r>
    <x v="25"/>
    <x v="25"/>
    <n v="0"/>
    <n v="1"/>
    <n v="0"/>
  </r>
  <r>
    <x v="35"/>
    <x v="35"/>
    <n v="0"/>
    <n v="1"/>
    <n v="0"/>
  </r>
  <r>
    <x v="15"/>
    <x v="15"/>
    <n v="0"/>
    <n v="0"/>
    <n v="1"/>
  </r>
  <r>
    <x v="3"/>
    <x v="3"/>
    <n v="1"/>
    <n v="0"/>
    <n v="0"/>
  </r>
  <r>
    <x v="35"/>
    <x v="35"/>
    <n v="0"/>
    <n v="0"/>
    <n v="1"/>
  </r>
  <r>
    <x v="33"/>
    <x v="33"/>
    <n v="0"/>
    <n v="0"/>
    <n v="1"/>
  </r>
  <r>
    <x v="25"/>
    <x v="25"/>
    <n v="0"/>
    <n v="1"/>
    <n v="0"/>
  </r>
  <r>
    <x v="0"/>
    <x v="0"/>
    <n v="0"/>
    <n v="1"/>
    <n v="0"/>
  </r>
  <r>
    <x v="15"/>
    <x v="15"/>
    <n v="0"/>
    <n v="1"/>
    <n v="0"/>
  </r>
  <r>
    <x v="37"/>
    <x v="37"/>
    <n v="1"/>
    <n v="0"/>
    <n v="0"/>
  </r>
  <r>
    <x v="24"/>
    <x v="24"/>
    <n v="0"/>
    <n v="0"/>
    <n v="1"/>
  </r>
  <r>
    <x v="36"/>
    <x v="36"/>
    <n v="1"/>
    <n v="0"/>
    <n v="0"/>
  </r>
  <r>
    <x v="0"/>
    <x v="0"/>
    <n v="1"/>
    <n v="0"/>
    <n v="0"/>
  </r>
  <r>
    <x v="3"/>
    <x v="3"/>
    <n v="0"/>
    <n v="0"/>
    <n v="1"/>
  </r>
  <r>
    <x v="37"/>
    <x v="37"/>
    <n v="1"/>
    <n v="0"/>
    <n v="0"/>
  </r>
  <r>
    <x v="36"/>
    <x v="36"/>
    <n v="0"/>
    <n v="0"/>
    <n v="1"/>
  </r>
  <r>
    <x v="14"/>
    <x v="14"/>
    <n v="0"/>
    <n v="1"/>
    <n v="0"/>
  </r>
  <r>
    <x v="7"/>
    <x v="7"/>
    <n v="0"/>
    <n v="0"/>
    <n v="1"/>
  </r>
  <r>
    <x v="14"/>
    <x v="14"/>
    <n v="0"/>
    <n v="0"/>
    <n v="1"/>
  </r>
  <r>
    <x v="7"/>
    <x v="7"/>
    <n v="0"/>
    <n v="0"/>
    <n v="1"/>
  </r>
  <r>
    <x v="4"/>
    <x v="4"/>
    <n v="1"/>
    <n v="0"/>
    <n v="0"/>
  </r>
  <r>
    <x v="4"/>
    <x v="4"/>
    <n v="0"/>
    <n v="0"/>
    <n v="1"/>
  </r>
  <r>
    <x v="16"/>
    <x v="16"/>
    <n v="0"/>
    <n v="0"/>
    <n v="1"/>
  </r>
  <r>
    <x v="12"/>
    <x v="12"/>
    <n v="0"/>
    <n v="0"/>
    <n v="1"/>
  </r>
  <r>
    <x v="41"/>
    <x v="41"/>
    <n v="0"/>
    <n v="1"/>
    <n v="0"/>
  </r>
  <r>
    <x v="36"/>
    <x v="36"/>
    <n v="1"/>
    <n v="0"/>
    <n v="0"/>
  </r>
  <r>
    <x v="33"/>
    <x v="33"/>
    <n v="0"/>
    <n v="1"/>
    <n v="0"/>
  </r>
  <r>
    <x v="24"/>
    <x v="24"/>
    <n v="1"/>
    <n v="0"/>
    <n v="0"/>
  </r>
  <r>
    <x v="2"/>
    <x v="2"/>
    <n v="1"/>
    <n v="0"/>
    <n v="0"/>
  </r>
  <r>
    <x v="20"/>
    <x v="20"/>
    <n v="0"/>
    <n v="0"/>
    <n v="1"/>
  </r>
  <r>
    <x v="34"/>
    <x v="34"/>
    <n v="1"/>
    <n v="0"/>
    <n v="0"/>
  </r>
  <r>
    <x v="29"/>
    <x v="29"/>
    <n v="1"/>
    <n v="0"/>
    <n v="0"/>
  </r>
  <r>
    <x v="5"/>
    <x v="5"/>
    <n v="0"/>
    <n v="1"/>
    <n v="0"/>
  </r>
  <r>
    <x v="30"/>
    <x v="30"/>
    <n v="0"/>
    <n v="1"/>
    <n v="0"/>
  </r>
  <r>
    <x v="0"/>
    <x v="0"/>
    <n v="0"/>
    <n v="1"/>
    <n v="0"/>
  </r>
  <r>
    <x v="17"/>
    <x v="17"/>
    <n v="1"/>
    <n v="0"/>
    <n v="0"/>
  </r>
  <r>
    <x v="41"/>
    <x v="41"/>
    <n v="0"/>
    <n v="1"/>
    <n v="0"/>
  </r>
  <r>
    <x v="1"/>
    <x v="1"/>
    <n v="1"/>
    <n v="0"/>
    <n v="0"/>
  </r>
  <r>
    <x v="21"/>
    <x v="21"/>
    <n v="1"/>
    <n v="0"/>
    <n v="0"/>
  </r>
  <r>
    <x v="42"/>
    <x v="42"/>
    <n v="1"/>
    <n v="0"/>
    <n v="0"/>
  </r>
  <r>
    <x v="19"/>
    <x v="19"/>
    <n v="0"/>
    <n v="0"/>
    <n v="1"/>
  </r>
  <r>
    <x v="24"/>
    <x v="24"/>
    <n v="0"/>
    <n v="0"/>
    <n v="1"/>
  </r>
  <r>
    <x v="13"/>
    <x v="13"/>
    <n v="0"/>
    <n v="1"/>
    <n v="0"/>
  </r>
  <r>
    <x v="34"/>
    <x v="34"/>
    <n v="0"/>
    <n v="1"/>
    <n v="0"/>
  </r>
  <r>
    <x v="43"/>
    <x v="43"/>
    <n v="0"/>
    <n v="0"/>
    <n v="1"/>
  </r>
  <r>
    <x v="31"/>
    <x v="31"/>
    <n v="0"/>
    <n v="0"/>
    <n v="1"/>
  </r>
  <r>
    <x v="0"/>
    <x v="0"/>
    <n v="0"/>
    <n v="1"/>
    <n v="0"/>
  </r>
  <r>
    <x v="40"/>
    <x v="40"/>
    <n v="1"/>
    <n v="0"/>
    <n v="0"/>
  </r>
  <r>
    <x v="26"/>
    <x v="26"/>
    <n v="0"/>
    <n v="0"/>
    <n v="1"/>
  </r>
  <r>
    <x v="5"/>
    <x v="5"/>
    <n v="1"/>
    <n v="0"/>
    <n v="0"/>
  </r>
  <r>
    <x v="10"/>
    <x v="10"/>
    <n v="0"/>
    <n v="1"/>
    <n v="0"/>
  </r>
  <r>
    <x v="35"/>
    <x v="35"/>
    <n v="0"/>
    <n v="0"/>
    <n v="1"/>
  </r>
  <r>
    <x v="7"/>
    <x v="7"/>
    <n v="0"/>
    <n v="1"/>
    <n v="0"/>
  </r>
  <r>
    <x v="22"/>
    <x v="22"/>
    <n v="1"/>
    <n v="0"/>
    <n v="0"/>
  </r>
  <r>
    <x v="11"/>
    <x v="11"/>
    <n v="0"/>
    <n v="0"/>
    <n v="1"/>
  </r>
  <r>
    <x v="6"/>
    <x v="6"/>
    <n v="0"/>
    <n v="1"/>
    <n v="0"/>
  </r>
  <r>
    <x v="3"/>
    <x v="3"/>
    <n v="0"/>
    <n v="1"/>
    <n v="0"/>
  </r>
  <r>
    <x v="5"/>
    <x v="5"/>
    <n v="0"/>
    <n v="1"/>
    <n v="0"/>
  </r>
  <r>
    <x v="7"/>
    <x v="7"/>
    <n v="0"/>
    <n v="1"/>
    <n v="0"/>
  </r>
  <r>
    <x v="8"/>
    <x v="8"/>
    <n v="0"/>
    <n v="0"/>
    <n v="1"/>
  </r>
  <r>
    <x v="4"/>
    <x v="4"/>
    <n v="0"/>
    <n v="1"/>
    <n v="0"/>
  </r>
  <r>
    <x v="36"/>
    <x v="36"/>
    <n v="1"/>
    <n v="0"/>
    <n v="0"/>
  </r>
  <r>
    <x v="17"/>
    <x v="17"/>
    <n v="1"/>
    <n v="0"/>
    <n v="0"/>
  </r>
  <r>
    <x v="13"/>
    <x v="13"/>
    <n v="0"/>
    <n v="0"/>
    <n v="1"/>
  </r>
  <r>
    <x v="32"/>
    <x v="32"/>
    <n v="1"/>
    <n v="0"/>
    <n v="0"/>
  </r>
  <r>
    <x v="38"/>
    <x v="38"/>
    <n v="1"/>
    <n v="0"/>
    <n v="0"/>
  </r>
  <r>
    <x v="18"/>
    <x v="18"/>
    <n v="1"/>
    <n v="0"/>
    <n v="0"/>
  </r>
  <r>
    <x v="28"/>
    <x v="28"/>
    <n v="0"/>
    <n v="1"/>
    <n v="0"/>
  </r>
  <r>
    <x v="21"/>
    <x v="21"/>
    <n v="0"/>
    <n v="0"/>
    <n v="1"/>
  </r>
  <r>
    <x v="40"/>
    <x v="40"/>
    <n v="1"/>
    <n v="0"/>
    <n v="0"/>
  </r>
  <r>
    <x v="1"/>
    <x v="1"/>
    <n v="1"/>
    <n v="0"/>
    <n v="0"/>
  </r>
  <r>
    <x v="33"/>
    <x v="33"/>
    <n v="0"/>
    <n v="0"/>
    <n v="1"/>
  </r>
  <r>
    <x v="4"/>
    <x v="4"/>
    <n v="0"/>
    <n v="0"/>
    <n v="1"/>
  </r>
  <r>
    <x v="8"/>
    <x v="8"/>
    <n v="1"/>
    <n v="0"/>
    <n v="0"/>
  </r>
  <r>
    <x v="43"/>
    <x v="43"/>
    <n v="1"/>
    <n v="0"/>
    <n v="0"/>
  </r>
  <r>
    <x v="26"/>
    <x v="26"/>
    <n v="1"/>
    <n v="0"/>
    <n v="0"/>
  </r>
  <r>
    <x v="31"/>
    <x v="31"/>
    <n v="0"/>
    <n v="1"/>
    <n v="0"/>
  </r>
  <r>
    <x v="16"/>
    <x v="16"/>
    <n v="1"/>
    <n v="0"/>
    <n v="0"/>
  </r>
  <r>
    <x v="9"/>
    <x v="9"/>
    <n v="1"/>
    <n v="0"/>
    <n v="0"/>
  </r>
  <r>
    <x v="27"/>
    <x v="27"/>
    <n v="0"/>
    <n v="1"/>
    <n v="0"/>
  </r>
  <r>
    <x v="25"/>
    <x v="25"/>
    <n v="0"/>
    <n v="1"/>
    <n v="0"/>
  </r>
  <r>
    <x v="29"/>
    <x v="29"/>
    <n v="0"/>
    <n v="0"/>
    <n v="1"/>
  </r>
  <r>
    <x v="3"/>
    <x v="3"/>
    <n v="1"/>
    <n v="0"/>
    <n v="0"/>
  </r>
  <r>
    <x v="26"/>
    <x v="26"/>
    <n v="0"/>
    <n v="1"/>
    <n v="0"/>
  </r>
  <r>
    <x v="1"/>
    <x v="1"/>
    <n v="0"/>
    <n v="0"/>
    <n v="1"/>
  </r>
  <r>
    <x v="30"/>
    <x v="30"/>
    <n v="1"/>
    <n v="0"/>
    <n v="0"/>
  </r>
  <r>
    <x v="2"/>
    <x v="2"/>
    <n v="0"/>
    <n v="1"/>
    <n v="0"/>
  </r>
  <r>
    <x v="44"/>
    <x v="44"/>
    <n v="1"/>
    <n v="0"/>
    <n v="0"/>
  </r>
  <r>
    <x v="45"/>
    <x v="45"/>
    <n v="1"/>
    <n v="0"/>
    <n v="0"/>
  </r>
  <r>
    <x v="46"/>
    <x v="46"/>
    <n v="1"/>
    <n v="0"/>
    <n v="0"/>
  </r>
  <r>
    <x v="11"/>
    <x v="11"/>
    <n v="1"/>
    <n v="0"/>
    <n v="0"/>
  </r>
  <r>
    <x v="19"/>
    <x v="19"/>
    <n v="0"/>
    <n v="0"/>
    <n v="1"/>
  </r>
  <r>
    <x v="9"/>
    <x v="9"/>
    <n v="0"/>
    <n v="1"/>
    <n v="0"/>
  </r>
  <r>
    <x v="37"/>
    <x v="37"/>
    <n v="0"/>
    <n v="0"/>
    <n v="1"/>
  </r>
  <r>
    <x v="47"/>
    <x v="47"/>
    <n v="1"/>
    <n v="0"/>
    <n v="0"/>
  </r>
  <r>
    <x v="48"/>
    <x v="48"/>
    <n v="0"/>
    <n v="0"/>
    <n v="1"/>
  </r>
  <r>
    <x v="33"/>
    <x v="33"/>
    <n v="0"/>
    <n v="0"/>
    <n v="1"/>
  </r>
  <r>
    <x v="2"/>
    <x v="2"/>
    <n v="1"/>
    <n v="0"/>
    <n v="0"/>
  </r>
  <r>
    <x v="17"/>
    <x v="17"/>
    <n v="0"/>
    <n v="0"/>
    <n v="1"/>
  </r>
  <r>
    <x v="49"/>
    <x v="49"/>
    <n v="0"/>
    <n v="0"/>
    <n v="1"/>
  </r>
  <r>
    <x v="21"/>
    <x v="21"/>
    <n v="1"/>
    <n v="0"/>
    <n v="0"/>
  </r>
  <r>
    <x v="50"/>
    <x v="50"/>
    <n v="0"/>
    <n v="0"/>
    <n v="1"/>
  </r>
  <r>
    <x v="30"/>
    <x v="30"/>
    <n v="0"/>
    <n v="0"/>
    <n v="1"/>
  </r>
  <r>
    <x v="7"/>
    <x v="7"/>
    <n v="0"/>
    <n v="1"/>
    <n v="0"/>
  </r>
  <r>
    <x v="18"/>
    <x v="18"/>
    <n v="0"/>
    <n v="1"/>
    <n v="0"/>
  </r>
  <r>
    <x v="23"/>
    <x v="23"/>
    <n v="1"/>
    <n v="0"/>
    <n v="0"/>
  </r>
  <r>
    <x v="27"/>
    <x v="27"/>
    <n v="0"/>
    <n v="0"/>
    <n v="1"/>
  </r>
  <r>
    <x v="51"/>
    <x v="51"/>
    <n v="0"/>
    <n v="1"/>
    <n v="0"/>
  </r>
  <r>
    <x v="3"/>
    <x v="3"/>
    <n v="0"/>
    <n v="0"/>
    <n v="1"/>
  </r>
  <r>
    <x v="52"/>
    <x v="52"/>
    <n v="0"/>
    <n v="1"/>
    <n v="0"/>
  </r>
  <r>
    <x v="30"/>
    <x v="30"/>
    <n v="0"/>
    <n v="0"/>
    <n v="1"/>
  </r>
  <r>
    <x v="32"/>
    <x v="32"/>
    <n v="1"/>
    <n v="0"/>
    <n v="0"/>
  </r>
  <r>
    <x v="48"/>
    <x v="48"/>
    <n v="1"/>
    <n v="0"/>
    <n v="0"/>
  </r>
  <r>
    <x v="37"/>
    <x v="37"/>
    <n v="1"/>
    <n v="0"/>
    <n v="0"/>
  </r>
  <r>
    <x v="53"/>
    <x v="53"/>
    <n v="1"/>
    <n v="0"/>
    <n v="0"/>
  </r>
  <r>
    <x v="25"/>
    <x v="25"/>
    <n v="0"/>
    <n v="1"/>
    <n v="0"/>
  </r>
  <r>
    <x v="35"/>
    <x v="35"/>
    <n v="0"/>
    <n v="0"/>
    <n v="1"/>
  </r>
  <r>
    <x v="54"/>
    <x v="54"/>
    <n v="0"/>
    <n v="1"/>
    <n v="0"/>
  </r>
  <r>
    <x v="11"/>
    <x v="11"/>
    <n v="1"/>
    <n v="0"/>
    <n v="0"/>
  </r>
  <r>
    <x v="55"/>
    <x v="55"/>
    <n v="0"/>
    <n v="1"/>
    <n v="0"/>
  </r>
  <r>
    <x v="6"/>
    <x v="6"/>
    <n v="0"/>
    <n v="1"/>
    <n v="0"/>
  </r>
  <r>
    <x v="32"/>
    <x v="32"/>
    <n v="1"/>
    <n v="0"/>
    <n v="0"/>
  </r>
  <r>
    <x v="19"/>
    <x v="19"/>
    <n v="0"/>
    <n v="1"/>
    <n v="0"/>
  </r>
  <r>
    <x v="1"/>
    <x v="1"/>
    <n v="1"/>
    <n v="0"/>
    <n v="0"/>
  </r>
  <r>
    <x v="56"/>
    <x v="56"/>
    <n v="1"/>
    <n v="0"/>
    <n v="0"/>
  </r>
  <r>
    <x v="40"/>
    <x v="40"/>
    <n v="1"/>
    <n v="0"/>
    <n v="0"/>
  </r>
  <r>
    <x v="20"/>
    <x v="20"/>
    <n v="1"/>
    <n v="0"/>
    <n v="0"/>
  </r>
  <r>
    <x v="57"/>
    <x v="57"/>
    <n v="0"/>
    <n v="0"/>
    <n v="1"/>
  </r>
  <r>
    <x v="26"/>
    <x v="26"/>
    <n v="0"/>
    <n v="1"/>
    <n v="0"/>
  </r>
  <r>
    <x v="58"/>
    <x v="58"/>
    <n v="0"/>
    <n v="1"/>
    <n v="0"/>
  </r>
  <r>
    <x v="10"/>
    <x v="10"/>
    <n v="0"/>
    <n v="0"/>
    <n v="1"/>
  </r>
  <r>
    <x v="34"/>
    <x v="34"/>
    <n v="0"/>
    <n v="0"/>
    <n v="1"/>
  </r>
  <r>
    <x v="13"/>
    <x v="13"/>
    <n v="0"/>
    <n v="1"/>
    <n v="0"/>
  </r>
  <r>
    <x v="59"/>
    <x v="59"/>
    <n v="0"/>
    <n v="0"/>
    <n v="1"/>
  </r>
  <r>
    <x v="3"/>
    <x v="3"/>
    <n v="0"/>
    <n v="0"/>
    <n v="1"/>
  </r>
  <r>
    <x v="27"/>
    <x v="27"/>
    <n v="0"/>
    <n v="1"/>
    <n v="0"/>
  </r>
  <r>
    <x v="60"/>
    <x v="60"/>
    <n v="1"/>
    <n v="0"/>
    <n v="0"/>
  </r>
  <r>
    <x v="61"/>
    <x v="61"/>
    <n v="1"/>
    <n v="0"/>
    <n v="0"/>
  </r>
  <r>
    <x v="4"/>
    <x v="4"/>
    <n v="0"/>
    <n v="0"/>
    <n v="1"/>
  </r>
  <r>
    <x v="9"/>
    <x v="9"/>
    <n v="0"/>
    <n v="1"/>
    <n v="0"/>
  </r>
  <r>
    <x v="24"/>
    <x v="24"/>
    <n v="0"/>
    <n v="0"/>
    <n v="1"/>
  </r>
  <r>
    <x v="39"/>
    <x v="39"/>
    <n v="1"/>
    <n v="0"/>
    <n v="0"/>
  </r>
  <r>
    <x v="14"/>
    <x v="14"/>
    <n v="1"/>
    <n v="0"/>
    <n v="0"/>
  </r>
  <r>
    <x v="46"/>
    <x v="46"/>
    <n v="0"/>
    <n v="1"/>
    <n v="0"/>
  </r>
  <r>
    <x v="62"/>
    <x v="62"/>
    <n v="1"/>
    <n v="0"/>
    <n v="0"/>
  </r>
  <r>
    <x v="1"/>
    <x v="1"/>
    <n v="1"/>
    <n v="0"/>
    <n v="0"/>
  </r>
  <r>
    <x v="23"/>
    <x v="23"/>
    <n v="1"/>
    <n v="0"/>
    <n v="0"/>
  </r>
  <r>
    <x v="15"/>
    <x v="15"/>
    <n v="1"/>
    <n v="0"/>
    <n v="0"/>
  </r>
  <r>
    <x v="37"/>
    <x v="37"/>
    <n v="1"/>
    <n v="0"/>
    <n v="0"/>
  </r>
  <r>
    <x v="63"/>
    <x v="63"/>
    <n v="1"/>
    <n v="0"/>
    <n v="0"/>
  </r>
  <r>
    <x v="64"/>
    <x v="64"/>
    <n v="1"/>
    <n v="0"/>
    <n v="0"/>
  </r>
  <r>
    <x v="8"/>
    <x v="8"/>
    <n v="0"/>
    <n v="0"/>
    <n v="1"/>
  </r>
  <r>
    <x v="22"/>
    <x v="22"/>
    <n v="0"/>
    <n v="1"/>
    <n v="0"/>
  </r>
  <r>
    <x v="43"/>
    <x v="43"/>
    <n v="1"/>
    <n v="0"/>
    <n v="0"/>
  </r>
  <r>
    <x v="13"/>
    <x v="13"/>
    <n v="1"/>
    <n v="0"/>
    <n v="0"/>
  </r>
  <r>
    <x v="65"/>
    <x v="65"/>
    <n v="0"/>
    <n v="0"/>
    <n v="1"/>
  </r>
  <r>
    <x v="26"/>
    <x v="26"/>
    <n v="0"/>
    <n v="1"/>
    <n v="0"/>
  </r>
  <r>
    <x v="33"/>
    <x v="33"/>
    <n v="1"/>
    <n v="0"/>
    <n v="0"/>
  </r>
  <r>
    <x v="16"/>
    <x v="16"/>
    <n v="0"/>
    <n v="1"/>
    <n v="0"/>
  </r>
  <r>
    <x v="52"/>
    <x v="52"/>
    <n v="0"/>
    <n v="0"/>
    <n v="1"/>
  </r>
  <r>
    <x v="7"/>
    <x v="7"/>
    <n v="0"/>
    <n v="1"/>
    <n v="0"/>
  </r>
  <r>
    <x v="50"/>
    <x v="50"/>
    <n v="1"/>
    <n v="0"/>
    <n v="0"/>
  </r>
  <r>
    <x v="19"/>
    <x v="19"/>
    <n v="0"/>
    <n v="1"/>
    <n v="0"/>
  </r>
  <r>
    <x v="51"/>
    <x v="51"/>
    <n v="0"/>
    <n v="1"/>
    <n v="0"/>
  </r>
  <r>
    <x v="28"/>
    <x v="28"/>
    <n v="0"/>
    <n v="1"/>
    <n v="0"/>
  </r>
  <r>
    <x v="12"/>
    <x v="12"/>
    <n v="0"/>
    <n v="0"/>
    <n v="1"/>
  </r>
  <r>
    <x v="66"/>
    <x v="66"/>
    <n v="1"/>
    <n v="0"/>
    <n v="0"/>
  </r>
  <r>
    <x v="67"/>
    <x v="67"/>
    <n v="0"/>
    <n v="1"/>
    <n v="0"/>
  </r>
  <r>
    <x v="41"/>
    <x v="41"/>
    <n v="0"/>
    <n v="1"/>
    <n v="0"/>
  </r>
  <r>
    <x v="24"/>
    <x v="24"/>
    <n v="1"/>
    <n v="0"/>
    <n v="0"/>
  </r>
  <r>
    <x v="27"/>
    <x v="27"/>
    <n v="1"/>
    <n v="0"/>
    <n v="0"/>
  </r>
  <r>
    <x v="15"/>
    <x v="15"/>
    <n v="0"/>
    <n v="1"/>
    <n v="0"/>
  </r>
  <r>
    <x v="68"/>
    <x v="68"/>
    <n v="1"/>
    <n v="0"/>
    <n v="0"/>
  </r>
  <r>
    <x v="63"/>
    <x v="63"/>
    <n v="1"/>
    <n v="0"/>
    <n v="0"/>
  </r>
  <r>
    <x v="36"/>
    <x v="36"/>
    <n v="1"/>
    <n v="0"/>
    <n v="0"/>
  </r>
  <r>
    <x v="21"/>
    <x v="21"/>
    <n v="0"/>
    <n v="1"/>
    <n v="0"/>
  </r>
  <r>
    <x v="30"/>
    <x v="30"/>
    <n v="0"/>
    <n v="1"/>
    <n v="0"/>
  </r>
  <r>
    <x v="17"/>
    <x v="17"/>
    <n v="1"/>
    <n v="0"/>
    <n v="0"/>
  </r>
  <r>
    <x v="69"/>
    <x v="69"/>
    <n v="0"/>
    <n v="0"/>
    <n v="1"/>
  </r>
  <r>
    <x v="55"/>
    <x v="55"/>
    <n v="0"/>
    <n v="1"/>
    <n v="0"/>
  </r>
  <r>
    <x v="2"/>
    <x v="2"/>
    <n v="0"/>
    <n v="1"/>
    <n v="0"/>
  </r>
  <r>
    <x v="32"/>
    <x v="32"/>
    <n v="1"/>
    <n v="0"/>
    <n v="0"/>
  </r>
  <r>
    <x v="5"/>
    <x v="5"/>
    <n v="1"/>
    <n v="0"/>
    <n v="0"/>
  </r>
  <r>
    <x v="51"/>
    <x v="51"/>
    <n v="0"/>
    <n v="0"/>
    <n v="1"/>
  </r>
  <r>
    <x v="6"/>
    <x v="6"/>
    <n v="0"/>
    <n v="0"/>
    <n v="1"/>
  </r>
  <r>
    <x v="29"/>
    <x v="29"/>
    <n v="1"/>
    <n v="0"/>
    <n v="0"/>
  </r>
  <r>
    <x v="3"/>
    <x v="3"/>
    <n v="0"/>
    <n v="1"/>
    <n v="0"/>
  </r>
  <r>
    <x v="0"/>
    <x v="0"/>
    <n v="0"/>
    <n v="0"/>
    <n v="1"/>
  </r>
  <r>
    <x v="63"/>
    <x v="63"/>
    <n v="1"/>
    <n v="0"/>
    <n v="0"/>
  </r>
  <r>
    <x v="67"/>
    <x v="67"/>
    <n v="0"/>
    <n v="1"/>
    <n v="0"/>
  </r>
  <r>
    <x v="4"/>
    <x v="4"/>
    <n v="0"/>
    <n v="1"/>
    <n v="0"/>
  </r>
  <r>
    <x v="42"/>
    <x v="42"/>
    <n v="1"/>
    <n v="0"/>
    <n v="0"/>
  </r>
  <r>
    <x v="22"/>
    <x v="22"/>
    <n v="1"/>
    <n v="0"/>
    <n v="0"/>
  </r>
  <r>
    <x v="63"/>
    <x v="63"/>
    <n v="0"/>
    <n v="1"/>
    <n v="0"/>
  </r>
  <r>
    <x v="17"/>
    <x v="17"/>
    <n v="0"/>
    <n v="0"/>
    <n v="1"/>
  </r>
  <r>
    <x v="70"/>
    <x v="70"/>
    <n v="1"/>
    <n v="0"/>
    <n v="0"/>
  </r>
  <r>
    <x v="13"/>
    <x v="13"/>
    <n v="0"/>
    <n v="1"/>
    <n v="0"/>
  </r>
  <r>
    <x v="36"/>
    <x v="36"/>
    <n v="1"/>
    <n v="0"/>
    <n v="0"/>
  </r>
  <r>
    <x v="32"/>
    <x v="32"/>
    <n v="1"/>
    <n v="0"/>
    <n v="0"/>
  </r>
  <r>
    <x v="53"/>
    <x v="53"/>
    <n v="0"/>
    <n v="0"/>
    <n v="1"/>
  </r>
  <r>
    <x v="19"/>
    <x v="19"/>
    <n v="0"/>
    <n v="1"/>
    <n v="0"/>
  </r>
  <r>
    <x v="71"/>
    <x v="71"/>
    <n v="0"/>
    <n v="0"/>
    <n v="1"/>
  </r>
  <r>
    <x v="72"/>
    <x v="72"/>
    <n v="0"/>
    <n v="1"/>
    <n v="0"/>
  </r>
  <r>
    <x v="29"/>
    <x v="29"/>
    <n v="0"/>
    <n v="1"/>
    <n v="0"/>
  </r>
  <r>
    <x v="44"/>
    <x v="44"/>
    <n v="1"/>
    <n v="0"/>
    <n v="0"/>
  </r>
  <r>
    <x v="7"/>
    <x v="7"/>
    <n v="0"/>
    <n v="1"/>
    <n v="0"/>
  </r>
  <r>
    <x v="51"/>
    <x v="51"/>
    <n v="1"/>
    <n v="0"/>
    <n v="0"/>
  </r>
  <r>
    <x v="73"/>
    <x v="73"/>
    <n v="0"/>
    <n v="1"/>
    <n v="0"/>
  </r>
  <r>
    <x v="74"/>
    <x v="74"/>
    <n v="0"/>
    <n v="1"/>
    <n v="0"/>
  </r>
  <r>
    <x v="67"/>
    <x v="67"/>
    <n v="0"/>
    <n v="1"/>
    <n v="0"/>
  </r>
  <r>
    <x v="71"/>
    <x v="71"/>
    <n v="1"/>
    <n v="0"/>
    <n v="0"/>
  </r>
  <r>
    <x v="35"/>
    <x v="35"/>
    <n v="1"/>
    <n v="0"/>
    <n v="0"/>
  </r>
  <r>
    <x v="75"/>
    <x v="75"/>
    <n v="0"/>
    <n v="1"/>
    <n v="0"/>
  </r>
  <r>
    <x v="57"/>
    <x v="57"/>
    <n v="0"/>
    <n v="1"/>
    <n v="0"/>
  </r>
  <r>
    <x v="76"/>
    <x v="76"/>
    <n v="1"/>
    <n v="0"/>
    <n v="0"/>
  </r>
  <r>
    <x v="46"/>
    <x v="46"/>
    <n v="1"/>
    <n v="0"/>
    <n v="0"/>
  </r>
  <r>
    <x v="73"/>
    <x v="73"/>
    <n v="0"/>
    <n v="0"/>
    <n v="1"/>
  </r>
  <r>
    <x v="42"/>
    <x v="42"/>
    <n v="1"/>
    <n v="0"/>
    <n v="0"/>
  </r>
  <r>
    <x v="15"/>
    <x v="15"/>
    <n v="0"/>
    <n v="0"/>
    <n v="1"/>
  </r>
  <r>
    <x v="24"/>
    <x v="24"/>
    <n v="1"/>
    <n v="0"/>
    <n v="0"/>
  </r>
  <r>
    <x v="57"/>
    <x v="57"/>
    <n v="0"/>
    <n v="0"/>
    <n v="1"/>
  </r>
  <r>
    <x v="2"/>
    <x v="2"/>
    <n v="0"/>
    <n v="1"/>
    <n v="0"/>
  </r>
  <r>
    <x v="77"/>
    <x v="77"/>
    <n v="1"/>
    <n v="0"/>
    <n v="0"/>
  </r>
  <r>
    <x v="43"/>
    <x v="43"/>
    <n v="1"/>
    <n v="0"/>
    <n v="0"/>
  </r>
  <r>
    <x v="33"/>
    <x v="33"/>
    <n v="0"/>
    <n v="1"/>
    <n v="0"/>
  </r>
  <r>
    <x v="48"/>
    <x v="48"/>
    <n v="0"/>
    <n v="1"/>
    <n v="0"/>
  </r>
  <r>
    <x v="21"/>
    <x v="21"/>
    <n v="0"/>
    <n v="1"/>
    <n v="0"/>
  </r>
  <r>
    <x v="62"/>
    <x v="62"/>
    <n v="1"/>
    <n v="0"/>
    <n v="0"/>
  </r>
  <r>
    <x v="9"/>
    <x v="9"/>
    <n v="0"/>
    <n v="0"/>
    <n v="1"/>
  </r>
  <r>
    <x v="39"/>
    <x v="39"/>
    <n v="0"/>
    <n v="0"/>
    <n v="1"/>
  </r>
  <r>
    <x v="35"/>
    <x v="35"/>
    <n v="0"/>
    <n v="0"/>
    <n v="1"/>
  </r>
  <r>
    <x v="5"/>
    <x v="5"/>
    <n v="1"/>
    <n v="0"/>
    <n v="0"/>
  </r>
  <r>
    <x v="52"/>
    <x v="52"/>
    <n v="0"/>
    <n v="1"/>
    <n v="0"/>
  </r>
  <r>
    <x v="7"/>
    <x v="7"/>
    <n v="1"/>
    <n v="0"/>
    <n v="0"/>
  </r>
  <r>
    <x v="78"/>
    <x v="78"/>
    <n v="0"/>
    <n v="1"/>
    <n v="0"/>
  </r>
  <r>
    <x v="16"/>
    <x v="16"/>
    <n v="1"/>
    <n v="0"/>
    <n v="0"/>
  </r>
  <r>
    <x v="64"/>
    <x v="64"/>
    <n v="1"/>
    <n v="0"/>
    <n v="0"/>
  </r>
  <r>
    <x v="6"/>
    <x v="6"/>
    <n v="0"/>
    <n v="1"/>
    <n v="0"/>
  </r>
  <r>
    <x v="63"/>
    <x v="63"/>
    <n v="1"/>
    <n v="0"/>
    <n v="0"/>
  </r>
  <r>
    <x v="30"/>
    <x v="30"/>
    <n v="1"/>
    <n v="0"/>
    <n v="0"/>
  </r>
  <r>
    <x v="4"/>
    <x v="4"/>
    <n v="0"/>
    <n v="0"/>
    <n v="1"/>
  </r>
  <r>
    <x v="27"/>
    <x v="27"/>
    <n v="0"/>
    <n v="1"/>
    <n v="0"/>
  </r>
  <r>
    <x v="3"/>
    <x v="3"/>
    <n v="0"/>
    <n v="0"/>
    <n v="1"/>
  </r>
  <r>
    <x v="39"/>
    <x v="39"/>
    <n v="0"/>
    <n v="0"/>
    <n v="1"/>
  </r>
  <r>
    <x v="14"/>
    <x v="14"/>
    <n v="1"/>
    <n v="0"/>
    <n v="0"/>
  </r>
  <r>
    <x v="63"/>
    <x v="63"/>
    <n v="0"/>
    <n v="1"/>
    <n v="0"/>
  </r>
  <r>
    <x v="22"/>
    <x v="22"/>
    <n v="1"/>
    <n v="0"/>
    <n v="0"/>
  </r>
  <r>
    <x v="58"/>
    <x v="58"/>
    <n v="1"/>
    <n v="0"/>
    <n v="0"/>
  </r>
  <r>
    <x v="34"/>
    <x v="34"/>
    <n v="0"/>
    <n v="1"/>
    <n v="0"/>
  </r>
  <r>
    <x v="43"/>
    <x v="43"/>
    <n v="0"/>
    <n v="1"/>
    <n v="0"/>
  </r>
  <r>
    <x v="13"/>
    <x v="13"/>
    <n v="0"/>
    <n v="1"/>
    <n v="0"/>
  </r>
  <r>
    <x v="52"/>
    <x v="52"/>
    <n v="0"/>
    <n v="1"/>
    <n v="0"/>
  </r>
  <r>
    <x v="2"/>
    <x v="2"/>
    <n v="0"/>
    <n v="1"/>
    <n v="0"/>
  </r>
  <r>
    <x v="30"/>
    <x v="30"/>
    <n v="1"/>
    <n v="0"/>
    <n v="0"/>
  </r>
  <r>
    <x v="79"/>
    <x v="79"/>
    <n v="1"/>
    <n v="0"/>
    <n v="0"/>
  </r>
  <r>
    <x v="37"/>
    <x v="37"/>
    <n v="0"/>
    <n v="0"/>
    <n v="1"/>
  </r>
  <r>
    <x v="15"/>
    <x v="15"/>
    <n v="0"/>
    <n v="0"/>
    <n v="1"/>
  </r>
  <r>
    <x v="25"/>
    <x v="25"/>
    <n v="0"/>
    <n v="1"/>
    <n v="0"/>
  </r>
  <r>
    <x v="67"/>
    <x v="67"/>
    <n v="0"/>
    <n v="0"/>
    <n v="1"/>
  </r>
  <r>
    <x v="8"/>
    <x v="8"/>
    <n v="1"/>
    <n v="0"/>
    <n v="0"/>
  </r>
  <r>
    <x v="61"/>
    <x v="61"/>
    <n v="1"/>
    <n v="0"/>
    <n v="0"/>
  </r>
  <r>
    <x v="2"/>
    <x v="2"/>
    <n v="0"/>
    <n v="1"/>
    <n v="0"/>
  </r>
  <r>
    <x v="37"/>
    <x v="37"/>
    <n v="1"/>
    <n v="0"/>
    <n v="0"/>
  </r>
  <r>
    <x v="16"/>
    <x v="16"/>
    <n v="1"/>
    <n v="0"/>
    <n v="0"/>
  </r>
  <r>
    <x v="53"/>
    <x v="53"/>
    <n v="0"/>
    <n v="1"/>
    <n v="0"/>
  </r>
  <r>
    <x v="4"/>
    <x v="4"/>
    <n v="0"/>
    <n v="0"/>
    <n v="1"/>
  </r>
  <r>
    <x v="48"/>
    <x v="48"/>
    <n v="1"/>
    <n v="0"/>
    <n v="0"/>
  </r>
  <r>
    <x v="57"/>
    <x v="57"/>
    <n v="0"/>
    <n v="1"/>
    <n v="0"/>
  </r>
  <r>
    <x v="3"/>
    <x v="3"/>
    <n v="0"/>
    <n v="1"/>
    <n v="0"/>
  </r>
  <r>
    <x v="11"/>
    <x v="11"/>
    <n v="0"/>
    <n v="0"/>
    <n v="1"/>
  </r>
  <r>
    <x v="64"/>
    <x v="64"/>
    <n v="1"/>
    <n v="0"/>
    <n v="0"/>
  </r>
  <r>
    <x v="41"/>
    <x v="41"/>
    <n v="0"/>
    <n v="0"/>
    <n v="1"/>
  </r>
  <r>
    <x v="23"/>
    <x v="23"/>
    <n v="0"/>
    <n v="0"/>
    <n v="1"/>
  </r>
  <r>
    <x v="67"/>
    <x v="67"/>
    <n v="1"/>
    <n v="0"/>
    <n v="0"/>
  </r>
  <r>
    <x v="14"/>
    <x v="14"/>
    <n v="0"/>
    <n v="0"/>
    <n v="1"/>
  </r>
  <r>
    <x v="30"/>
    <x v="30"/>
    <n v="0"/>
    <n v="0"/>
    <n v="1"/>
  </r>
  <r>
    <x v="74"/>
    <x v="74"/>
    <n v="0"/>
    <n v="1"/>
    <n v="0"/>
  </r>
  <r>
    <x v="0"/>
    <x v="0"/>
    <n v="0"/>
    <n v="0"/>
    <n v="1"/>
  </r>
  <r>
    <x v="51"/>
    <x v="51"/>
    <n v="1"/>
    <n v="0"/>
    <n v="0"/>
  </r>
  <r>
    <x v="44"/>
    <x v="44"/>
    <n v="0"/>
    <n v="1"/>
    <n v="0"/>
  </r>
  <r>
    <x v="7"/>
    <x v="7"/>
    <n v="0"/>
    <n v="0"/>
    <n v="1"/>
  </r>
  <r>
    <x v="33"/>
    <x v="33"/>
    <n v="0"/>
    <n v="1"/>
    <n v="0"/>
  </r>
  <r>
    <x v="80"/>
    <x v="80"/>
    <n v="1"/>
    <n v="0"/>
    <n v="0"/>
  </r>
  <r>
    <x v="18"/>
    <x v="18"/>
    <n v="1"/>
    <n v="0"/>
    <n v="0"/>
  </r>
  <r>
    <x v="57"/>
    <x v="57"/>
    <n v="1"/>
    <n v="0"/>
    <n v="0"/>
  </r>
  <r>
    <x v="40"/>
    <x v="40"/>
    <n v="0"/>
    <n v="0"/>
    <n v="1"/>
  </r>
  <r>
    <x v="25"/>
    <x v="25"/>
    <n v="0"/>
    <n v="1"/>
    <n v="0"/>
  </r>
  <r>
    <x v="35"/>
    <x v="35"/>
    <n v="0"/>
    <n v="1"/>
    <n v="0"/>
  </r>
  <r>
    <x v="5"/>
    <x v="5"/>
    <n v="0"/>
    <n v="0"/>
    <n v="1"/>
  </r>
  <r>
    <x v="7"/>
    <x v="7"/>
    <n v="0"/>
    <n v="0"/>
    <n v="1"/>
  </r>
  <r>
    <x v="36"/>
    <x v="36"/>
    <n v="0"/>
    <n v="1"/>
    <n v="0"/>
  </r>
  <r>
    <x v="14"/>
    <x v="14"/>
    <n v="0"/>
    <n v="1"/>
    <n v="0"/>
  </r>
  <r>
    <x v="40"/>
    <x v="40"/>
    <n v="0"/>
    <n v="0"/>
    <n v="1"/>
  </r>
  <r>
    <x v="43"/>
    <x v="43"/>
    <n v="1"/>
    <n v="0"/>
    <n v="0"/>
  </r>
  <r>
    <x v="6"/>
    <x v="6"/>
    <n v="0"/>
    <n v="1"/>
    <n v="0"/>
  </r>
  <r>
    <x v="22"/>
    <x v="22"/>
    <n v="1"/>
    <n v="0"/>
    <n v="0"/>
  </r>
  <r>
    <x v="50"/>
    <x v="50"/>
    <n v="0"/>
    <n v="0"/>
    <n v="1"/>
  </r>
  <r>
    <x v="81"/>
    <x v="81"/>
    <n v="1"/>
    <n v="0"/>
    <n v="0"/>
  </r>
  <r>
    <x v="8"/>
    <x v="8"/>
    <n v="0"/>
    <n v="0"/>
    <n v="1"/>
  </r>
  <r>
    <x v="19"/>
    <x v="19"/>
    <n v="0"/>
    <n v="1"/>
    <n v="0"/>
  </r>
  <r>
    <x v="42"/>
    <x v="42"/>
    <n v="0"/>
    <n v="1"/>
    <n v="0"/>
  </r>
  <r>
    <x v="67"/>
    <x v="67"/>
    <n v="0"/>
    <n v="0"/>
    <n v="1"/>
  </r>
  <r>
    <x v="31"/>
    <x v="31"/>
    <n v="1"/>
    <n v="0"/>
    <n v="0"/>
  </r>
  <r>
    <x v="5"/>
    <x v="5"/>
    <n v="1"/>
    <n v="0"/>
    <n v="0"/>
  </r>
  <r>
    <x v="82"/>
    <x v="82"/>
    <n v="1"/>
    <n v="0"/>
    <n v="0"/>
  </r>
  <r>
    <x v="26"/>
    <x v="26"/>
    <n v="1"/>
    <n v="0"/>
    <n v="0"/>
  </r>
  <r>
    <x v="43"/>
    <x v="43"/>
    <n v="1"/>
    <n v="0"/>
    <n v="0"/>
  </r>
  <r>
    <x v="10"/>
    <x v="10"/>
    <n v="0"/>
    <n v="1"/>
    <n v="0"/>
  </r>
  <r>
    <x v="52"/>
    <x v="52"/>
    <n v="0"/>
    <n v="1"/>
    <n v="0"/>
  </r>
  <r>
    <x v="83"/>
    <x v="83"/>
    <n v="1"/>
    <n v="0"/>
    <n v="0"/>
  </r>
  <r>
    <x v="6"/>
    <x v="6"/>
    <n v="0"/>
    <n v="0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746">
  <r>
    <x v="0"/>
    <n v="0"/>
    <n v="1"/>
    <n v="0"/>
  </r>
  <r>
    <x v="1"/>
    <n v="1"/>
    <n v="0"/>
    <n v="0"/>
  </r>
  <r>
    <x v="2"/>
    <n v="0"/>
    <n v="0"/>
    <n v="1"/>
  </r>
  <r>
    <x v="3"/>
    <n v="0"/>
    <n v="0"/>
    <n v="1"/>
  </r>
  <r>
    <x v="4"/>
    <n v="1"/>
    <n v="0"/>
    <n v="0"/>
  </r>
  <r>
    <x v="5"/>
    <n v="0"/>
    <n v="0"/>
    <n v="1"/>
  </r>
  <r>
    <x v="0"/>
    <n v="0"/>
    <n v="1"/>
    <n v="0"/>
  </r>
  <r>
    <x v="3"/>
    <n v="1"/>
    <n v="0"/>
    <n v="0"/>
  </r>
  <r>
    <x v="1"/>
    <n v="1"/>
    <n v="0"/>
    <n v="0"/>
  </r>
  <r>
    <x v="4"/>
    <n v="1"/>
    <n v="0"/>
    <n v="0"/>
  </r>
  <r>
    <x v="2"/>
    <n v="0"/>
    <n v="1"/>
    <n v="0"/>
  </r>
  <r>
    <x v="5"/>
    <n v="0"/>
    <n v="1"/>
    <n v="0"/>
  </r>
  <r>
    <x v="2"/>
    <n v="0"/>
    <n v="1"/>
    <n v="0"/>
  </r>
  <r>
    <x v="5"/>
    <n v="0"/>
    <n v="1"/>
    <n v="0"/>
  </r>
  <r>
    <x v="0"/>
    <n v="0"/>
    <n v="1"/>
    <n v="0"/>
  </r>
  <r>
    <x v="3"/>
    <n v="0"/>
    <n v="1"/>
    <n v="0"/>
  </r>
  <r>
    <x v="1"/>
    <n v="1"/>
    <n v="0"/>
    <n v="0"/>
  </r>
  <r>
    <x v="4"/>
    <n v="0"/>
    <n v="0"/>
    <n v="1"/>
  </r>
  <r>
    <x v="4"/>
    <n v="0"/>
    <n v="1"/>
    <n v="0"/>
  </r>
  <r>
    <x v="2"/>
    <n v="0"/>
    <n v="1"/>
    <n v="0"/>
  </r>
  <r>
    <x v="5"/>
    <n v="0"/>
    <n v="0"/>
    <n v="1"/>
  </r>
  <r>
    <x v="4"/>
    <n v="1"/>
    <n v="0"/>
    <n v="0"/>
  </r>
  <r>
    <x v="1"/>
    <n v="0"/>
    <n v="0"/>
    <n v="1"/>
  </r>
  <r>
    <x v="3"/>
    <n v="1"/>
    <n v="0"/>
    <n v="0"/>
  </r>
  <r>
    <x v="0"/>
    <n v="0"/>
    <n v="1"/>
    <n v="0"/>
  </r>
  <r>
    <x v="3"/>
    <n v="1"/>
    <n v="0"/>
    <n v="0"/>
  </r>
  <r>
    <x v="6"/>
    <n v="1"/>
    <n v="0"/>
    <n v="0"/>
  </r>
  <r>
    <x v="7"/>
    <n v="0"/>
    <n v="1"/>
    <n v="0"/>
  </r>
  <r>
    <x v="8"/>
    <n v="1"/>
    <n v="0"/>
    <n v="0"/>
  </r>
  <r>
    <x v="4"/>
    <n v="1"/>
    <n v="0"/>
    <n v="0"/>
  </r>
  <r>
    <x v="5"/>
    <n v="1"/>
    <n v="0"/>
    <n v="0"/>
  </r>
  <r>
    <x v="2"/>
    <n v="0"/>
    <n v="0"/>
    <n v="1"/>
  </r>
  <r>
    <x v="0"/>
    <n v="0"/>
    <n v="1"/>
    <n v="0"/>
  </r>
  <r>
    <x v="7"/>
    <n v="0"/>
    <n v="0"/>
    <n v="1"/>
  </r>
  <r>
    <x v="1"/>
    <n v="1"/>
    <n v="0"/>
    <n v="0"/>
  </r>
  <r>
    <x v="4"/>
    <n v="0"/>
    <n v="0"/>
    <n v="1"/>
  </r>
  <r>
    <x v="9"/>
    <n v="0"/>
    <n v="1"/>
    <n v="0"/>
  </r>
  <r>
    <x v="5"/>
    <n v="0"/>
    <n v="1"/>
    <n v="0"/>
  </r>
  <r>
    <x v="6"/>
    <n v="1"/>
    <n v="0"/>
    <n v="0"/>
  </r>
  <r>
    <x v="3"/>
    <n v="0"/>
    <n v="1"/>
    <n v="0"/>
  </r>
  <r>
    <x v="8"/>
    <n v="1"/>
    <n v="0"/>
    <n v="0"/>
  </r>
  <r>
    <x v="7"/>
    <n v="0"/>
    <n v="1"/>
    <n v="0"/>
  </r>
  <r>
    <x v="8"/>
    <n v="1"/>
    <n v="0"/>
    <n v="0"/>
  </r>
  <r>
    <x v="6"/>
    <n v="0"/>
    <n v="1"/>
    <n v="0"/>
  </r>
  <r>
    <x v="7"/>
    <n v="1"/>
    <n v="0"/>
    <n v="0"/>
  </r>
  <r>
    <x v="3"/>
    <n v="1"/>
    <n v="0"/>
    <n v="0"/>
  </r>
  <r>
    <x v="4"/>
    <n v="1"/>
    <n v="0"/>
    <n v="0"/>
  </r>
  <r>
    <x v="5"/>
    <n v="0"/>
    <n v="1"/>
    <n v="0"/>
  </r>
  <r>
    <x v="8"/>
    <n v="0"/>
    <n v="0"/>
    <n v="1"/>
  </r>
  <r>
    <x v="0"/>
    <n v="0"/>
    <n v="1"/>
    <n v="0"/>
  </r>
  <r>
    <x v="1"/>
    <n v="1"/>
    <n v="0"/>
    <n v="0"/>
  </r>
  <r>
    <x v="6"/>
    <n v="0"/>
    <n v="1"/>
    <n v="0"/>
  </r>
  <r>
    <x v="9"/>
    <n v="0"/>
    <n v="1"/>
    <n v="0"/>
  </r>
  <r>
    <x v="5"/>
    <n v="0"/>
    <n v="0"/>
    <n v="1"/>
  </r>
  <r>
    <x v="8"/>
    <n v="1"/>
    <n v="0"/>
    <n v="0"/>
  </r>
  <r>
    <x v="7"/>
    <n v="0"/>
    <n v="1"/>
    <n v="0"/>
  </r>
  <r>
    <x v="3"/>
    <n v="1"/>
    <n v="0"/>
    <n v="0"/>
  </r>
  <r>
    <x v="7"/>
    <n v="0"/>
    <n v="1"/>
    <n v="0"/>
  </r>
  <r>
    <x v="8"/>
    <n v="1"/>
    <n v="0"/>
    <n v="0"/>
  </r>
  <r>
    <x v="3"/>
    <n v="0"/>
    <n v="0"/>
    <n v="1"/>
  </r>
  <r>
    <x v="10"/>
    <n v="0"/>
    <n v="1"/>
    <n v="0"/>
  </r>
  <r>
    <x v="11"/>
    <n v="1"/>
    <n v="0"/>
    <n v="0"/>
  </r>
  <r>
    <x v="0"/>
    <n v="0"/>
    <n v="1"/>
    <n v="0"/>
  </r>
  <r>
    <x v="8"/>
    <n v="1"/>
    <n v="0"/>
    <n v="0"/>
  </r>
  <r>
    <x v="12"/>
    <n v="0"/>
    <n v="1"/>
    <n v="0"/>
  </r>
  <r>
    <x v="5"/>
    <n v="0"/>
    <n v="1"/>
    <n v="0"/>
  </r>
  <r>
    <x v="13"/>
    <n v="0"/>
    <n v="1"/>
    <n v="0"/>
  </r>
  <r>
    <x v="1"/>
    <n v="0"/>
    <n v="0"/>
    <n v="1"/>
  </r>
  <r>
    <x v="6"/>
    <n v="0"/>
    <n v="1"/>
    <n v="0"/>
  </r>
  <r>
    <x v="9"/>
    <n v="1"/>
    <n v="0"/>
    <n v="0"/>
  </r>
  <r>
    <x v="11"/>
    <n v="1"/>
    <n v="0"/>
    <n v="0"/>
  </r>
  <r>
    <x v="14"/>
    <n v="0"/>
    <n v="1"/>
    <n v="0"/>
  </r>
  <r>
    <x v="13"/>
    <n v="0"/>
    <n v="1"/>
    <n v="0"/>
  </r>
  <r>
    <x v="13"/>
    <n v="0"/>
    <n v="1"/>
    <n v="0"/>
  </r>
  <r>
    <x v="15"/>
    <n v="0"/>
    <n v="1"/>
    <n v="0"/>
  </r>
  <r>
    <x v="5"/>
    <n v="1"/>
    <n v="0"/>
    <n v="0"/>
  </r>
  <r>
    <x v="16"/>
    <n v="1"/>
    <n v="0"/>
    <n v="0"/>
  </r>
  <r>
    <x v="6"/>
    <n v="1"/>
    <n v="0"/>
    <n v="0"/>
  </r>
  <r>
    <x v="16"/>
    <n v="1"/>
    <n v="0"/>
    <n v="0"/>
  </r>
  <r>
    <x v="8"/>
    <n v="1"/>
    <n v="0"/>
    <n v="0"/>
  </r>
  <r>
    <x v="14"/>
    <n v="0"/>
    <n v="1"/>
    <n v="0"/>
  </r>
  <r>
    <x v="17"/>
    <n v="1"/>
    <n v="0"/>
    <n v="0"/>
  </r>
  <r>
    <x v="5"/>
    <n v="1"/>
    <n v="0"/>
    <n v="0"/>
  </r>
  <r>
    <x v="1"/>
    <n v="1"/>
    <n v="0"/>
    <n v="0"/>
  </r>
  <r>
    <x v="14"/>
    <n v="0"/>
    <n v="1"/>
    <n v="0"/>
  </r>
  <r>
    <x v="0"/>
    <n v="0"/>
    <n v="1"/>
    <n v="0"/>
  </r>
  <r>
    <x v="16"/>
    <n v="1"/>
    <n v="0"/>
    <n v="0"/>
  </r>
  <r>
    <x v="18"/>
    <n v="0"/>
    <n v="1"/>
    <n v="0"/>
  </r>
  <r>
    <x v="5"/>
    <n v="0"/>
    <n v="1"/>
    <n v="0"/>
  </r>
  <r>
    <x v="19"/>
    <n v="0"/>
    <n v="1"/>
    <n v="0"/>
  </r>
  <r>
    <x v="1"/>
    <n v="1"/>
    <n v="0"/>
    <n v="0"/>
  </r>
  <r>
    <x v="6"/>
    <n v="1"/>
    <n v="0"/>
    <n v="0"/>
  </r>
  <r>
    <x v="2"/>
    <n v="0"/>
    <n v="1"/>
    <n v="0"/>
  </r>
  <r>
    <x v="14"/>
    <n v="0"/>
    <n v="1"/>
    <n v="0"/>
  </r>
  <r>
    <x v="8"/>
    <n v="1"/>
    <n v="0"/>
    <n v="0"/>
  </r>
  <r>
    <x v="0"/>
    <n v="1"/>
    <n v="0"/>
    <n v="0"/>
  </r>
  <r>
    <x v="7"/>
    <n v="0"/>
    <n v="1"/>
    <n v="0"/>
  </r>
  <r>
    <x v="16"/>
    <n v="1"/>
    <n v="0"/>
    <n v="0"/>
  </r>
  <r>
    <x v="9"/>
    <n v="0"/>
    <n v="1"/>
    <n v="0"/>
  </r>
  <r>
    <x v="4"/>
    <n v="0"/>
    <n v="1"/>
    <n v="0"/>
  </r>
  <r>
    <x v="18"/>
    <n v="0"/>
    <n v="0"/>
    <n v="1"/>
  </r>
  <r>
    <x v="5"/>
    <n v="0"/>
    <n v="1"/>
    <n v="0"/>
  </r>
  <r>
    <x v="17"/>
    <n v="0"/>
    <n v="1"/>
    <n v="0"/>
  </r>
  <r>
    <x v="3"/>
    <n v="1"/>
    <n v="0"/>
    <n v="0"/>
  </r>
  <r>
    <x v="3"/>
    <n v="1"/>
    <n v="0"/>
    <n v="0"/>
  </r>
  <r>
    <x v="20"/>
    <n v="0"/>
    <n v="1"/>
    <n v="0"/>
  </r>
  <r>
    <x v="9"/>
    <n v="0"/>
    <n v="1"/>
    <n v="0"/>
  </r>
  <r>
    <x v="18"/>
    <n v="0"/>
    <n v="1"/>
    <n v="0"/>
  </r>
  <r>
    <x v="21"/>
    <n v="0"/>
    <n v="1"/>
    <n v="0"/>
  </r>
  <r>
    <x v="0"/>
    <n v="0"/>
    <n v="1"/>
    <n v="0"/>
  </r>
  <r>
    <x v="17"/>
    <n v="0"/>
    <n v="1"/>
    <n v="0"/>
  </r>
  <r>
    <x v="22"/>
    <n v="1"/>
    <n v="0"/>
    <n v="0"/>
  </r>
  <r>
    <x v="6"/>
    <n v="0"/>
    <n v="1"/>
    <n v="0"/>
  </r>
  <r>
    <x v="14"/>
    <n v="1"/>
    <n v="0"/>
    <n v="0"/>
  </r>
  <r>
    <x v="23"/>
    <n v="0"/>
    <n v="1"/>
    <n v="0"/>
  </r>
  <r>
    <x v="22"/>
    <n v="1"/>
    <n v="0"/>
    <n v="0"/>
  </r>
  <r>
    <x v="21"/>
    <n v="0"/>
    <n v="1"/>
    <n v="0"/>
  </r>
  <r>
    <x v="18"/>
    <n v="1"/>
    <n v="0"/>
    <n v="0"/>
  </r>
  <r>
    <x v="16"/>
    <n v="1"/>
    <n v="0"/>
    <n v="0"/>
  </r>
  <r>
    <x v="24"/>
    <n v="1"/>
    <n v="0"/>
    <n v="0"/>
  </r>
  <r>
    <x v="0"/>
    <n v="0"/>
    <n v="1"/>
    <n v="0"/>
  </r>
  <r>
    <x v="20"/>
    <n v="0"/>
    <n v="1"/>
    <n v="0"/>
  </r>
  <r>
    <x v="5"/>
    <n v="1"/>
    <n v="0"/>
    <n v="0"/>
  </r>
  <r>
    <x v="14"/>
    <n v="0"/>
    <n v="1"/>
    <n v="0"/>
  </r>
  <r>
    <x v="1"/>
    <n v="1"/>
    <n v="0"/>
    <n v="0"/>
  </r>
  <r>
    <x v="0"/>
    <n v="0"/>
    <n v="1"/>
    <n v="0"/>
  </r>
  <r>
    <x v="8"/>
    <n v="1"/>
    <n v="0"/>
    <n v="0"/>
  </r>
  <r>
    <x v="2"/>
    <n v="0"/>
    <n v="1"/>
    <n v="0"/>
  </r>
  <r>
    <x v="3"/>
    <n v="1"/>
    <n v="0"/>
    <n v="0"/>
  </r>
  <r>
    <x v="17"/>
    <n v="0"/>
    <n v="0"/>
    <n v="1"/>
  </r>
  <r>
    <x v="21"/>
    <n v="0"/>
    <n v="1"/>
    <n v="0"/>
  </r>
  <r>
    <x v="19"/>
    <n v="0"/>
    <n v="1"/>
    <n v="0"/>
  </r>
  <r>
    <x v="9"/>
    <n v="0"/>
    <n v="1"/>
    <n v="0"/>
  </r>
  <r>
    <x v="24"/>
    <n v="1"/>
    <n v="0"/>
    <n v="0"/>
  </r>
  <r>
    <x v="4"/>
    <n v="1"/>
    <n v="0"/>
    <n v="0"/>
  </r>
  <r>
    <x v="23"/>
    <n v="0"/>
    <n v="1"/>
    <n v="0"/>
  </r>
  <r>
    <x v="16"/>
    <n v="1"/>
    <n v="0"/>
    <n v="0"/>
  </r>
  <r>
    <x v="6"/>
    <n v="0"/>
    <n v="1"/>
    <n v="0"/>
  </r>
  <r>
    <x v="20"/>
    <n v="0"/>
    <n v="1"/>
    <n v="0"/>
  </r>
  <r>
    <x v="1"/>
    <n v="0"/>
    <n v="0"/>
    <n v="1"/>
  </r>
  <r>
    <x v="25"/>
    <n v="0"/>
    <n v="1"/>
    <n v="0"/>
  </r>
  <r>
    <x v="14"/>
    <n v="0"/>
    <n v="1"/>
    <n v="0"/>
  </r>
  <r>
    <x v="7"/>
    <n v="0"/>
    <n v="0"/>
    <n v="1"/>
  </r>
  <r>
    <x v="22"/>
    <n v="1"/>
    <n v="0"/>
    <n v="0"/>
  </r>
  <r>
    <x v="5"/>
    <n v="0"/>
    <n v="1"/>
    <n v="0"/>
  </r>
  <r>
    <x v="18"/>
    <n v="0"/>
    <n v="0"/>
    <n v="1"/>
  </r>
  <r>
    <x v="22"/>
    <n v="1"/>
    <n v="0"/>
    <n v="0"/>
  </r>
  <r>
    <x v="11"/>
    <n v="1"/>
    <n v="0"/>
    <n v="0"/>
  </r>
  <r>
    <x v="26"/>
    <n v="0"/>
    <n v="1"/>
    <n v="0"/>
  </r>
  <r>
    <x v="21"/>
    <n v="0"/>
    <n v="1"/>
    <n v="0"/>
  </r>
  <r>
    <x v="10"/>
    <n v="0"/>
    <n v="1"/>
    <n v="0"/>
  </r>
  <r>
    <x v="27"/>
    <n v="0"/>
    <n v="1"/>
    <n v="0"/>
  </r>
  <r>
    <x v="28"/>
    <n v="0"/>
    <n v="1"/>
    <n v="0"/>
  </r>
  <r>
    <x v="24"/>
    <n v="1"/>
    <n v="0"/>
    <n v="0"/>
  </r>
  <r>
    <x v="29"/>
    <n v="1"/>
    <n v="0"/>
    <n v="0"/>
  </r>
  <r>
    <x v="30"/>
    <n v="1"/>
    <n v="0"/>
    <n v="0"/>
  </r>
  <r>
    <x v="4"/>
    <n v="0"/>
    <n v="1"/>
    <n v="0"/>
  </r>
  <r>
    <x v="31"/>
    <n v="0"/>
    <n v="0"/>
    <n v="1"/>
  </r>
  <r>
    <x v="1"/>
    <n v="0"/>
    <n v="0"/>
    <n v="1"/>
  </r>
  <r>
    <x v="3"/>
    <n v="1"/>
    <n v="0"/>
    <n v="0"/>
  </r>
  <r>
    <x v="13"/>
    <n v="0"/>
    <n v="1"/>
    <n v="0"/>
  </r>
  <r>
    <x v="32"/>
    <n v="1"/>
    <n v="0"/>
    <n v="0"/>
  </r>
  <r>
    <x v="0"/>
    <n v="1"/>
    <n v="0"/>
    <n v="0"/>
  </r>
  <r>
    <x v="33"/>
    <n v="0"/>
    <n v="0"/>
    <n v="1"/>
  </r>
  <r>
    <x v="25"/>
    <n v="0"/>
    <n v="1"/>
    <n v="0"/>
  </r>
  <r>
    <x v="5"/>
    <n v="1"/>
    <n v="0"/>
    <n v="0"/>
  </r>
  <r>
    <x v="2"/>
    <n v="0"/>
    <n v="1"/>
    <n v="0"/>
  </r>
  <r>
    <x v="8"/>
    <n v="1"/>
    <n v="0"/>
    <n v="0"/>
  </r>
  <r>
    <x v="28"/>
    <n v="0"/>
    <n v="1"/>
    <n v="0"/>
  </r>
  <r>
    <x v="0"/>
    <n v="0"/>
    <n v="1"/>
    <n v="0"/>
  </r>
  <r>
    <x v="11"/>
    <n v="1"/>
    <n v="0"/>
    <n v="0"/>
  </r>
  <r>
    <x v="9"/>
    <n v="1"/>
    <n v="0"/>
    <n v="0"/>
  </r>
  <r>
    <x v="4"/>
    <n v="0"/>
    <n v="1"/>
    <n v="0"/>
  </r>
  <r>
    <x v="1"/>
    <n v="1"/>
    <n v="0"/>
    <n v="0"/>
  </r>
  <r>
    <x v="12"/>
    <n v="0"/>
    <n v="1"/>
    <n v="0"/>
  </r>
  <r>
    <x v="13"/>
    <n v="0"/>
    <n v="1"/>
    <n v="0"/>
  </r>
  <r>
    <x v="7"/>
    <n v="0"/>
    <n v="0"/>
    <n v="1"/>
  </r>
  <r>
    <x v="5"/>
    <n v="1"/>
    <n v="0"/>
    <n v="0"/>
  </r>
  <r>
    <x v="2"/>
    <n v="0"/>
    <n v="1"/>
    <n v="0"/>
  </r>
  <r>
    <x v="10"/>
    <n v="0"/>
    <n v="1"/>
    <n v="0"/>
  </r>
  <r>
    <x v="6"/>
    <n v="1"/>
    <n v="0"/>
    <n v="0"/>
  </r>
  <r>
    <x v="3"/>
    <n v="1"/>
    <n v="0"/>
    <n v="0"/>
  </r>
  <r>
    <x v="31"/>
    <n v="0"/>
    <n v="0"/>
    <n v="1"/>
  </r>
  <r>
    <x v="8"/>
    <n v="1"/>
    <n v="0"/>
    <n v="0"/>
  </r>
  <r>
    <x v="27"/>
    <n v="0"/>
    <n v="1"/>
    <n v="0"/>
  </r>
  <r>
    <x v="32"/>
    <n v="0"/>
    <n v="0"/>
    <n v="1"/>
  </r>
  <r>
    <x v="11"/>
    <n v="1"/>
    <n v="0"/>
    <n v="0"/>
  </r>
  <r>
    <x v="0"/>
    <n v="0"/>
    <n v="1"/>
    <n v="0"/>
  </r>
  <r>
    <x v="17"/>
    <n v="0"/>
    <n v="0"/>
    <n v="1"/>
  </r>
  <r>
    <x v="18"/>
    <n v="1"/>
    <n v="0"/>
    <n v="0"/>
  </r>
  <r>
    <x v="13"/>
    <n v="0"/>
    <n v="1"/>
    <n v="0"/>
  </r>
  <r>
    <x v="22"/>
    <n v="1"/>
    <n v="0"/>
    <n v="0"/>
  </r>
  <r>
    <x v="16"/>
    <n v="1"/>
    <n v="0"/>
    <n v="0"/>
  </r>
  <r>
    <x v="33"/>
    <n v="0"/>
    <n v="0"/>
    <n v="1"/>
  </r>
  <r>
    <x v="6"/>
    <n v="1"/>
    <n v="0"/>
    <n v="0"/>
  </r>
  <r>
    <x v="1"/>
    <n v="0"/>
    <n v="0"/>
    <n v="1"/>
  </r>
  <r>
    <x v="21"/>
    <n v="0"/>
    <n v="1"/>
    <n v="0"/>
  </r>
  <r>
    <x v="12"/>
    <n v="0"/>
    <n v="1"/>
    <n v="0"/>
  </r>
  <r>
    <x v="30"/>
    <n v="1"/>
    <n v="0"/>
    <n v="0"/>
  </r>
  <r>
    <x v="34"/>
    <n v="0"/>
    <n v="1"/>
    <n v="0"/>
  </r>
  <r>
    <x v="20"/>
    <n v="0"/>
    <n v="0"/>
    <n v="1"/>
  </r>
  <r>
    <x v="9"/>
    <n v="0"/>
    <n v="1"/>
    <n v="0"/>
  </r>
  <r>
    <x v="35"/>
    <n v="0"/>
    <n v="1"/>
    <n v="0"/>
  </r>
  <r>
    <x v="24"/>
    <n v="1"/>
    <n v="0"/>
    <n v="0"/>
  </r>
  <r>
    <x v="14"/>
    <n v="0"/>
    <n v="1"/>
    <n v="0"/>
  </r>
  <r>
    <x v="15"/>
    <n v="0"/>
    <n v="1"/>
    <n v="0"/>
  </r>
  <r>
    <x v="5"/>
    <n v="1"/>
    <n v="0"/>
    <n v="0"/>
  </r>
  <r>
    <x v="29"/>
    <n v="1"/>
    <n v="0"/>
    <n v="0"/>
  </r>
  <r>
    <x v="23"/>
    <n v="0"/>
    <n v="1"/>
    <n v="0"/>
  </r>
  <r>
    <x v="10"/>
    <n v="0"/>
    <n v="1"/>
    <n v="0"/>
  </r>
  <r>
    <x v="25"/>
    <n v="0"/>
    <n v="1"/>
    <n v="0"/>
  </r>
  <r>
    <x v="10"/>
    <n v="1"/>
    <n v="0"/>
    <n v="0"/>
  </r>
  <r>
    <x v="34"/>
    <n v="0"/>
    <n v="1"/>
    <n v="0"/>
  </r>
  <r>
    <x v="28"/>
    <n v="0"/>
    <n v="1"/>
    <n v="0"/>
  </r>
  <r>
    <x v="35"/>
    <n v="0"/>
    <n v="1"/>
    <n v="0"/>
  </r>
  <r>
    <x v="23"/>
    <n v="0"/>
    <n v="1"/>
    <n v="0"/>
  </r>
  <r>
    <x v="17"/>
    <n v="1"/>
    <n v="0"/>
    <n v="0"/>
  </r>
  <r>
    <x v="2"/>
    <n v="0"/>
    <n v="1"/>
    <n v="0"/>
  </r>
  <r>
    <x v="21"/>
    <n v="0"/>
    <n v="1"/>
    <n v="0"/>
  </r>
  <r>
    <x v="22"/>
    <n v="1"/>
    <n v="0"/>
    <n v="0"/>
  </r>
  <r>
    <x v="26"/>
    <n v="0"/>
    <n v="1"/>
    <n v="0"/>
  </r>
  <r>
    <x v="13"/>
    <n v="1"/>
    <n v="0"/>
    <n v="0"/>
  </r>
  <r>
    <x v="29"/>
    <n v="0"/>
    <n v="0"/>
    <n v="1"/>
  </r>
  <r>
    <x v="20"/>
    <n v="0"/>
    <n v="1"/>
    <n v="0"/>
  </r>
  <r>
    <x v="6"/>
    <n v="0"/>
    <n v="1"/>
    <n v="0"/>
  </r>
  <r>
    <x v="31"/>
    <n v="1"/>
    <n v="0"/>
    <n v="0"/>
  </r>
  <r>
    <x v="27"/>
    <n v="0"/>
    <n v="0"/>
    <n v="1"/>
  </r>
  <r>
    <x v="19"/>
    <n v="0"/>
    <n v="1"/>
    <n v="0"/>
  </r>
  <r>
    <x v="9"/>
    <n v="0"/>
    <n v="1"/>
    <n v="0"/>
  </r>
  <r>
    <x v="15"/>
    <n v="0"/>
    <n v="1"/>
    <n v="0"/>
  </r>
  <r>
    <x v="4"/>
    <n v="0"/>
    <n v="1"/>
    <n v="0"/>
  </r>
  <r>
    <x v="12"/>
    <n v="0"/>
    <n v="1"/>
    <n v="0"/>
  </r>
  <r>
    <x v="18"/>
    <n v="0"/>
    <n v="1"/>
    <n v="0"/>
  </r>
  <r>
    <x v="32"/>
    <n v="0"/>
    <n v="1"/>
    <n v="0"/>
  </r>
  <r>
    <x v="14"/>
    <n v="1"/>
    <n v="0"/>
    <n v="0"/>
  </r>
  <r>
    <x v="33"/>
    <n v="1"/>
    <n v="0"/>
    <n v="0"/>
  </r>
  <r>
    <x v="0"/>
    <n v="1"/>
    <n v="0"/>
    <n v="0"/>
  </r>
  <r>
    <x v="7"/>
    <n v="1"/>
    <n v="0"/>
    <n v="0"/>
  </r>
  <r>
    <x v="7"/>
    <n v="0"/>
    <n v="1"/>
    <n v="0"/>
  </r>
  <r>
    <x v="15"/>
    <n v="1"/>
    <n v="0"/>
    <n v="0"/>
  </r>
  <r>
    <x v="13"/>
    <n v="0"/>
    <n v="1"/>
    <n v="0"/>
  </r>
  <r>
    <x v="9"/>
    <n v="0"/>
    <n v="1"/>
    <n v="0"/>
  </r>
  <r>
    <x v="20"/>
    <n v="0"/>
    <n v="1"/>
    <n v="0"/>
  </r>
  <r>
    <x v="0"/>
    <n v="1"/>
    <n v="0"/>
    <n v="0"/>
  </r>
  <r>
    <x v="28"/>
    <n v="0"/>
    <n v="1"/>
    <n v="0"/>
  </r>
  <r>
    <x v="23"/>
    <n v="0"/>
    <n v="0"/>
    <n v="1"/>
  </r>
  <r>
    <x v="18"/>
    <n v="0"/>
    <n v="0"/>
    <n v="1"/>
  </r>
  <r>
    <x v="17"/>
    <n v="0"/>
    <n v="0"/>
    <n v="1"/>
  </r>
  <r>
    <x v="31"/>
    <n v="0"/>
    <n v="0"/>
    <n v="1"/>
  </r>
  <r>
    <x v="6"/>
    <n v="0"/>
    <n v="0"/>
    <n v="1"/>
  </r>
  <r>
    <x v="25"/>
    <n v="0"/>
    <n v="1"/>
    <n v="0"/>
  </r>
  <r>
    <x v="4"/>
    <n v="0"/>
    <n v="1"/>
    <n v="0"/>
  </r>
  <r>
    <x v="12"/>
    <n v="0"/>
    <n v="1"/>
    <n v="0"/>
  </r>
  <r>
    <x v="22"/>
    <n v="1"/>
    <n v="0"/>
    <n v="0"/>
  </r>
  <r>
    <x v="19"/>
    <n v="1"/>
    <n v="0"/>
    <n v="0"/>
  </r>
  <r>
    <x v="2"/>
    <n v="0"/>
    <n v="1"/>
    <n v="0"/>
  </r>
  <r>
    <x v="21"/>
    <n v="0"/>
    <n v="1"/>
    <n v="0"/>
  </r>
  <r>
    <x v="7"/>
    <n v="1"/>
    <n v="0"/>
    <n v="0"/>
  </r>
  <r>
    <x v="14"/>
    <n v="0"/>
    <n v="1"/>
    <n v="0"/>
  </r>
  <r>
    <x v="10"/>
    <n v="0"/>
    <n v="0"/>
    <n v="1"/>
  </r>
  <r>
    <x v="7"/>
    <n v="1"/>
    <n v="0"/>
    <n v="0"/>
  </r>
  <r>
    <x v="22"/>
    <n v="1"/>
    <n v="0"/>
    <n v="0"/>
  </r>
  <r>
    <x v="8"/>
    <n v="1"/>
    <n v="0"/>
    <n v="0"/>
  </r>
  <r>
    <x v="18"/>
    <n v="1"/>
    <n v="0"/>
    <n v="0"/>
  </r>
  <r>
    <x v="6"/>
    <n v="0"/>
    <n v="1"/>
    <n v="0"/>
  </r>
  <r>
    <x v="24"/>
    <n v="1"/>
    <n v="0"/>
    <n v="0"/>
  </r>
  <r>
    <x v="0"/>
    <n v="0"/>
    <n v="0"/>
    <n v="1"/>
  </r>
  <r>
    <x v="20"/>
    <n v="0"/>
    <n v="1"/>
    <n v="0"/>
  </r>
  <r>
    <x v="23"/>
    <n v="0"/>
    <n v="1"/>
    <n v="0"/>
  </r>
  <r>
    <x v="16"/>
    <n v="0"/>
    <n v="0"/>
    <n v="1"/>
  </r>
  <r>
    <x v="9"/>
    <n v="1"/>
    <n v="0"/>
    <n v="0"/>
  </r>
  <r>
    <x v="21"/>
    <n v="0"/>
    <n v="1"/>
    <n v="0"/>
  </r>
  <r>
    <x v="17"/>
    <n v="0"/>
    <n v="0"/>
    <n v="1"/>
  </r>
  <r>
    <x v="5"/>
    <n v="1"/>
    <n v="0"/>
    <n v="0"/>
  </r>
  <r>
    <x v="1"/>
    <n v="1"/>
    <n v="0"/>
    <n v="0"/>
  </r>
  <r>
    <x v="14"/>
    <n v="1"/>
    <n v="0"/>
    <n v="0"/>
  </r>
  <r>
    <x v="6"/>
    <n v="0"/>
    <n v="1"/>
    <n v="0"/>
  </r>
  <r>
    <x v="16"/>
    <n v="1"/>
    <n v="0"/>
    <n v="0"/>
  </r>
  <r>
    <x v="2"/>
    <n v="1"/>
    <n v="0"/>
    <n v="0"/>
  </r>
  <r>
    <x v="14"/>
    <n v="0"/>
    <n v="1"/>
    <n v="0"/>
  </r>
  <r>
    <x v="7"/>
    <n v="0"/>
    <n v="0"/>
    <n v="1"/>
  </r>
  <r>
    <x v="1"/>
    <n v="1"/>
    <n v="0"/>
    <n v="0"/>
  </r>
  <r>
    <x v="19"/>
    <n v="0"/>
    <n v="1"/>
    <n v="0"/>
  </r>
  <r>
    <x v="8"/>
    <n v="1"/>
    <n v="0"/>
    <n v="0"/>
  </r>
  <r>
    <x v="3"/>
    <n v="0"/>
    <n v="1"/>
    <n v="0"/>
  </r>
  <r>
    <x v="17"/>
    <n v="0"/>
    <n v="0"/>
    <n v="1"/>
  </r>
  <r>
    <x v="0"/>
    <n v="0"/>
    <n v="1"/>
    <n v="0"/>
  </r>
  <r>
    <x v="18"/>
    <n v="1"/>
    <n v="0"/>
    <n v="0"/>
  </r>
  <r>
    <x v="4"/>
    <n v="0"/>
    <n v="0"/>
    <n v="1"/>
  </r>
  <r>
    <x v="9"/>
    <n v="1"/>
    <n v="0"/>
    <n v="0"/>
  </r>
  <r>
    <x v="5"/>
    <n v="0"/>
    <n v="1"/>
    <n v="0"/>
  </r>
  <r>
    <x v="21"/>
    <n v="0"/>
    <n v="1"/>
    <n v="0"/>
  </r>
  <r>
    <x v="20"/>
    <n v="0"/>
    <n v="1"/>
    <n v="0"/>
  </r>
  <r>
    <x v="2"/>
    <n v="0"/>
    <n v="1"/>
    <n v="0"/>
  </r>
  <r>
    <x v="30"/>
    <n v="1"/>
    <n v="0"/>
    <n v="0"/>
  </r>
  <r>
    <x v="18"/>
    <n v="0"/>
    <n v="1"/>
    <n v="0"/>
  </r>
  <r>
    <x v="24"/>
    <n v="1"/>
    <n v="0"/>
    <n v="0"/>
  </r>
  <r>
    <x v="27"/>
    <n v="1"/>
    <n v="0"/>
    <n v="0"/>
  </r>
  <r>
    <x v="5"/>
    <n v="1"/>
    <n v="0"/>
    <n v="0"/>
  </r>
  <r>
    <x v="25"/>
    <n v="0"/>
    <n v="1"/>
    <n v="0"/>
  </r>
  <r>
    <x v="29"/>
    <n v="1"/>
    <n v="0"/>
    <n v="0"/>
  </r>
  <r>
    <x v="14"/>
    <n v="0"/>
    <n v="1"/>
    <n v="0"/>
  </r>
  <r>
    <x v="26"/>
    <n v="0"/>
    <n v="1"/>
    <n v="0"/>
  </r>
  <r>
    <x v="22"/>
    <n v="0"/>
    <n v="0"/>
    <n v="1"/>
  </r>
  <r>
    <x v="35"/>
    <n v="0"/>
    <n v="1"/>
    <n v="0"/>
  </r>
  <r>
    <x v="1"/>
    <n v="1"/>
    <n v="0"/>
    <n v="0"/>
  </r>
  <r>
    <x v="4"/>
    <n v="1"/>
    <n v="0"/>
    <n v="0"/>
  </r>
  <r>
    <x v="19"/>
    <n v="0"/>
    <n v="1"/>
    <n v="0"/>
  </r>
  <r>
    <x v="0"/>
    <n v="0"/>
    <n v="1"/>
    <n v="0"/>
  </r>
  <r>
    <x v="32"/>
    <n v="1"/>
    <n v="0"/>
    <n v="0"/>
  </r>
  <r>
    <x v="3"/>
    <n v="1"/>
    <n v="0"/>
    <n v="0"/>
  </r>
  <r>
    <x v="16"/>
    <n v="0"/>
    <n v="1"/>
    <n v="0"/>
  </r>
  <r>
    <x v="1"/>
    <n v="1"/>
    <n v="0"/>
    <n v="0"/>
  </r>
  <r>
    <x v="13"/>
    <n v="0"/>
    <n v="1"/>
    <n v="0"/>
  </r>
  <r>
    <x v="19"/>
    <n v="0"/>
    <n v="0"/>
    <n v="1"/>
  </r>
  <r>
    <x v="9"/>
    <n v="0"/>
    <n v="1"/>
    <n v="0"/>
  </r>
  <r>
    <x v="11"/>
    <n v="1"/>
    <n v="0"/>
    <n v="0"/>
  </r>
  <r>
    <x v="14"/>
    <n v="1"/>
    <n v="0"/>
    <n v="0"/>
  </r>
  <r>
    <x v="12"/>
    <n v="0"/>
    <n v="1"/>
    <n v="0"/>
  </r>
  <r>
    <x v="2"/>
    <n v="0"/>
    <n v="1"/>
    <n v="0"/>
  </r>
  <r>
    <x v="16"/>
    <n v="1"/>
    <n v="0"/>
    <n v="0"/>
  </r>
  <r>
    <x v="6"/>
    <n v="0"/>
    <n v="1"/>
    <n v="0"/>
  </r>
  <r>
    <x v="18"/>
    <n v="0"/>
    <n v="0"/>
    <n v="1"/>
  </r>
  <r>
    <x v="28"/>
    <n v="0"/>
    <n v="1"/>
    <n v="0"/>
  </r>
  <r>
    <x v="8"/>
    <n v="1"/>
    <n v="0"/>
    <n v="0"/>
  </r>
  <r>
    <x v="4"/>
    <n v="0"/>
    <n v="1"/>
    <n v="0"/>
  </r>
  <r>
    <x v="10"/>
    <n v="0"/>
    <n v="1"/>
    <n v="0"/>
  </r>
  <r>
    <x v="15"/>
    <n v="0"/>
    <n v="0"/>
    <n v="1"/>
  </r>
  <r>
    <x v="7"/>
    <n v="0"/>
    <n v="1"/>
    <n v="0"/>
  </r>
  <r>
    <x v="5"/>
    <n v="1"/>
    <n v="0"/>
    <n v="0"/>
  </r>
  <r>
    <x v="0"/>
    <n v="1"/>
    <n v="0"/>
    <n v="0"/>
  </r>
  <r>
    <x v="17"/>
    <n v="1"/>
    <n v="0"/>
    <n v="0"/>
  </r>
  <r>
    <x v="3"/>
    <n v="0"/>
    <n v="0"/>
    <n v="1"/>
  </r>
  <r>
    <x v="7"/>
    <n v="0"/>
    <n v="1"/>
    <n v="0"/>
  </r>
  <r>
    <x v="21"/>
    <n v="0"/>
    <n v="1"/>
    <n v="0"/>
  </r>
  <r>
    <x v="8"/>
    <n v="1"/>
    <n v="0"/>
    <n v="0"/>
  </r>
  <r>
    <x v="24"/>
    <n v="0"/>
    <n v="0"/>
    <n v="1"/>
  </r>
  <r>
    <x v="4"/>
    <n v="1"/>
    <n v="0"/>
    <n v="0"/>
  </r>
  <r>
    <x v="5"/>
    <n v="0"/>
    <n v="1"/>
    <n v="0"/>
  </r>
  <r>
    <x v="25"/>
    <n v="0"/>
    <n v="1"/>
    <n v="0"/>
  </r>
  <r>
    <x v="6"/>
    <n v="0"/>
    <n v="0"/>
    <n v="1"/>
  </r>
  <r>
    <x v="3"/>
    <n v="1"/>
    <n v="0"/>
    <n v="0"/>
  </r>
  <r>
    <x v="23"/>
    <n v="1"/>
    <n v="0"/>
    <n v="0"/>
  </r>
  <r>
    <x v="19"/>
    <n v="0"/>
    <n v="1"/>
    <n v="0"/>
  </r>
  <r>
    <x v="30"/>
    <n v="1"/>
    <n v="0"/>
    <n v="0"/>
  </r>
  <r>
    <x v="31"/>
    <n v="0"/>
    <n v="0"/>
    <n v="1"/>
  </r>
  <r>
    <x v="16"/>
    <n v="0"/>
    <n v="1"/>
    <n v="0"/>
  </r>
  <r>
    <x v="23"/>
    <n v="0"/>
    <n v="1"/>
    <n v="0"/>
  </r>
  <r>
    <x v="26"/>
    <n v="0"/>
    <n v="1"/>
    <n v="0"/>
  </r>
  <r>
    <x v="7"/>
    <n v="1"/>
    <n v="0"/>
    <n v="0"/>
  </r>
  <r>
    <x v="33"/>
    <n v="1"/>
    <n v="0"/>
    <n v="0"/>
  </r>
  <r>
    <x v="20"/>
    <n v="0"/>
    <n v="1"/>
    <n v="0"/>
  </r>
  <r>
    <x v="24"/>
    <n v="1"/>
    <n v="0"/>
    <n v="0"/>
  </r>
  <r>
    <x v="34"/>
    <n v="0"/>
    <n v="1"/>
    <n v="0"/>
  </r>
  <r>
    <x v="15"/>
    <n v="1"/>
    <n v="0"/>
    <n v="0"/>
  </r>
  <r>
    <x v="3"/>
    <n v="1"/>
    <n v="0"/>
    <n v="0"/>
  </r>
  <r>
    <x v="35"/>
    <n v="0"/>
    <n v="0"/>
    <n v="1"/>
  </r>
  <r>
    <x v="12"/>
    <n v="1"/>
    <n v="0"/>
    <n v="0"/>
  </r>
  <r>
    <x v="25"/>
    <n v="0"/>
    <n v="0"/>
    <n v="1"/>
  </r>
  <r>
    <x v="17"/>
    <n v="1"/>
    <n v="0"/>
    <n v="0"/>
  </r>
  <r>
    <x v="11"/>
    <n v="0"/>
    <n v="1"/>
    <n v="0"/>
  </r>
  <r>
    <x v="28"/>
    <n v="1"/>
    <n v="0"/>
    <n v="0"/>
  </r>
  <r>
    <x v="32"/>
    <n v="0"/>
    <n v="1"/>
    <n v="0"/>
  </r>
  <r>
    <x v="8"/>
    <n v="0"/>
    <n v="0"/>
    <n v="1"/>
  </r>
  <r>
    <x v="29"/>
    <n v="1"/>
    <n v="0"/>
    <n v="0"/>
  </r>
  <r>
    <x v="29"/>
    <n v="0"/>
    <n v="0"/>
    <n v="1"/>
  </r>
  <r>
    <x v="23"/>
    <n v="0"/>
    <n v="0"/>
    <n v="1"/>
  </r>
  <r>
    <x v="23"/>
    <n v="0"/>
    <n v="1"/>
    <n v="0"/>
  </r>
  <r>
    <x v="13"/>
    <n v="0"/>
    <n v="1"/>
    <n v="0"/>
  </r>
  <r>
    <x v="8"/>
    <n v="1"/>
    <n v="0"/>
    <n v="0"/>
  </r>
  <r>
    <x v="36"/>
    <n v="1"/>
    <n v="0"/>
    <n v="0"/>
  </r>
  <r>
    <x v="37"/>
    <n v="1"/>
    <n v="0"/>
    <n v="0"/>
  </r>
  <r>
    <x v="9"/>
    <n v="1"/>
    <n v="0"/>
    <n v="0"/>
  </r>
  <r>
    <x v="11"/>
    <n v="1"/>
    <n v="0"/>
    <n v="0"/>
  </r>
  <r>
    <x v="38"/>
    <n v="1"/>
    <n v="0"/>
    <n v="0"/>
  </r>
  <r>
    <x v="12"/>
    <n v="0"/>
    <n v="1"/>
    <n v="0"/>
  </r>
  <r>
    <x v="0"/>
    <n v="0"/>
    <n v="0"/>
    <n v="1"/>
  </r>
  <r>
    <x v="39"/>
    <n v="0"/>
    <n v="1"/>
    <n v="0"/>
  </r>
  <r>
    <x v="1"/>
    <n v="1"/>
    <n v="0"/>
    <n v="0"/>
  </r>
  <r>
    <x v="6"/>
    <n v="0"/>
    <n v="1"/>
    <n v="0"/>
  </r>
  <r>
    <x v="40"/>
    <n v="1"/>
    <n v="0"/>
    <n v="0"/>
  </r>
  <r>
    <x v="10"/>
    <n v="0"/>
    <n v="0"/>
    <n v="1"/>
  </r>
  <r>
    <x v="5"/>
    <n v="0"/>
    <n v="1"/>
    <n v="0"/>
  </r>
  <r>
    <x v="18"/>
    <n v="0"/>
    <n v="0"/>
    <n v="1"/>
  </r>
  <r>
    <x v="10"/>
    <n v="1"/>
    <n v="0"/>
    <n v="0"/>
  </r>
  <r>
    <x v="34"/>
    <n v="1"/>
    <n v="0"/>
    <n v="0"/>
  </r>
  <r>
    <x v="23"/>
    <n v="0"/>
    <n v="0"/>
    <n v="1"/>
  </r>
  <r>
    <x v="15"/>
    <n v="0"/>
    <n v="1"/>
    <n v="0"/>
  </r>
  <r>
    <x v="32"/>
    <n v="1"/>
    <n v="0"/>
    <n v="0"/>
  </r>
  <r>
    <x v="34"/>
    <n v="1"/>
    <n v="0"/>
    <n v="0"/>
  </r>
  <r>
    <x v="41"/>
    <n v="0"/>
    <n v="1"/>
    <n v="0"/>
  </r>
  <r>
    <x v="38"/>
    <n v="1"/>
    <n v="0"/>
    <n v="0"/>
  </r>
  <r>
    <x v="3"/>
    <n v="0"/>
    <n v="1"/>
    <n v="0"/>
  </r>
  <r>
    <x v="15"/>
    <n v="0"/>
    <n v="1"/>
    <n v="0"/>
  </r>
  <r>
    <x v="32"/>
    <n v="1"/>
    <n v="0"/>
    <n v="0"/>
  </r>
  <r>
    <x v="38"/>
    <n v="1"/>
    <n v="0"/>
    <n v="0"/>
  </r>
  <r>
    <x v="23"/>
    <n v="0"/>
    <n v="1"/>
    <n v="0"/>
  </r>
  <r>
    <x v="10"/>
    <n v="0"/>
    <n v="1"/>
    <n v="0"/>
  </r>
  <r>
    <x v="41"/>
    <n v="0"/>
    <n v="1"/>
    <n v="0"/>
  </r>
  <r>
    <x v="3"/>
    <n v="0"/>
    <n v="1"/>
    <n v="0"/>
  </r>
  <r>
    <x v="18"/>
    <n v="0"/>
    <n v="1"/>
    <n v="0"/>
  </r>
  <r>
    <x v="27"/>
    <n v="1"/>
    <n v="0"/>
    <n v="0"/>
  </r>
  <r>
    <x v="19"/>
    <n v="1"/>
    <n v="0"/>
    <n v="0"/>
  </r>
  <r>
    <x v="27"/>
    <n v="0"/>
    <n v="1"/>
    <n v="0"/>
  </r>
  <r>
    <x v="19"/>
    <n v="0"/>
    <n v="1"/>
    <n v="0"/>
  </r>
  <r>
    <x v="35"/>
    <n v="1"/>
    <n v="0"/>
    <n v="0"/>
  </r>
  <r>
    <x v="35"/>
    <n v="0"/>
    <n v="1"/>
    <n v="0"/>
  </r>
  <r>
    <x v="35"/>
    <n v="0"/>
    <n v="1"/>
    <n v="0"/>
  </r>
  <r>
    <x v="11"/>
    <n v="0"/>
    <n v="1"/>
    <n v="0"/>
  </r>
  <r>
    <x v="28"/>
    <n v="1"/>
    <n v="0"/>
    <n v="0"/>
  </r>
  <r>
    <x v="42"/>
    <n v="0"/>
    <n v="0"/>
    <n v="1"/>
  </r>
  <r>
    <x v="3"/>
    <n v="0"/>
    <n v="1"/>
    <n v="0"/>
  </r>
  <r>
    <x v="11"/>
    <n v="1"/>
    <n v="0"/>
    <n v="0"/>
  </r>
  <r>
    <x v="36"/>
    <n v="0"/>
    <n v="0"/>
    <n v="1"/>
  </r>
  <r>
    <x v="29"/>
    <n v="0"/>
    <n v="1"/>
    <n v="0"/>
  </r>
  <r>
    <x v="28"/>
    <n v="0"/>
    <n v="1"/>
    <n v="0"/>
  </r>
  <r>
    <x v="42"/>
    <n v="1"/>
    <n v="0"/>
    <n v="0"/>
  </r>
  <r>
    <x v="3"/>
    <n v="0"/>
    <n v="0"/>
    <n v="1"/>
  </r>
  <r>
    <x v="36"/>
    <n v="1"/>
    <n v="0"/>
    <n v="0"/>
  </r>
  <r>
    <x v="23"/>
    <n v="0"/>
    <n v="1"/>
    <n v="0"/>
  </r>
  <r>
    <x v="29"/>
    <n v="1"/>
    <n v="0"/>
    <n v="0"/>
  </r>
  <r>
    <x v="21"/>
    <n v="1"/>
    <n v="0"/>
    <n v="0"/>
  </r>
  <r>
    <x v="23"/>
    <n v="0"/>
    <n v="1"/>
    <n v="0"/>
  </r>
  <r>
    <x v="21"/>
    <n v="0"/>
    <n v="1"/>
    <n v="0"/>
  </r>
  <r>
    <x v="6"/>
    <n v="0"/>
    <n v="0"/>
    <n v="1"/>
  </r>
  <r>
    <x v="6"/>
    <n v="0"/>
    <n v="0"/>
    <n v="1"/>
  </r>
  <r>
    <x v="18"/>
    <n v="1"/>
    <n v="0"/>
    <n v="0"/>
  </r>
  <r>
    <x v="7"/>
    <n v="1"/>
    <n v="0"/>
    <n v="0"/>
  </r>
  <r>
    <x v="18"/>
    <n v="0"/>
    <n v="0"/>
    <n v="1"/>
  </r>
  <r>
    <x v="7"/>
    <n v="0"/>
    <n v="0"/>
    <n v="1"/>
  </r>
  <r>
    <x v="9"/>
    <n v="0"/>
    <n v="1"/>
    <n v="0"/>
  </r>
  <r>
    <x v="9"/>
    <n v="1"/>
    <n v="0"/>
    <n v="0"/>
  </r>
  <r>
    <x v="9"/>
    <n v="0"/>
    <n v="0"/>
    <n v="1"/>
  </r>
  <r>
    <x v="24"/>
    <n v="0"/>
    <n v="0"/>
    <n v="1"/>
  </r>
  <r>
    <x v="33"/>
    <n v="0"/>
    <n v="1"/>
    <n v="0"/>
  </r>
  <r>
    <x v="25"/>
    <n v="0"/>
    <n v="1"/>
    <n v="0"/>
  </r>
  <r>
    <x v="35"/>
    <n v="0"/>
    <n v="1"/>
    <n v="0"/>
  </r>
  <r>
    <x v="15"/>
    <n v="0"/>
    <n v="0"/>
    <n v="1"/>
  </r>
  <r>
    <x v="3"/>
    <n v="1"/>
    <n v="0"/>
    <n v="0"/>
  </r>
  <r>
    <x v="35"/>
    <n v="0"/>
    <n v="0"/>
    <n v="1"/>
  </r>
  <r>
    <x v="33"/>
    <n v="0"/>
    <n v="0"/>
    <n v="1"/>
  </r>
  <r>
    <x v="25"/>
    <n v="0"/>
    <n v="1"/>
    <n v="0"/>
  </r>
  <r>
    <x v="0"/>
    <n v="0"/>
    <n v="1"/>
    <n v="0"/>
  </r>
  <r>
    <x v="15"/>
    <n v="0"/>
    <n v="1"/>
    <n v="0"/>
  </r>
  <r>
    <x v="37"/>
    <n v="1"/>
    <n v="0"/>
    <n v="0"/>
  </r>
  <r>
    <x v="24"/>
    <n v="0"/>
    <n v="0"/>
    <n v="1"/>
  </r>
  <r>
    <x v="36"/>
    <n v="1"/>
    <n v="0"/>
    <n v="0"/>
  </r>
  <r>
    <x v="0"/>
    <n v="1"/>
    <n v="0"/>
    <n v="0"/>
  </r>
  <r>
    <x v="3"/>
    <n v="0"/>
    <n v="0"/>
    <n v="1"/>
  </r>
  <r>
    <x v="37"/>
    <n v="1"/>
    <n v="0"/>
    <n v="0"/>
  </r>
  <r>
    <x v="36"/>
    <n v="0"/>
    <n v="0"/>
    <n v="1"/>
  </r>
  <r>
    <x v="14"/>
    <n v="0"/>
    <n v="1"/>
    <n v="0"/>
  </r>
  <r>
    <x v="7"/>
    <n v="0"/>
    <n v="0"/>
    <n v="1"/>
  </r>
  <r>
    <x v="14"/>
    <n v="0"/>
    <n v="0"/>
    <n v="1"/>
  </r>
  <r>
    <x v="7"/>
    <n v="0"/>
    <n v="0"/>
    <n v="1"/>
  </r>
  <r>
    <x v="4"/>
    <n v="1"/>
    <n v="0"/>
    <n v="0"/>
  </r>
  <r>
    <x v="4"/>
    <n v="0"/>
    <n v="0"/>
    <n v="1"/>
  </r>
  <r>
    <x v="16"/>
    <n v="0"/>
    <n v="0"/>
    <n v="1"/>
  </r>
  <r>
    <x v="12"/>
    <n v="0"/>
    <n v="0"/>
    <n v="1"/>
  </r>
  <r>
    <x v="41"/>
    <n v="0"/>
    <n v="1"/>
    <n v="0"/>
  </r>
  <r>
    <x v="36"/>
    <n v="1"/>
    <n v="0"/>
    <n v="0"/>
  </r>
  <r>
    <x v="33"/>
    <n v="0"/>
    <n v="1"/>
    <n v="0"/>
  </r>
  <r>
    <x v="24"/>
    <n v="1"/>
    <n v="0"/>
    <n v="0"/>
  </r>
  <r>
    <x v="2"/>
    <n v="1"/>
    <n v="0"/>
    <n v="0"/>
  </r>
  <r>
    <x v="20"/>
    <n v="0"/>
    <n v="0"/>
    <n v="1"/>
  </r>
  <r>
    <x v="34"/>
    <n v="1"/>
    <n v="0"/>
    <n v="0"/>
  </r>
  <r>
    <x v="29"/>
    <n v="1"/>
    <n v="0"/>
    <n v="0"/>
  </r>
  <r>
    <x v="5"/>
    <n v="0"/>
    <n v="1"/>
    <n v="0"/>
  </r>
  <r>
    <x v="30"/>
    <n v="0"/>
    <n v="1"/>
    <n v="0"/>
  </r>
  <r>
    <x v="0"/>
    <n v="0"/>
    <n v="1"/>
    <n v="0"/>
  </r>
  <r>
    <x v="17"/>
    <n v="1"/>
    <n v="0"/>
    <n v="0"/>
  </r>
  <r>
    <x v="41"/>
    <n v="0"/>
    <n v="1"/>
    <n v="0"/>
  </r>
  <r>
    <x v="1"/>
    <n v="1"/>
    <n v="0"/>
    <n v="0"/>
  </r>
  <r>
    <x v="21"/>
    <n v="1"/>
    <n v="0"/>
    <n v="0"/>
  </r>
  <r>
    <x v="42"/>
    <n v="1"/>
    <n v="0"/>
    <n v="0"/>
  </r>
  <r>
    <x v="19"/>
    <n v="0"/>
    <n v="0"/>
    <n v="1"/>
  </r>
  <r>
    <x v="24"/>
    <n v="0"/>
    <n v="0"/>
    <n v="1"/>
  </r>
  <r>
    <x v="13"/>
    <n v="0"/>
    <n v="1"/>
    <n v="0"/>
  </r>
  <r>
    <x v="34"/>
    <n v="0"/>
    <n v="1"/>
    <n v="0"/>
  </r>
  <r>
    <x v="43"/>
    <n v="0"/>
    <n v="0"/>
    <n v="1"/>
  </r>
  <r>
    <x v="31"/>
    <n v="0"/>
    <n v="0"/>
    <n v="1"/>
  </r>
  <r>
    <x v="0"/>
    <n v="0"/>
    <n v="1"/>
    <n v="0"/>
  </r>
  <r>
    <x v="40"/>
    <n v="1"/>
    <n v="0"/>
    <n v="0"/>
  </r>
  <r>
    <x v="26"/>
    <n v="0"/>
    <n v="0"/>
    <n v="1"/>
  </r>
  <r>
    <x v="5"/>
    <n v="1"/>
    <n v="0"/>
    <n v="0"/>
  </r>
  <r>
    <x v="10"/>
    <n v="0"/>
    <n v="1"/>
    <n v="0"/>
  </r>
  <r>
    <x v="35"/>
    <n v="0"/>
    <n v="0"/>
    <n v="1"/>
  </r>
  <r>
    <x v="7"/>
    <n v="0"/>
    <n v="1"/>
    <n v="0"/>
  </r>
  <r>
    <x v="22"/>
    <n v="1"/>
    <n v="0"/>
    <n v="0"/>
  </r>
  <r>
    <x v="11"/>
    <n v="0"/>
    <n v="0"/>
    <n v="1"/>
  </r>
  <r>
    <x v="6"/>
    <n v="0"/>
    <n v="1"/>
    <n v="0"/>
  </r>
  <r>
    <x v="3"/>
    <n v="0"/>
    <n v="1"/>
    <n v="0"/>
  </r>
  <r>
    <x v="5"/>
    <n v="0"/>
    <n v="1"/>
    <n v="0"/>
  </r>
  <r>
    <x v="7"/>
    <n v="0"/>
    <n v="1"/>
    <n v="0"/>
  </r>
  <r>
    <x v="8"/>
    <n v="0"/>
    <n v="0"/>
    <n v="1"/>
  </r>
  <r>
    <x v="4"/>
    <n v="0"/>
    <n v="1"/>
    <n v="0"/>
  </r>
  <r>
    <x v="36"/>
    <n v="1"/>
    <n v="0"/>
    <n v="0"/>
  </r>
  <r>
    <x v="17"/>
    <n v="1"/>
    <n v="0"/>
    <n v="0"/>
  </r>
  <r>
    <x v="13"/>
    <n v="0"/>
    <n v="0"/>
    <n v="1"/>
  </r>
  <r>
    <x v="32"/>
    <n v="1"/>
    <n v="0"/>
    <n v="0"/>
  </r>
  <r>
    <x v="38"/>
    <n v="1"/>
    <n v="0"/>
    <n v="0"/>
  </r>
  <r>
    <x v="18"/>
    <n v="1"/>
    <n v="0"/>
    <n v="0"/>
  </r>
  <r>
    <x v="28"/>
    <n v="0"/>
    <n v="1"/>
    <n v="0"/>
  </r>
  <r>
    <x v="21"/>
    <n v="0"/>
    <n v="0"/>
    <n v="1"/>
  </r>
  <r>
    <x v="40"/>
    <n v="1"/>
    <n v="0"/>
    <n v="0"/>
  </r>
  <r>
    <x v="1"/>
    <n v="1"/>
    <n v="0"/>
    <n v="0"/>
  </r>
  <r>
    <x v="33"/>
    <n v="0"/>
    <n v="0"/>
    <n v="1"/>
  </r>
  <r>
    <x v="4"/>
    <n v="0"/>
    <n v="0"/>
    <n v="1"/>
  </r>
  <r>
    <x v="8"/>
    <n v="1"/>
    <n v="0"/>
    <n v="0"/>
  </r>
  <r>
    <x v="43"/>
    <n v="1"/>
    <n v="0"/>
    <n v="0"/>
  </r>
  <r>
    <x v="26"/>
    <n v="1"/>
    <n v="0"/>
    <n v="0"/>
  </r>
  <r>
    <x v="31"/>
    <n v="0"/>
    <n v="1"/>
    <n v="0"/>
  </r>
  <r>
    <x v="16"/>
    <n v="1"/>
    <n v="0"/>
    <n v="0"/>
  </r>
  <r>
    <x v="9"/>
    <n v="1"/>
    <n v="0"/>
    <n v="0"/>
  </r>
  <r>
    <x v="27"/>
    <n v="0"/>
    <n v="1"/>
    <n v="0"/>
  </r>
  <r>
    <x v="25"/>
    <n v="0"/>
    <n v="1"/>
    <n v="0"/>
  </r>
  <r>
    <x v="29"/>
    <n v="0"/>
    <n v="0"/>
    <n v="1"/>
  </r>
  <r>
    <x v="3"/>
    <n v="1"/>
    <n v="0"/>
    <n v="0"/>
  </r>
  <r>
    <x v="26"/>
    <n v="0"/>
    <n v="1"/>
    <n v="0"/>
  </r>
  <r>
    <x v="1"/>
    <n v="0"/>
    <n v="0"/>
    <n v="1"/>
  </r>
  <r>
    <x v="30"/>
    <n v="1"/>
    <n v="0"/>
    <n v="0"/>
  </r>
  <r>
    <x v="2"/>
    <n v="0"/>
    <n v="1"/>
    <n v="0"/>
  </r>
  <r>
    <x v="44"/>
    <n v="1"/>
    <n v="0"/>
    <n v="0"/>
  </r>
  <r>
    <x v="45"/>
    <n v="1"/>
    <n v="0"/>
    <n v="0"/>
  </r>
  <r>
    <x v="46"/>
    <n v="1"/>
    <n v="0"/>
    <n v="0"/>
  </r>
  <r>
    <x v="11"/>
    <n v="1"/>
    <n v="0"/>
    <n v="0"/>
  </r>
  <r>
    <x v="19"/>
    <n v="0"/>
    <n v="0"/>
    <n v="1"/>
  </r>
  <r>
    <x v="9"/>
    <n v="0"/>
    <n v="1"/>
    <n v="0"/>
  </r>
  <r>
    <x v="37"/>
    <n v="0"/>
    <n v="0"/>
    <n v="1"/>
  </r>
  <r>
    <x v="47"/>
    <n v="1"/>
    <n v="0"/>
    <n v="0"/>
  </r>
  <r>
    <x v="48"/>
    <n v="0"/>
    <n v="0"/>
    <n v="1"/>
  </r>
  <r>
    <x v="33"/>
    <n v="0"/>
    <n v="0"/>
    <n v="1"/>
  </r>
  <r>
    <x v="2"/>
    <n v="1"/>
    <n v="0"/>
    <n v="0"/>
  </r>
  <r>
    <x v="17"/>
    <n v="0"/>
    <n v="0"/>
    <n v="1"/>
  </r>
  <r>
    <x v="49"/>
    <n v="0"/>
    <n v="0"/>
    <n v="1"/>
  </r>
  <r>
    <x v="21"/>
    <n v="1"/>
    <n v="0"/>
    <n v="0"/>
  </r>
  <r>
    <x v="50"/>
    <n v="0"/>
    <n v="0"/>
    <n v="1"/>
  </r>
  <r>
    <x v="30"/>
    <n v="0"/>
    <n v="0"/>
    <n v="1"/>
  </r>
  <r>
    <x v="7"/>
    <n v="0"/>
    <n v="1"/>
    <n v="0"/>
  </r>
  <r>
    <x v="18"/>
    <n v="0"/>
    <n v="1"/>
    <n v="0"/>
  </r>
  <r>
    <x v="23"/>
    <n v="1"/>
    <n v="0"/>
    <n v="0"/>
  </r>
  <r>
    <x v="27"/>
    <n v="0"/>
    <n v="0"/>
    <n v="1"/>
  </r>
  <r>
    <x v="51"/>
    <n v="0"/>
    <n v="1"/>
    <n v="0"/>
  </r>
  <r>
    <x v="3"/>
    <n v="0"/>
    <n v="0"/>
    <n v="1"/>
  </r>
  <r>
    <x v="52"/>
    <n v="0"/>
    <n v="1"/>
    <n v="0"/>
  </r>
  <r>
    <x v="30"/>
    <n v="0"/>
    <n v="0"/>
    <n v="1"/>
  </r>
  <r>
    <x v="32"/>
    <n v="1"/>
    <n v="0"/>
    <n v="0"/>
  </r>
  <r>
    <x v="48"/>
    <n v="1"/>
    <n v="0"/>
    <n v="0"/>
  </r>
  <r>
    <x v="37"/>
    <n v="1"/>
    <n v="0"/>
    <n v="0"/>
  </r>
  <r>
    <x v="53"/>
    <n v="1"/>
    <n v="0"/>
    <n v="0"/>
  </r>
  <r>
    <x v="25"/>
    <n v="0"/>
    <n v="1"/>
    <n v="0"/>
  </r>
  <r>
    <x v="35"/>
    <n v="0"/>
    <n v="0"/>
    <n v="1"/>
  </r>
  <r>
    <x v="54"/>
    <n v="0"/>
    <n v="1"/>
    <n v="0"/>
  </r>
  <r>
    <x v="11"/>
    <n v="1"/>
    <n v="0"/>
    <n v="0"/>
  </r>
  <r>
    <x v="55"/>
    <n v="0"/>
    <n v="1"/>
    <n v="0"/>
  </r>
  <r>
    <x v="6"/>
    <n v="0"/>
    <n v="1"/>
    <n v="0"/>
  </r>
  <r>
    <x v="32"/>
    <n v="1"/>
    <n v="0"/>
    <n v="0"/>
  </r>
  <r>
    <x v="19"/>
    <n v="0"/>
    <n v="1"/>
    <n v="0"/>
  </r>
  <r>
    <x v="1"/>
    <n v="1"/>
    <n v="0"/>
    <n v="0"/>
  </r>
  <r>
    <x v="56"/>
    <n v="1"/>
    <n v="0"/>
    <n v="0"/>
  </r>
  <r>
    <x v="40"/>
    <n v="1"/>
    <n v="0"/>
    <n v="0"/>
  </r>
  <r>
    <x v="20"/>
    <n v="1"/>
    <n v="0"/>
    <n v="0"/>
  </r>
  <r>
    <x v="57"/>
    <n v="0"/>
    <n v="0"/>
    <n v="1"/>
  </r>
  <r>
    <x v="26"/>
    <n v="0"/>
    <n v="1"/>
    <n v="0"/>
  </r>
  <r>
    <x v="58"/>
    <n v="0"/>
    <n v="1"/>
    <n v="0"/>
  </r>
  <r>
    <x v="10"/>
    <n v="0"/>
    <n v="0"/>
    <n v="1"/>
  </r>
  <r>
    <x v="34"/>
    <n v="0"/>
    <n v="0"/>
    <n v="1"/>
  </r>
  <r>
    <x v="13"/>
    <n v="0"/>
    <n v="1"/>
    <n v="0"/>
  </r>
  <r>
    <x v="59"/>
    <n v="0"/>
    <n v="0"/>
    <n v="1"/>
  </r>
  <r>
    <x v="3"/>
    <n v="0"/>
    <n v="0"/>
    <n v="1"/>
  </r>
  <r>
    <x v="27"/>
    <n v="0"/>
    <n v="1"/>
    <n v="0"/>
  </r>
  <r>
    <x v="60"/>
    <n v="1"/>
    <n v="0"/>
    <n v="0"/>
  </r>
  <r>
    <x v="61"/>
    <n v="1"/>
    <n v="0"/>
    <n v="0"/>
  </r>
  <r>
    <x v="4"/>
    <n v="0"/>
    <n v="0"/>
    <n v="1"/>
  </r>
  <r>
    <x v="9"/>
    <n v="0"/>
    <n v="1"/>
    <n v="0"/>
  </r>
  <r>
    <x v="24"/>
    <n v="0"/>
    <n v="0"/>
    <n v="1"/>
  </r>
  <r>
    <x v="39"/>
    <n v="1"/>
    <n v="0"/>
    <n v="0"/>
  </r>
  <r>
    <x v="14"/>
    <n v="1"/>
    <n v="0"/>
    <n v="0"/>
  </r>
  <r>
    <x v="46"/>
    <n v="0"/>
    <n v="1"/>
    <n v="0"/>
  </r>
  <r>
    <x v="62"/>
    <n v="1"/>
    <n v="0"/>
    <n v="0"/>
  </r>
  <r>
    <x v="1"/>
    <n v="1"/>
    <n v="0"/>
    <n v="0"/>
  </r>
  <r>
    <x v="23"/>
    <n v="1"/>
    <n v="0"/>
    <n v="0"/>
  </r>
  <r>
    <x v="15"/>
    <n v="1"/>
    <n v="0"/>
    <n v="0"/>
  </r>
  <r>
    <x v="37"/>
    <n v="1"/>
    <n v="0"/>
    <n v="0"/>
  </r>
  <r>
    <x v="63"/>
    <n v="1"/>
    <n v="0"/>
    <n v="0"/>
  </r>
  <r>
    <x v="64"/>
    <n v="1"/>
    <n v="0"/>
    <n v="0"/>
  </r>
  <r>
    <x v="8"/>
    <n v="0"/>
    <n v="0"/>
    <n v="1"/>
  </r>
  <r>
    <x v="22"/>
    <n v="0"/>
    <n v="1"/>
    <n v="0"/>
  </r>
  <r>
    <x v="43"/>
    <n v="1"/>
    <n v="0"/>
    <n v="0"/>
  </r>
  <r>
    <x v="13"/>
    <n v="1"/>
    <n v="0"/>
    <n v="0"/>
  </r>
  <r>
    <x v="65"/>
    <n v="0"/>
    <n v="0"/>
    <n v="1"/>
  </r>
  <r>
    <x v="26"/>
    <n v="0"/>
    <n v="1"/>
    <n v="0"/>
  </r>
  <r>
    <x v="33"/>
    <n v="1"/>
    <n v="0"/>
    <n v="0"/>
  </r>
  <r>
    <x v="16"/>
    <n v="0"/>
    <n v="1"/>
    <n v="0"/>
  </r>
  <r>
    <x v="52"/>
    <n v="0"/>
    <n v="0"/>
    <n v="1"/>
  </r>
  <r>
    <x v="7"/>
    <n v="0"/>
    <n v="1"/>
    <n v="0"/>
  </r>
  <r>
    <x v="50"/>
    <n v="1"/>
    <n v="0"/>
    <n v="0"/>
  </r>
  <r>
    <x v="19"/>
    <n v="0"/>
    <n v="1"/>
    <n v="0"/>
  </r>
  <r>
    <x v="51"/>
    <n v="0"/>
    <n v="1"/>
    <n v="0"/>
  </r>
  <r>
    <x v="28"/>
    <n v="0"/>
    <n v="1"/>
    <n v="0"/>
  </r>
  <r>
    <x v="12"/>
    <n v="0"/>
    <n v="0"/>
    <n v="1"/>
  </r>
  <r>
    <x v="66"/>
    <n v="1"/>
    <n v="0"/>
    <n v="0"/>
  </r>
  <r>
    <x v="67"/>
    <n v="0"/>
    <n v="1"/>
    <n v="0"/>
  </r>
  <r>
    <x v="41"/>
    <n v="0"/>
    <n v="1"/>
    <n v="0"/>
  </r>
  <r>
    <x v="24"/>
    <n v="1"/>
    <n v="0"/>
    <n v="0"/>
  </r>
  <r>
    <x v="27"/>
    <n v="1"/>
    <n v="0"/>
    <n v="0"/>
  </r>
  <r>
    <x v="15"/>
    <n v="0"/>
    <n v="1"/>
    <n v="0"/>
  </r>
  <r>
    <x v="68"/>
    <n v="1"/>
    <n v="0"/>
    <n v="0"/>
  </r>
  <r>
    <x v="63"/>
    <n v="1"/>
    <n v="0"/>
    <n v="0"/>
  </r>
  <r>
    <x v="36"/>
    <n v="1"/>
    <n v="0"/>
    <n v="0"/>
  </r>
  <r>
    <x v="21"/>
    <n v="0"/>
    <n v="1"/>
    <n v="0"/>
  </r>
  <r>
    <x v="30"/>
    <n v="0"/>
    <n v="1"/>
    <n v="0"/>
  </r>
  <r>
    <x v="17"/>
    <n v="1"/>
    <n v="0"/>
    <n v="0"/>
  </r>
  <r>
    <x v="69"/>
    <n v="0"/>
    <n v="0"/>
    <n v="1"/>
  </r>
  <r>
    <x v="55"/>
    <n v="0"/>
    <n v="1"/>
    <n v="0"/>
  </r>
  <r>
    <x v="2"/>
    <n v="0"/>
    <n v="1"/>
    <n v="0"/>
  </r>
  <r>
    <x v="32"/>
    <n v="1"/>
    <n v="0"/>
    <n v="0"/>
  </r>
  <r>
    <x v="5"/>
    <n v="1"/>
    <n v="0"/>
    <n v="0"/>
  </r>
  <r>
    <x v="51"/>
    <n v="0"/>
    <n v="0"/>
    <n v="1"/>
  </r>
  <r>
    <x v="6"/>
    <n v="0"/>
    <n v="0"/>
    <n v="1"/>
  </r>
  <r>
    <x v="29"/>
    <n v="1"/>
    <n v="0"/>
    <n v="0"/>
  </r>
  <r>
    <x v="3"/>
    <n v="0"/>
    <n v="1"/>
    <n v="0"/>
  </r>
  <r>
    <x v="0"/>
    <n v="0"/>
    <n v="0"/>
    <n v="1"/>
  </r>
  <r>
    <x v="63"/>
    <n v="1"/>
    <n v="0"/>
    <n v="0"/>
  </r>
  <r>
    <x v="67"/>
    <n v="0"/>
    <n v="1"/>
    <n v="0"/>
  </r>
  <r>
    <x v="4"/>
    <n v="0"/>
    <n v="1"/>
    <n v="0"/>
  </r>
  <r>
    <x v="42"/>
    <n v="1"/>
    <n v="0"/>
    <n v="0"/>
  </r>
  <r>
    <x v="22"/>
    <n v="1"/>
    <n v="0"/>
    <n v="0"/>
  </r>
  <r>
    <x v="63"/>
    <n v="0"/>
    <n v="1"/>
    <n v="0"/>
  </r>
  <r>
    <x v="17"/>
    <n v="0"/>
    <n v="0"/>
    <n v="1"/>
  </r>
  <r>
    <x v="70"/>
    <n v="1"/>
    <n v="0"/>
    <n v="0"/>
  </r>
  <r>
    <x v="13"/>
    <n v="0"/>
    <n v="1"/>
    <n v="0"/>
  </r>
  <r>
    <x v="36"/>
    <n v="1"/>
    <n v="0"/>
    <n v="0"/>
  </r>
  <r>
    <x v="32"/>
    <n v="1"/>
    <n v="0"/>
    <n v="0"/>
  </r>
  <r>
    <x v="53"/>
    <n v="0"/>
    <n v="0"/>
    <n v="1"/>
  </r>
  <r>
    <x v="19"/>
    <n v="0"/>
    <n v="1"/>
    <n v="0"/>
  </r>
  <r>
    <x v="71"/>
    <n v="0"/>
    <n v="0"/>
    <n v="1"/>
  </r>
  <r>
    <x v="72"/>
    <n v="0"/>
    <n v="1"/>
    <n v="0"/>
  </r>
  <r>
    <x v="29"/>
    <n v="0"/>
    <n v="1"/>
    <n v="0"/>
  </r>
  <r>
    <x v="44"/>
    <n v="1"/>
    <n v="0"/>
    <n v="0"/>
  </r>
  <r>
    <x v="7"/>
    <n v="0"/>
    <n v="1"/>
    <n v="0"/>
  </r>
  <r>
    <x v="51"/>
    <n v="1"/>
    <n v="0"/>
    <n v="0"/>
  </r>
  <r>
    <x v="73"/>
    <n v="0"/>
    <n v="1"/>
    <n v="0"/>
  </r>
  <r>
    <x v="74"/>
    <n v="0"/>
    <n v="1"/>
    <n v="0"/>
  </r>
  <r>
    <x v="67"/>
    <n v="0"/>
    <n v="1"/>
    <n v="0"/>
  </r>
  <r>
    <x v="71"/>
    <n v="1"/>
    <n v="0"/>
    <n v="0"/>
  </r>
  <r>
    <x v="35"/>
    <n v="1"/>
    <n v="0"/>
    <n v="0"/>
  </r>
  <r>
    <x v="75"/>
    <n v="0"/>
    <n v="1"/>
    <n v="0"/>
  </r>
  <r>
    <x v="57"/>
    <n v="0"/>
    <n v="1"/>
    <n v="0"/>
  </r>
  <r>
    <x v="76"/>
    <n v="1"/>
    <n v="0"/>
    <n v="0"/>
  </r>
  <r>
    <x v="46"/>
    <n v="1"/>
    <n v="0"/>
    <n v="0"/>
  </r>
  <r>
    <x v="73"/>
    <n v="0"/>
    <n v="0"/>
    <n v="1"/>
  </r>
  <r>
    <x v="42"/>
    <n v="1"/>
    <n v="0"/>
    <n v="0"/>
  </r>
  <r>
    <x v="15"/>
    <n v="0"/>
    <n v="0"/>
    <n v="1"/>
  </r>
  <r>
    <x v="24"/>
    <n v="1"/>
    <n v="0"/>
    <n v="0"/>
  </r>
  <r>
    <x v="57"/>
    <n v="0"/>
    <n v="0"/>
    <n v="1"/>
  </r>
  <r>
    <x v="2"/>
    <n v="0"/>
    <n v="1"/>
    <n v="0"/>
  </r>
  <r>
    <x v="77"/>
    <n v="1"/>
    <n v="0"/>
    <n v="0"/>
  </r>
  <r>
    <x v="43"/>
    <n v="1"/>
    <n v="0"/>
    <n v="0"/>
  </r>
  <r>
    <x v="33"/>
    <n v="0"/>
    <n v="1"/>
    <n v="0"/>
  </r>
  <r>
    <x v="48"/>
    <n v="0"/>
    <n v="1"/>
    <n v="0"/>
  </r>
  <r>
    <x v="21"/>
    <n v="0"/>
    <n v="1"/>
    <n v="0"/>
  </r>
  <r>
    <x v="62"/>
    <n v="1"/>
    <n v="0"/>
    <n v="0"/>
  </r>
  <r>
    <x v="9"/>
    <n v="0"/>
    <n v="0"/>
    <n v="1"/>
  </r>
  <r>
    <x v="39"/>
    <n v="0"/>
    <n v="0"/>
    <n v="1"/>
  </r>
  <r>
    <x v="35"/>
    <n v="0"/>
    <n v="0"/>
    <n v="1"/>
  </r>
  <r>
    <x v="5"/>
    <n v="1"/>
    <n v="0"/>
    <n v="0"/>
  </r>
  <r>
    <x v="52"/>
    <n v="0"/>
    <n v="1"/>
    <n v="0"/>
  </r>
  <r>
    <x v="7"/>
    <n v="1"/>
    <n v="0"/>
    <n v="0"/>
  </r>
  <r>
    <x v="78"/>
    <n v="0"/>
    <n v="1"/>
    <n v="0"/>
  </r>
  <r>
    <x v="16"/>
    <n v="1"/>
    <n v="0"/>
    <n v="0"/>
  </r>
  <r>
    <x v="64"/>
    <n v="1"/>
    <n v="0"/>
    <n v="0"/>
  </r>
  <r>
    <x v="6"/>
    <n v="0"/>
    <n v="1"/>
    <n v="0"/>
  </r>
  <r>
    <x v="63"/>
    <n v="1"/>
    <n v="0"/>
    <n v="0"/>
  </r>
  <r>
    <x v="30"/>
    <n v="1"/>
    <n v="0"/>
    <n v="0"/>
  </r>
  <r>
    <x v="4"/>
    <n v="0"/>
    <n v="0"/>
    <n v="1"/>
  </r>
  <r>
    <x v="27"/>
    <n v="0"/>
    <n v="1"/>
    <n v="0"/>
  </r>
  <r>
    <x v="3"/>
    <n v="0"/>
    <n v="0"/>
    <n v="1"/>
  </r>
  <r>
    <x v="39"/>
    <n v="0"/>
    <n v="0"/>
    <n v="1"/>
  </r>
  <r>
    <x v="14"/>
    <n v="1"/>
    <n v="0"/>
    <n v="0"/>
  </r>
  <r>
    <x v="63"/>
    <n v="0"/>
    <n v="1"/>
    <n v="0"/>
  </r>
  <r>
    <x v="22"/>
    <n v="1"/>
    <n v="0"/>
    <n v="0"/>
  </r>
  <r>
    <x v="58"/>
    <n v="1"/>
    <n v="0"/>
    <n v="0"/>
  </r>
  <r>
    <x v="34"/>
    <n v="0"/>
    <n v="1"/>
    <n v="0"/>
  </r>
  <r>
    <x v="43"/>
    <n v="0"/>
    <n v="1"/>
    <n v="0"/>
  </r>
  <r>
    <x v="13"/>
    <n v="0"/>
    <n v="1"/>
    <n v="0"/>
  </r>
  <r>
    <x v="52"/>
    <n v="0"/>
    <n v="1"/>
    <n v="0"/>
  </r>
  <r>
    <x v="2"/>
    <n v="0"/>
    <n v="1"/>
    <n v="0"/>
  </r>
  <r>
    <x v="30"/>
    <n v="1"/>
    <n v="0"/>
    <n v="0"/>
  </r>
  <r>
    <x v="79"/>
    <n v="1"/>
    <n v="0"/>
    <n v="0"/>
  </r>
  <r>
    <x v="37"/>
    <n v="0"/>
    <n v="0"/>
    <n v="1"/>
  </r>
  <r>
    <x v="15"/>
    <n v="0"/>
    <n v="0"/>
    <n v="1"/>
  </r>
  <r>
    <x v="25"/>
    <n v="0"/>
    <n v="1"/>
    <n v="0"/>
  </r>
  <r>
    <x v="67"/>
    <n v="0"/>
    <n v="0"/>
    <n v="1"/>
  </r>
  <r>
    <x v="8"/>
    <n v="1"/>
    <n v="0"/>
    <n v="0"/>
  </r>
  <r>
    <x v="61"/>
    <n v="1"/>
    <n v="0"/>
    <n v="0"/>
  </r>
  <r>
    <x v="2"/>
    <n v="0"/>
    <n v="1"/>
    <n v="0"/>
  </r>
  <r>
    <x v="37"/>
    <n v="1"/>
    <n v="0"/>
    <n v="0"/>
  </r>
  <r>
    <x v="16"/>
    <n v="1"/>
    <n v="0"/>
    <n v="0"/>
  </r>
  <r>
    <x v="53"/>
    <n v="0"/>
    <n v="1"/>
    <n v="0"/>
  </r>
  <r>
    <x v="4"/>
    <n v="0"/>
    <n v="0"/>
    <n v="1"/>
  </r>
  <r>
    <x v="48"/>
    <n v="1"/>
    <n v="0"/>
    <n v="0"/>
  </r>
  <r>
    <x v="57"/>
    <n v="0"/>
    <n v="1"/>
    <n v="0"/>
  </r>
  <r>
    <x v="3"/>
    <n v="0"/>
    <n v="1"/>
    <n v="0"/>
  </r>
  <r>
    <x v="11"/>
    <n v="0"/>
    <n v="0"/>
    <n v="1"/>
  </r>
  <r>
    <x v="64"/>
    <n v="1"/>
    <n v="0"/>
    <n v="0"/>
  </r>
  <r>
    <x v="41"/>
    <n v="0"/>
    <n v="0"/>
    <n v="1"/>
  </r>
  <r>
    <x v="23"/>
    <n v="0"/>
    <n v="0"/>
    <n v="1"/>
  </r>
  <r>
    <x v="67"/>
    <n v="1"/>
    <n v="0"/>
    <n v="0"/>
  </r>
  <r>
    <x v="14"/>
    <n v="0"/>
    <n v="0"/>
    <n v="1"/>
  </r>
  <r>
    <x v="30"/>
    <n v="0"/>
    <n v="0"/>
    <n v="1"/>
  </r>
  <r>
    <x v="74"/>
    <n v="0"/>
    <n v="1"/>
    <n v="0"/>
  </r>
  <r>
    <x v="0"/>
    <n v="0"/>
    <n v="0"/>
    <n v="1"/>
  </r>
  <r>
    <x v="51"/>
    <n v="1"/>
    <n v="0"/>
    <n v="0"/>
  </r>
  <r>
    <x v="44"/>
    <n v="0"/>
    <n v="1"/>
    <n v="0"/>
  </r>
  <r>
    <x v="7"/>
    <n v="0"/>
    <n v="0"/>
    <n v="1"/>
  </r>
  <r>
    <x v="33"/>
    <n v="0"/>
    <n v="1"/>
    <n v="0"/>
  </r>
  <r>
    <x v="80"/>
    <n v="1"/>
    <n v="0"/>
    <n v="0"/>
  </r>
  <r>
    <x v="18"/>
    <n v="1"/>
    <n v="0"/>
    <n v="0"/>
  </r>
  <r>
    <x v="57"/>
    <n v="1"/>
    <n v="0"/>
    <n v="0"/>
  </r>
  <r>
    <x v="40"/>
    <n v="0"/>
    <n v="0"/>
    <n v="1"/>
  </r>
  <r>
    <x v="25"/>
    <n v="0"/>
    <n v="1"/>
    <n v="0"/>
  </r>
  <r>
    <x v="35"/>
    <n v="0"/>
    <n v="1"/>
    <n v="0"/>
  </r>
  <r>
    <x v="5"/>
    <n v="0"/>
    <n v="0"/>
    <n v="1"/>
  </r>
  <r>
    <x v="7"/>
    <n v="0"/>
    <n v="0"/>
    <n v="1"/>
  </r>
  <r>
    <x v="36"/>
    <n v="0"/>
    <n v="1"/>
    <n v="0"/>
  </r>
  <r>
    <x v="14"/>
    <n v="0"/>
    <n v="1"/>
    <n v="0"/>
  </r>
  <r>
    <x v="40"/>
    <n v="0"/>
    <n v="0"/>
    <n v="1"/>
  </r>
  <r>
    <x v="43"/>
    <n v="1"/>
    <n v="0"/>
    <n v="0"/>
  </r>
  <r>
    <x v="6"/>
    <n v="0"/>
    <n v="1"/>
    <n v="0"/>
  </r>
  <r>
    <x v="22"/>
    <n v="1"/>
    <n v="0"/>
    <n v="0"/>
  </r>
  <r>
    <x v="50"/>
    <n v="0"/>
    <n v="0"/>
    <n v="1"/>
  </r>
  <r>
    <x v="81"/>
    <n v="1"/>
    <n v="0"/>
    <n v="0"/>
  </r>
  <r>
    <x v="8"/>
    <n v="0"/>
    <n v="0"/>
    <n v="1"/>
  </r>
  <r>
    <x v="19"/>
    <n v="0"/>
    <n v="1"/>
    <n v="0"/>
  </r>
  <r>
    <x v="42"/>
    <n v="0"/>
    <n v="1"/>
    <n v="0"/>
  </r>
  <r>
    <x v="67"/>
    <n v="0"/>
    <n v="0"/>
    <n v="1"/>
  </r>
  <r>
    <x v="31"/>
    <n v="1"/>
    <n v="0"/>
    <n v="0"/>
  </r>
  <r>
    <x v="5"/>
    <n v="1"/>
    <n v="0"/>
    <n v="0"/>
  </r>
  <r>
    <x v="82"/>
    <n v="1"/>
    <n v="0"/>
    <n v="0"/>
  </r>
  <r>
    <x v="26"/>
    <n v="1"/>
    <n v="0"/>
    <n v="0"/>
  </r>
  <r>
    <x v="43"/>
    <n v="1"/>
    <n v="0"/>
    <n v="0"/>
  </r>
  <r>
    <x v="10"/>
    <n v="0"/>
    <n v="1"/>
    <n v="0"/>
  </r>
  <r>
    <x v="52"/>
    <n v="0"/>
    <n v="1"/>
    <n v="0"/>
  </r>
  <r>
    <x v="83"/>
    <n v="1"/>
    <n v="0"/>
    <n v="0"/>
  </r>
  <r>
    <x v="6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6" cacheId="2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G3:H88" firstHeaderRow="1" firstDataRow="1" firstDataCol="1"/>
  <pivotFields count="5">
    <pivotField axis="axisRow" showAll="0">
      <items count="85">
        <item x="11"/>
        <item x="3"/>
        <item x="1"/>
        <item x="30"/>
        <item x="80"/>
        <item x="24"/>
        <item x="83"/>
        <item x="48"/>
        <item x="8"/>
        <item x="16"/>
        <item x="58"/>
        <item x="5"/>
        <item x="38"/>
        <item x="28"/>
        <item x="10"/>
        <item x="33"/>
        <item x="74"/>
        <item x="31"/>
        <item x="72"/>
        <item x="69"/>
        <item x="50"/>
        <item x="12"/>
        <item x="15"/>
        <item x="56"/>
        <item x="13"/>
        <item x="39"/>
        <item x="62"/>
        <item x="75"/>
        <item x="63"/>
        <item x="60"/>
        <item x="2"/>
        <item x="29"/>
        <item x="78"/>
        <item x="22"/>
        <item x="67"/>
        <item x="9"/>
        <item x="18"/>
        <item x="54"/>
        <item x="0"/>
        <item x="36"/>
        <item x="26"/>
        <item x="64"/>
        <item x="32"/>
        <item x="76"/>
        <item x="46"/>
        <item x="34"/>
        <item x="35"/>
        <item x="61"/>
        <item x="27"/>
        <item x="42"/>
        <item x="70"/>
        <item x="25"/>
        <item x="52"/>
        <item x="23"/>
        <item x="20"/>
        <item x="47"/>
        <item x="21"/>
        <item x="44"/>
        <item x="65"/>
        <item x="59"/>
        <item x="7"/>
        <item x="77"/>
        <item x="82"/>
        <item x="68"/>
        <item x="53"/>
        <item x="17"/>
        <item x="79"/>
        <item x="6"/>
        <item x="40"/>
        <item x="19"/>
        <item x="66"/>
        <item x="51"/>
        <item x="14"/>
        <item x="43"/>
        <item x="4"/>
        <item x="71"/>
        <item x="73"/>
        <item x="81"/>
        <item x="57"/>
        <item x="45"/>
        <item x="37"/>
        <item x="41"/>
        <item x="55"/>
        <item x="49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a de Empat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5" cacheId="3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D3:E88" firstHeaderRow="1" firstDataRow="1" firstDataCol="1"/>
  <pivotFields count="4">
    <pivotField axis="axisRow" showAll="0">
      <items count="85">
        <item x="11"/>
        <item x="3"/>
        <item x="28"/>
        <item x="2"/>
        <item x="26"/>
        <item x="25"/>
        <item x="7"/>
        <item x="19"/>
        <item x="4"/>
        <item x="41"/>
        <item x="1"/>
        <item x="10"/>
        <item x="30"/>
        <item x="33"/>
        <item x="29"/>
        <item x="80"/>
        <item x="74"/>
        <item x="62"/>
        <item x="78"/>
        <item x="64"/>
        <item x="65"/>
        <item x="77"/>
        <item x="71"/>
        <item x="24"/>
        <item x="31"/>
        <item x="22"/>
        <item x="32"/>
        <item x="72"/>
        <item x="75"/>
        <item x="76"/>
        <item x="70"/>
        <item x="73"/>
        <item x="83"/>
        <item x="82"/>
        <item x="81"/>
        <item x="69"/>
        <item x="68"/>
        <item x="66"/>
        <item x="48"/>
        <item x="50"/>
        <item x="63"/>
        <item x="67"/>
        <item x="46"/>
        <item x="52"/>
        <item x="53"/>
        <item x="51"/>
        <item x="57"/>
        <item x="55"/>
        <item x="8"/>
        <item x="12"/>
        <item x="9"/>
        <item x="34"/>
        <item x="23"/>
        <item x="16"/>
        <item x="15"/>
        <item x="18"/>
        <item x="35"/>
        <item x="20"/>
        <item x="17"/>
        <item x="58"/>
        <item x="56"/>
        <item x="60"/>
        <item x="54"/>
        <item x="61"/>
        <item x="47"/>
        <item x="59"/>
        <item x="79"/>
        <item x="45"/>
        <item x="49"/>
        <item x="5"/>
        <item x="13"/>
        <item x="0"/>
        <item x="27"/>
        <item x="21"/>
        <item x="6"/>
        <item x="14"/>
        <item x="38"/>
        <item x="39"/>
        <item x="36"/>
        <item x="42"/>
        <item x="44"/>
        <item x="40"/>
        <item x="43"/>
        <item x="37"/>
        <item t="default"/>
      </items>
    </pivotField>
    <pivotField showAll="0"/>
    <pivotField dataField="1" showAll="0"/>
    <pivotField showAll="0"/>
  </pivotFields>
  <rowFields count="1">
    <field x="0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a de GanoEquipo2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dinámica4" cacheId="2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B88" firstHeaderRow="1" firstDataRow="1" firstDataCol="1"/>
  <pivotFields count="5">
    <pivotField axis="axisRow" showAll="0">
      <items count="85">
        <item x="11"/>
        <item x="3"/>
        <item x="1"/>
        <item x="30"/>
        <item x="80"/>
        <item x="24"/>
        <item x="83"/>
        <item x="48"/>
        <item x="8"/>
        <item x="16"/>
        <item x="58"/>
        <item x="5"/>
        <item x="38"/>
        <item x="28"/>
        <item x="10"/>
        <item x="33"/>
        <item x="74"/>
        <item x="31"/>
        <item x="72"/>
        <item x="69"/>
        <item x="50"/>
        <item x="12"/>
        <item x="15"/>
        <item x="56"/>
        <item x="13"/>
        <item x="39"/>
        <item x="62"/>
        <item x="75"/>
        <item x="63"/>
        <item x="60"/>
        <item x="2"/>
        <item x="29"/>
        <item x="78"/>
        <item x="22"/>
        <item x="67"/>
        <item x="9"/>
        <item x="18"/>
        <item x="54"/>
        <item x="0"/>
        <item x="36"/>
        <item x="26"/>
        <item x="64"/>
        <item x="32"/>
        <item x="76"/>
        <item x="46"/>
        <item x="34"/>
        <item x="35"/>
        <item x="61"/>
        <item x="27"/>
        <item x="42"/>
        <item x="70"/>
        <item x="25"/>
        <item x="52"/>
        <item x="23"/>
        <item x="20"/>
        <item x="47"/>
        <item x="21"/>
        <item x="44"/>
        <item x="65"/>
        <item x="59"/>
        <item x="7"/>
        <item x="77"/>
        <item x="82"/>
        <item x="68"/>
        <item x="53"/>
        <item x="17"/>
        <item x="79"/>
        <item x="6"/>
        <item x="40"/>
        <item x="19"/>
        <item x="66"/>
        <item x="51"/>
        <item x="14"/>
        <item x="43"/>
        <item x="4"/>
        <item x="71"/>
        <item x="73"/>
        <item x="81"/>
        <item x="57"/>
        <item x="45"/>
        <item x="37"/>
        <item x="41"/>
        <item x="55"/>
        <item x="49"/>
        <item t="default"/>
      </items>
    </pivotField>
    <pivotField showAll="0" defaultSubtotal="0">
      <items count="84">
        <item x="11"/>
        <item x="3"/>
        <item x="28"/>
        <item x="2"/>
        <item x="26"/>
        <item x="25"/>
        <item x="7"/>
        <item x="19"/>
        <item x="4"/>
        <item x="41"/>
        <item x="1"/>
        <item x="10"/>
        <item x="30"/>
        <item x="33"/>
        <item x="29"/>
        <item x="80"/>
        <item x="74"/>
        <item x="62"/>
        <item x="78"/>
        <item x="64"/>
        <item x="65"/>
        <item x="77"/>
        <item x="71"/>
        <item x="24"/>
        <item x="31"/>
        <item x="22"/>
        <item x="32"/>
        <item x="72"/>
        <item x="75"/>
        <item x="76"/>
        <item x="70"/>
        <item x="73"/>
        <item x="83"/>
        <item x="82"/>
        <item x="81"/>
        <item x="69"/>
        <item x="68"/>
        <item x="66"/>
        <item x="48"/>
        <item x="50"/>
        <item x="63"/>
        <item x="67"/>
        <item x="46"/>
        <item x="52"/>
        <item x="53"/>
        <item x="51"/>
        <item x="57"/>
        <item x="55"/>
        <item x="8"/>
        <item x="12"/>
        <item x="9"/>
        <item x="34"/>
        <item x="23"/>
        <item x="16"/>
        <item x="15"/>
        <item x="18"/>
        <item x="35"/>
        <item x="20"/>
        <item x="17"/>
        <item x="58"/>
        <item x="56"/>
        <item x="60"/>
        <item x="54"/>
        <item x="61"/>
        <item x="47"/>
        <item x="59"/>
        <item x="79"/>
        <item x="45"/>
        <item x="49"/>
        <item x="5"/>
        <item x="13"/>
        <item x="0"/>
        <item x="27"/>
        <item x="21"/>
        <item x="6"/>
        <item x="14"/>
        <item x="38"/>
        <item x="39"/>
        <item x="36"/>
        <item x="42"/>
        <item x="44"/>
        <item x="40"/>
        <item x="43"/>
        <item x="37"/>
      </items>
    </pivotField>
    <pivotField dataField="1" showAll="0"/>
    <pivotField showAll="0"/>
    <pivotField showAll="0"/>
  </pivotFields>
  <rowFields count="1">
    <field x="0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a de GanoEquipo1" fld="2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 dinámica3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B1:B18" firstHeaderRow="1" firstDataRow="1" firstDataCol="1"/>
  <pivotFields count="1">
    <pivotField axis="axisRow" showAll="0">
      <items count="21">
        <item x="4"/>
        <item x="2"/>
        <item x="1"/>
        <item x="7"/>
        <item x="11"/>
        <item x="6"/>
        <item x="13"/>
        <item x="14"/>
        <item x="12"/>
        <item m="1" x="18"/>
        <item x="3"/>
        <item x="5"/>
        <item m="1" x="19"/>
        <item x="9"/>
        <item x="0"/>
        <item m="1" x="16"/>
        <item x="8"/>
        <item x="15"/>
        <item m="1" x="17"/>
        <item x="10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3"/>
    </i>
    <i>
      <x v="14"/>
    </i>
    <i>
      <x v="16"/>
    </i>
    <i>
      <x v="17"/>
    </i>
    <i>
      <x v="1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 diná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1:A15" firstHeaderRow="1" firstDataRow="1" firstDataCol="1"/>
  <pivotFields count="1">
    <pivotField axis="axisRow" showAll="0">
      <items count="15">
        <item x="1"/>
        <item x="4"/>
        <item x="10"/>
        <item x="0"/>
        <item x="7"/>
        <item x="11"/>
        <item x="6"/>
        <item m="1" x="13"/>
        <item x="3"/>
        <item x="5"/>
        <item x="2"/>
        <item x="8"/>
        <item x="12"/>
        <item x="9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workbookViewId="0">
      <selection activeCell="I9" sqref="I9"/>
    </sheetView>
  </sheetViews>
  <sheetFormatPr baseColWidth="10" defaultRowHeight="15" x14ac:dyDescent="0.25"/>
  <cols>
    <col min="1" max="1" width="22.5703125" customWidth="1"/>
    <col min="2" max="2" width="21" customWidth="1"/>
    <col min="3" max="3" width="7" customWidth="1"/>
    <col min="4" max="4" width="22.5703125" customWidth="1"/>
    <col min="5" max="5" width="21" customWidth="1"/>
    <col min="6" max="6" width="6.85546875" customWidth="1"/>
    <col min="7" max="7" width="22.5703125" customWidth="1"/>
    <col min="8" max="8" width="15.7109375" bestFit="1" customWidth="1"/>
  </cols>
  <sheetData>
    <row r="1" spans="1:8" ht="21" x14ac:dyDescent="0.35">
      <c r="A1" s="27" t="s">
        <v>591</v>
      </c>
      <c r="D1" s="27" t="s">
        <v>592</v>
      </c>
      <c r="G1" s="27" t="s">
        <v>594</v>
      </c>
    </row>
    <row r="3" spans="1:8" x14ac:dyDescent="0.25">
      <c r="A3" s="4" t="s">
        <v>412</v>
      </c>
      <c r="B3" t="s">
        <v>409</v>
      </c>
      <c r="D3" s="4" t="s">
        <v>412</v>
      </c>
      <c r="E3" t="s">
        <v>414</v>
      </c>
      <c r="G3" s="4" t="s">
        <v>412</v>
      </c>
      <c r="H3" t="s">
        <v>413</v>
      </c>
    </row>
    <row r="4" spans="1:8" x14ac:dyDescent="0.25">
      <c r="A4" s="6" t="s">
        <v>410</v>
      </c>
      <c r="B4" s="5">
        <v>10</v>
      </c>
      <c r="D4" s="6" t="s">
        <v>507</v>
      </c>
      <c r="E4" s="5">
        <v>2</v>
      </c>
      <c r="G4" s="6" t="s">
        <v>410</v>
      </c>
      <c r="H4" s="5">
        <v>2</v>
      </c>
    </row>
    <row r="5" spans="1:8" x14ac:dyDescent="0.25">
      <c r="A5" s="6" t="s">
        <v>415</v>
      </c>
      <c r="B5" s="5">
        <v>15</v>
      </c>
      <c r="D5" s="6" t="s">
        <v>508</v>
      </c>
      <c r="E5" s="5">
        <v>9</v>
      </c>
      <c r="G5" s="6" t="s">
        <v>415</v>
      </c>
      <c r="H5" s="5">
        <v>8</v>
      </c>
    </row>
    <row r="6" spans="1:8" x14ac:dyDescent="0.25">
      <c r="A6" s="6" t="s">
        <v>416</v>
      </c>
      <c r="B6" s="5">
        <v>18</v>
      </c>
      <c r="D6" s="6" t="s">
        <v>520</v>
      </c>
      <c r="E6" s="5">
        <v>8</v>
      </c>
      <c r="G6" s="6" t="s">
        <v>416</v>
      </c>
      <c r="H6" s="5">
        <v>6</v>
      </c>
    </row>
    <row r="7" spans="1:8" x14ac:dyDescent="0.25">
      <c r="A7" s="6" t="s">
        <v>417</v>
      </c>
      <c r="B7" s="5">
        <v>7</v>
      </c>
      <c r="D7" s="6" t="s">
        <v>537</v>
      </c>
      <c r="E7" s="5">
        <v>16</v>
      </c>
      <c r="G7" s="6" t="s">
        <v>417</v>
      </c>
      <c r="H7" s="5">
        <v>3</v>
      </c>
    </row>
    <row r="8" spans="1:8" x14ac:dyDescent="0.25">
      <c r="A8" s="6" t="s">
        <v>418</v>
      </c>
      <c r="B8" s="5">
        <v>1</v>
      </c>
      <c r="D8" s="6" t="s">
        <v>547</v>
      </c>
      <c r="E8" s="5">
        <v>7</v>
      </c>
      <c r="G8" s="6" t="s">
        <v>418</v>
      </c>
      <c r="H8" s="5">
        <v>0</v>
      </c>
    </row>
    <row r="9" spans="1:8" x14ac:dyDescent="0.25">
      <c r="A9" s="6" t="s">
        <v>419</v>
      </c>
      <c r="B9" s="5">
        <v>10</v>
      </c>
      <c r="D9" s="6" t="s">
        <v>558</v>
      </c>
      <c r="E9" s="5">
        <v>12</v>
      </c>
      <c r="G9" s="6" t="s">
        <v>419</v>
      </c>
      <c r="H9" s="5">
        <v>5</v>
      </c>
    </row>
    <row r="10" spans="1:8" x14ac:dyDescent="0.25">
      <c r="A10" s="6" t="s">
        <v>420</v>
      </c>
      <c r="B10" s="5">
        <v>1</v>
      </c>
      <c r="D10" s="6" t="s">
        <v>567</v>
      </c>
      <c r="E10" s="5">
        <v>13</v>
      </c>
      <c r="G10" s="6" t="s">
        <v>420</v>
      </c>
      <c r="H10" s="5">
        <v>0</v>
      </c>
    </row>
    <row r="11" spans="1:8" x14ac:dyDescent="0.25">
      <c r="A11" s="6" t="s">
        <v>485</v>
      </c>
      <c r="B11" s="5">
        <v>2</v>
      </c>
      <c r="D11" s="6" t="s">
        <v>576</v>
      </c>
      <c r="E11" s="5">
        <v>11</v>
      </c>
      <c r="G11" s="6" t="s">
        <v>485</v>
      </c>
      <c r="H11" s="5">
        <v>1</v>
      </c>
    </row>
    <row r="12" spans="1:8" x14ac:dyDescent="0.25">
      <c r="A12" s="6" t="s">
        <v>421</v>
      </c>
      <c r="B12" s="5">
        <v>18</v>
      </c>
      <c r="D12" s="6" t="s">
        <v>581</v>
      </c>
      <c r="E12" s="5">
        <v>9</v>
      </c>
      <c r="G12" s="6" t="s">
        <v>421</v>
      </c>
      <c r="H12" s="5">
        <v>5</v>
      </c>
    </row>
    <row r="13" spans="1:8" x14ac:dyDescent="0.25">
      <c r="A13" s="6" t="s">
        <v>422</v>
      </c>
      <c r="B13" s="5">
        <v>12</v>
      </c>
      <c r="D13" s="6" t="s">
        <v>588</v>
      </c>
      <c r="E13" s="5">
        <v>5</v>
      </c>
      <c r="G13" s="6" t="s">
        <v>422</v>
      </c>
      <c r="H13" s="5">
        <v>2</v>
      </c>
    </row>
    <row r="14" spans="1:8" x14ac:dyDescent="0.25">
      <c r="A14" s="6" t="s">
        <v>423</v>
      </c>
      <c r="B14" s="5">
        <v>1</v>
      </c>
      <c r="D14" s="6" t="s">
        <v>509</v>
      </c>
      <c r="E14" s="5">
        <v>0</v>
      </c>
      <c r="G14" s="6" t="s">
        <v>423</v>
      </c>
      <c r="H14" s="5">
        <v>0</v>
      </c>
    </row>
    <row r="15" spans="1:8" x14ac:dyDescent="0.25">
      <c r="A15" s="6" t="s">
        <v>424</v>
      </c>
      <c r="B15" s="5">
        <v>14</v>
      </c>
      <c r="D15" s="6" t="s">
        <v>521</v>
      </c>
      <c r="E15" s="5">
        <v>8</v>
      </c>
      <c r="G15" s="6" t="s">
        <v>424</v>
      </c>
      <c r="H15" s="5">
        <v>4</v>
      </c>
    </row>
    <row r="16" spans="1:8" x14ac:dyDescent="0.25">
      <c r="A16" s="6" t="s">
        <v>425</v>
      </c>
      <c r="B16" s="5">
        <v>4</v>
      </c>
      <c r="D16" s="6" t="s">
        <v>510</v>
      </c>
      <c r="E16" s="5">
        <v>2</v>
      </c>
      <c r="G16" s="6" t="s">
        <v>425</v>
      </c>
      <c r="H16" s="5">
        <v>0</v>
      </c>
    </row>
    <row r="17" spans="1:8" x14ac:dyDescent="0.25">
      <c r="A17" s="6" t="s">
        <v>426</v>
      </c>
      <c r="B17" s="5">
        <v>2</v>
      </c>
      <c r="D17" s="6" t="s">
        <v>522</v>
      </c>
      <c r="E17" s="5">
        <v>4</v>
      </c>
      <c r="G17" s="6" t="s">
        <v>426</v>
      </c>
      <c r="H17" s="5">
        <v>0</v>
      </c>
    </row>
    <row r="18" spans="1:8" x14ac:dyDescent="0.25">
      <c r="A18" s="6" t="s">
        <v>427</v>
      </c>
      <c r="B18" s="5">
        <v>2</v>
      </c>
      <c r="D18" s="6" t="s">
        <v>538</v>
      </c>
      <c r="E18" s="5">
        <v>2</v>
      </c>
      <c r="G18" s="6" t="s">
        <v>427</v>
      </c>
      <c r="H18" s="5">
        <v>3</v>
      </c>
    </row>
    <row r="19" spans="1:8" x14ac:dyDescent="0.25">
      <c r="A19" s="6" t="s">
        <v>428</v>
      </c>
      <c r="B19" s="5">
        <v>3</v>
      </c>
      <c r="D19" s="6" t="s">
        <v>511</v>
      </c>
      <c r="E19" s="5">
        <v>0</v>
      </c>
      <c r="G19" s="6" t="s">
        <v>428</v>
      </c>
      <c r="H19" s="5">
        <v>5</v>
      </c>
    </row>
    <row r="20" spans="1:8" x14ac:dyDescent="0.25">
      <c r="A20" s="6" t="s">
        <v>429</v>
      </c>
      <c r="B20" s="5">
        <v>0</v>
      </c>
      <c r="D20" s="6" t="s">
        <v>523</v>
      </c>
      <c r="E20" s="5">
        <v>2</v>
      </c>
      <c r="G20" s="6" t="s">
        <v>429</v>
      </c>
      <c r="H20" s="5">
        <v>0</v>
      </c>
    </row>
    <row r="21" spans="1:8" x14ac:dyDescent="0.25">
      <c r="A21" s="6" t="s">
        <v>430</v>
      </c>
      <c r="B21" s="5">
        <v>2</v>
      </c>
      <c r="D21" s="6" t="s">
        <v>533</v>
      </c>
      <c r="E21" s="5">
        <v>0</v>
      </c>
      <c r="G21" s="6" t="s">
        <v>430</v>
      </c>
      <c r="H21" s="5">
        <v>5</v>
      </c>
    </row>
    <row r="22" spans="1:8" x14ac:dyDescent="0.25">
      <c r="A22" s="6" t="s">
        <v>431</v>
      </c>
      <c r="B22" s="5">
        <v>0</v>
      </c>
      <c r="D22" s="6" t="s">
        <v>539</v>
      </c>
      <c r="E22" s="5">
        <v>1</v>
      </c>
      <c r="G22" s="6" t="s">
        <v>431</v>
      </c>
      <c r="H22" s="5">
        <v>0</v>
      </c>
    </row>
    <row r="23" spans="1:8" x14ac:dyDescent="0.25">
      <c r="A23" s="6" t="s">
        <v>432</v>
      </c>
      <c r="B23" s="5">
        <v>0</v>
      </c>
      <c r="D23" s="6" t="s">
        <v>548</v>
      </c>
      <c r="E23" s="5">
        <v>0</v>
      </c>
      <c r="G23" s="6" t="s">
        <v>432</v>
      </c>
      <c r="H23" s="5">
        <v>1</v>
      </c>
    </row>
    <row r="24" spans="1:8" x14ac:dyDescent="0.25">
      <c r="A24" s="6" t="s">
        <v>486</v>
      </c>
      <c r="B24" s="5">
        <v>1</v>
      </c>
      <c r="D24" s="6" t="s">
        <v>565</v>
      </c>
      <c r="E24" s="5">
        <v>0</v>
      </c>
      <c r="G24" s="6" t="s">
        <v>486</v>
      </c>
      <c r="H24" s="5">
        <v>2</v>
      </c>
    </row>
    <row r="25" spans="1:8" x14ac:dyDescent="0.25">
      <c r="A25" s="6" t="s">
        <v>433</v>
      </c>
      <c r="B25" s="5">
        <v>1</v>
      </c>
      <c r="D25" s="6" t="s">
        <v>568</v>
      </c>
      <c r="E25" s="5">
        <v>0</v>
      </c>
      <c r="G25" s="6" t="s">
        <v>433</v>
      </c>
      <c r="H25" s="5">
        <v>2</v>
      </c>
    </row>
    <row r="26" spans="1:8" x14ac:dyDescent="0.25">
      <c r="A26" s="6" t="s">
        <v>434</v>
      </c>
      <c r="B26" s="5">
        <v>3</v>
      </c>
      <c r="D26" s="6" t="s">
        <v>582</v>
      </c>
      <c r="E26" s="5">
        <v>0</v>
      </c>
      <c r="G26" s="6" t="s">
        <v>434</v>
      </c>
      <c r="H26" s="5">
        <v>4</v>
      </c>
    </row>
    <row r="27" spans="1:8" x14ac:dyDescent="0.25">
      <c r="A27" s="6" t="s">
        <v>487</v>
      </c>
      <c r="B27" s="5">
        <v>1</v>
      </c>
      <c r="D27" s="6" t="s">
        <v>512</v>
      </c>
      <c r="E27" s="5">
        <v>0</v>
      </c>
      <c r="G27" s="6" t="s">
        <v>487</v>
      </c>
      <c r="H27" s="5">
        <v>0</v>
      </c>
    </row>
    <row r="28" spans="1:8" x14ac:dyDescent="0.25">
      <c r="A28" s="6" t="s">
        <v>435</v>
      </c>
      <c r="B28" s="5">
        <v>2</v>
      </c>
      <c r="D28" s="6" t="s">
        <v>524</v>
      </c>
      <c r="E28" s="5">
        <v>1</v>
      </c>
      <c r="G28" s="6" t="s">
        <v>435</v>
      </c>
      <c r="H28" s="5">
        <v>1</v>
      </c>
    </row>
    <row r="29" spans="1:8" x14ac:dyDescent="0.25">
      <c r="A29" s="6" t="s">
        <v>436</v>
      </c>
      <c r="B29" s="5">
        <v>1</v>
      </c>
      <c r="D29" s="6" t="s">
        <v>540</v>
      </c>
      <c r="E29" s="5">
        <v>1</v>
      </c>
      <c r="G29" s="6" t="s">
        <v>436</v>
      </c>
      <c r="H29" s="5">
        <v>2</v>
      </c>
    </row>
    <row r="30" spans="1:8" x14ac:dyDescent="0.25">
      <c r="A30" s="6" t="s">
        <v>437</v>
      </c>
      <c r="B30" s="5">
        <v>2</v>
      </c>
      <c r="D30" s="6" t="s">
        <v>549</v>
      </c>
      <c r="E30" s="5">
        <v>2</v>
      </c>
      <c r="G30" s="6" t="s">
        <v>437</v>
      </c>
      <c r="H30" s="5">
        <v>0</v>
      </c>
    </row>
    <row r="31" spans="1:8" x14ac:dyDescent="0.25">
      <c r="A31" s="6" t="s">
        <v>438</v>
      </c>
      <c r="B31" s="5">
        <v>0</v>
      </c>
      <c r="D31" s="6" t="s">
        <v>525</v>
      </c>
      <c r="E31" s="5">
        <v>1</v>
      </c>
      <c r="G31" s="6" t="s">
        <v>438</v>
      </c>
      <c r="H31" s="5">
        <v>0</v>
      </c>
    </row>
    <row r="32" spans="1:8" x14ac:dyDescent="0.25">
      <c r="A32" s="6" t="s">
        <v>488</v>
      </c>
      <c r="B32" s="5">
        <v>4</v>
      </c>
      <c r="D32" s="6" t="s">
        <v>534</v>
      </c>
      <c r="E32" s="5">
        <v>1</v>
      </c>
      <c r="G32" s="6" t="s">
        <v>488</v>
      </c>
      <c r="H32" s="5">
        <v>0</v>
      </c>
    </row>
    <row r="33" spans="1:8" x14ac:dyDescent="0.25">
      <c r="A33" s="6" t="s">
        <v>489</v>
      </c>
      <c r="B33" s="5">
        <v>1</v>
      </c>
      <c r="D33" s="6" t="s">
        <v>550</v>
      </c>
      <c r="E33" s="5">
        <v>0</v>
      </c>
      <c r="G33" s="6" t="s">
        <v>489</v>
      </c>
      <c r="H33" s="5">
        <v>0</v>
      </c>
    </row>
    <row r="34" spans="1:8" x14ac:dyDescent="0.25">
      <c r="A34" s="6" t="s">
        <v>439</v>
      </c>
      <c r="B34" s="5">
        <v>3</v>
      </c>
      <c r="D34" s="6" t="s">
        <v>557</v>
      </c>
      <c r="E34" s="5">
        <v>0</v>
      </c>
      <c r="G34" s="6" t="s">
        <v>439</v>
      </c>
      <c r="H34" s="5">
        <v>2</v>
      </c>
    </row>
    <row r="35" spans="1:8" x14ac:dyDescent="0.25">
      <c r="A35" s="6" t="s">
        <v>440</v>
      </c>
      <c r="B35" s="5">
        <v>7</v>
      </c>
      <c r="D35" s="6" t="s">
        <v>583</v>
      </c>
      <c r="E35" s="5">
        <v>1</v>
      </c>
      <c r="G35" s="6" t="s">
        <v>440</v>
      </c>
      <c r="H35" s="5">
        <v>3</v>
      </c>
    </row>
    <row r="36" spans="1:8" x14ac:dyDescent="0.25">
      <c r="A36" s="6" t="s">
        <v>441</v>
      </c>
      <c r="B36" s="5">
        <v>0</v>
      </c>
      <c r="D36" s="6" t="s">
        <v>513</v>
      </c>
      <c r="E36" s="5">
        <v>0</v>
      </c>
      <c r="G36" s="6" t="s">
        <v>441</v>
      </c>
      <c r="H36" s="5">
        <v>0</v>
      </c>
    </row>
    <row r="37" spans="1:8" x14ac:dyDescent="0.25">
      <c r="A37" s="6" t="s">
        <v>442</v>
      </c>
      <c r="B37" s="5">
        <v>12</v>
      </c>
      <c r="D37" s="6" t="s">
        <v>569</v>
      </c>
      <c r="E37" s="5">
        <v>0</v>
      </c>
      <c r="G37" s="6" t="s">
        <v>442</v>
      </c>
      <c r="H37" s="5">
        <v>1</v>
      </c>
    </row>
    <row r="38" spans="1:8" x14ac:dyDescent="0.25">
      <c r="A38" s="6" t="s">
        <v>490</v>
      </c>
      <c r="B38" s="5">
        <v>1</v>
      </c>
      <c r="D38" s="6" t="s">
        <v>584</v>
      </c>
      <c r="E38" s="5">
        <v>0</v>
      </c>
      <c r="G38" s="6" t="s">
        <v>490</v>
      </c>
      <c r="H38" s="5">
        <v>2</v>
      </c>
    </row>
    <row r="39" spans="1:8" x14ac:dyDescent="0.25">
      <c r="A39" s="6" t="s">
        <v>443</v>
      </c>
      <c r="B39" s="5">
        <v>7</v>
      </c>
      <c r="D39" s="6" t="s">
        <v>526</v>
      </c>
      <c r="E39" s="5">
        <v>0</v>
      </c>
      <c r="G39" s="6" t="s">
        <v>443</v>
      </c>
      <c r="H39" s="5">
        <v>2</v>
      </c>
    </row>
    <row r="40" spans="1:8" x14ac:dyDescent="0.25">
      <c r="A40" s="6" t="s">
        <v>444</v>
      </c>
      <c r="B40" s="5">
        <v>7</v>
      </c>
      <c r="D40" s="6" t="s">
        <v>570</v>
      </c>
      <c r="E40" s="5">
        <v>0</v>
      </c>
      <c r="G40" s="6" t="s">
        <v>444</v>
      </c>
      <c r="H40" s="5">
        <v>6</v>
      </c>
    </row>
    <row r="41" spans="1:8" x14ac:dyDescent="0.25">
      <c r="A41" s="6" t="s">
        <v>491</v>
      </c>
      <c r="B41" s="5">
        <v>0</v>
      </c>
      <c r="D41" s="6" t="s">
        <v>577</v>
      </c>
      <c r="E41" s="5">
        <v>0</v>
      </c>
      <c r="G41" s="6" t="s">
        <v>491</v>
      </c>
      <c r="H41" s="5">
        <v>0</v>
      </c>
    </row>
    <row r="42" spans="1:8" x14ac:dyDescent="0.25">
      <c r="A42" s="6" t="s">
        <v>445</v>
      </c>
      <c r="B42" s="5">
        <v>6</v>
      </c>
      <c r="D42" s="6" t="s">
        <v>514</v>
      </c>
      <c r="E42" s="5">
        <v>1</v>
      </c>
      <c r="G42" s="6" t="s">
        <v>445</v>
      </c>
      <c r="H42" s="5">
        <v>4</v>
      </c>
    </row>
    <row r="43" spans="1:8" x14ac:dyDescent="0.25">
      <c r="A43" s="6" t="s">
        <v>446</v>
      </c>
      <c r="B43" s="5">
        <v>7</v>
      </c>
      <c r="D43" s="6" t="s">
        <v>527</v>
      </c>
      <c r="E43" s="5">
        <v>0</v>
      </c>
      <c r="G43" s="6" t="s">
        <v>446</v>
      </c>
      <c r="H43" s="5">
        <v>2</v>
      </c>
    </row>
    <row r="44" spans="1:8" x14ac:dyDescent="0.25">
      <c r="A44" s="6" t="s">
        <v>447</v>
      </c>
      <c r="B44" s="5">
        <v>2</v>
      </c>
      <c r="D44" s="6" t="s">
        <v>535</v>
      </c>
      <c r="E44" s="5">
        <v>2</v>
      </c>
      <c r="G44" s="6" t="s">
        <v>447</v>
      </c>
      <c r="H44" s="5">
        <v>1</v>
      </c>
    </row>
    <row r="45" spans="1:8" x14ac:dyDescent="0.25">
      <c r="A45" s="6" t="s">
        <v>448</v>
      </c>
      <c r="B45" s="5">
        <v>3</v>
      </c>
      <c r="D45" s="6" t="s">
        <v>541</v>
      </c>
      <c r="E45" s="5">
        <v>3</v>
      </c>
      <c r="G45" s="6" t="s">
        <v>448</v>
      </c>
      <c r="H45" s="5">
        <v>0</v>
      </c>
    </row>
    <row r="46" spans="1:8" x14ac:dyDescent="0.25">
      <c r="A46" s="6" t="s">
        <v>449</v>
      </c>
      <c r="B46" s="5">
        <v>9</v>
      </c>
      <c r="D46" s="6" t="s">
        <v>551</v>
      </c>
      <c r="E46" s="5">
        <v>1</v>
      </c>
      <c r="G46" s="6" t="s">
        <v>449</v>
      </c>
      <c r="H46" s="5">
        <v>1</v>
      </c>
    </row>
    <row r="47" spans="1:8" x14ac:dyDescent="0.25">
      <c r="A47" s="6" t="s">
        <v>450</v>
      </c>
      <c r="B47" s="5">
        <v>1</v>
      </c>
      <c r="D47" s="6" t="s">
        <v>559</v>
      </c>
      <c r="E47" s="5">
        <v>4</v>
      </c>
      <c r="G47" s="6" t="s">
        <v>450</v>
      </c>
      <c r="H47" s="5">
        <v>0</v>
      </c>
    </row>
    <row r="48" spans="1:8" x14ac:dyDescent="0.25">
      <c r="A48" s="6" t="s">
        <v>492</v>
      </c>
      <c r="B48" s="5">
        <v>2</v>
      </c>
      <c r="D48" s="6" t="s">
        <v>571</v>
      </c>
      <c r="E48" s="5">
        <v>1</v>
      </c>
      <c r="G48" s="6" t="s">
        <v>492</v>
      </c>
      <c r="H48" s="5">
        <v>0</v>
      </c>
    </row>
    <row r="49" spans="1:8" x14ac:dyDescent="0.25">
      <c r="A49" s="6" t="s">
        <v>451</v>
      </c>
      <c r="B49" s="5">
        <v>3</v>
      </c>
      <c r="D49" s="6" t="s">
        <v>578</v>
      </c>
      <c r="E49" s="5">
        <v>2</v>
      </c>
      <c r="G49" s="6" t="s">
        <v>451</v>
      </c>
      <c r="H49" s="5">
        <v>1</v>
      </c>
    </row>
    <row r="50" spans="1:8" x14ac:dyDescent="0.25">
      <c r="A50" s="6" t="s">
        <v>452</v>
      </c>
      <c r="B50" s="5">
        <v>2</v>
      </c>
      <c r="D50" s="6" t="s">
        <v>585</v>
      </c>
      <c r="E50" s="5">
        <v>2</v>
      </c>
      <c r="G50" s="6" t="s">
        <v>452</v>
      </c>
      <c r="H50" s="5">
        <v>5</v>
      </c>
    </row>
    <row r="51" spans="1:8" x14ac:dyDescent="0.25">
      <c r="A51" s="6" t="s">
        <v>453</v>
      </c>
      <c r="B51" s="5">
        <v>2</v>
      </c>
      <c r="D51" s="6" t="s">
        <v>589</v>
      </c>
      <c r="E51" s="5">
        <v>2</v>
      </c>
      <c r="G51" s="6" t="s">
        <v>453</v>
      </c>
      <c r="H51" s="5">
        <v>0</v>
      </c>
    </row>
    <row r="52" spans="1:8" x14ac:dyDescent="0.25">
      <c r="A52" s="6" t="s">
        <v>454</v>
      </c>
      <c r="B52" s="5">
        <v>3</v>
      </c>
      <c r="D52" s="6" t="s">
        <v>515</v>
      </c>
      <c r="E52" s="5">
        <v>0</v>
      </c>
      <c r="G52" s="6" t="s">
        <v>454</v>
      </c>
      <c r="H52" s="5">
        <v>2</v>
      </c>
    </row>
    <row r="53" spans="1:8" x14ac:dyDescent="0.25">
      <c r="A53" s="6" t="s">
        <v>455</v>
      </c>
      <c r="B53" s="5">
        <v>4</v>
      </c>
      <c r="D53" s="6" t="s">
        <v>528</v>
      </c>
      <c r="E53" s="5">
        <v>7</v>
      </c>
      <c r="G53" s="6" t="s">
        <v>455</v>
      </c>
      <c r="H53" s="5">
        <v>1</v>
      </c>
    </row>
    <row r="54" spans="1:8" x14ac:dyDescent="0.25">
      <c r="A54" s="6" t="s">
        <v>456</v>
      </c>
      <c r="B54" s="5">
        <v>1</v>
      </c>
      <c r="D54" s="6" t="s">
        <v>542</v>
      </c>
      <c r="E54" s="5">
        <v>12</v>
      </c>
      <c r="G54" s="6" t="s">
        <v>456</v>
      </c>
      <c r="H54" s="5">
        <v>0</v>
      </c>
    </row>
    <row r="55" spans="1:8" x14ac:dyDescent="0.25">
      <c r="A55" s="6" t="s">
        <v>457</v>
      </c>
      <c r="B55" s="5">
        <v>0</v>
      </c>
      <c r="D55" s="6" t="s">
        <v>552</v>
      </c>
      <c r="E55" s="5">
        <v>5</v>
      </c>
      <c r="G55" s="6" t="s">
        <v>457</v>
      </c>
      <c r="H55" s="5">
        <v>1</v>
      </c>
    </row>
    <row r="56" spans="1:8" x14ac:dyDescent="0.25">
      <c r="A56" s="6" t="s">
        <v>493</v>
      </c>
      <c r="B56" s="5">
        <v>0</v>
      </c>
      <c r="D56" s="6" t="s">
        <v>560</v>
      </c>
      <c r="E56" s="5">
        <v>10</v>
      </c>
      <c r="G56" s="6" t="s">
        <v>493</v>
      </c>
      <c r="H56" s="5">
        <v>1</v>
      </c>
    </row>
    <row r="57" spans="1:8" x14ac:dyDescent="0.25">
      <c r="A57" s="6" t="s">
        <v>458</v>
      </c>
      <c r="B57" s="5">
        <v>3</v>
      </c>
      <c r="D57" s="6" t="s">
        <v>516</v>
      </c>
      <c r="E57" s="5">
        <v>3</v>
      </c>
      <c r="G57" s="6" t="s">
        <v>458</v>
      </c>
      <c r="H57" s="5">
        <v>4</v>
      </c>
    </row>
    <row r="58" spans="1:8" x14ac:dyDescent="0.25">
      <c r="A58" s="6" t="s">
        <v>459</v>
      </c>
      <c r="B58" s="5">
        <v>1</v>
      </c>
      <c r="D58" s="6" t="s">
        <v>529</v>
      </c>
      <c r="E58" s="5">
        <v>7</v>
      </c>
      <c r="G58" s="6" t="s">
        <v>459</v>
      </c>
      <c r="H58" s="5">
        <v>2</v>
      </c>
    </row>
    <row r="59" spans="1:8" x14ac:dyDescent="0.25">
      <c r="A59" s="6" t="s">
        <v>494</v>
      </c>
      <c r="B59" s="5">
        <v>1</v>
      </c>
      <c r="D59" s="6" t="s">
        <v>543</v>
      </c>
      <c r="E59" s="5">
        <v>6</v>
      </c>
      <c r="G59" s="6" t="s">
        <v>494</v>
      </c>
      <c r="H59" s="5">
        <v>0</v>
      </c>
    </row>
    <row r="60" spans="1:8" x14ac:dyDescent="0.25">
      <c r="A60" s="6" t="s">
        <v>460</v>
      </c>
      <c r="B60" s="5">
        <v>3</v>
      </c>
      <c r="D60" s="6" t="s">
        <v>553</v>
      </c>
      <c r="E60" s="5">
        <v>7</v>
      </c>
      <c r="G60" s="6" t="s">
        <v>460</v>
      </c>
      <c r="H60" s="5">
        <v>1</v>
      </c>
    </row>
    <row r="61" spans="1:8" x14ac:dyDescent="0.25">
      <c r="A61" s="6" t="s">
        <v>461</v>
      </c>
      <c r="B61" s="5">
        <v>2</v>
      </c>
      <c r="D61" s="6" t="s">
        <v>561</v>
      </c>
      <c r="E61" s="5">
        <v>8</v>
      </c>
      <c r="G61" s="6" t="s">
        <v>461</v>
      </c>
      <c r="H61" s="5">
        <v>0</v>
      </c>
    </row>
    <row r="62" spans="1:8" x14ac:dyDescent="0.25">
      <c r="A62" s="6" t="s">
        <v>495</v>
      </c>
      <c r="B62" s="5">
        <v>0</v>
      </c>
      <c r="D62" s="6" t="s">
        <v>572</v>
      </c>
      <c r="E62" s="5">
        <v>2</v>
      </c>
      <c r="G62" s="6" t="s">
        <v>495</v>
      </c>
      <c r="H62" s="5">
        <v>1</v>
      </c>
    </row>
    <row r="63" spans="1:8" x14ac:dyDescent="0.25">
      <c r="A63" s="6" t="s">
        <v>496</v>
      </c>
      <c r="B63" s="5">
        <v>0</v>
      </c>
      <c r="D63" s="6" t="s">
        <v>517</v>
      </c>
      <c r="E63" s="5">
        <v>1</v>
      </c>
      <c r="G63" s="6" t="s">
        <v>496</v>
      </c>
      <c r="H63" s="5">
        <v>1</v>
      </c>
    </row>
    <row r="64" spans="1:8" x14ac:dyDescent="0.25">
      <c r="A64" s="6" t="s">
        <v>462</v>
      </c>
      <c r="B64" s="5">
        <v>7</v>
      </c>
      <c r="D64" s="6" t="s">
        <v>530</v>
      </c>
      <c r="E64" s="5">
        <v>0</v>
      </c>
      <c r="G64" s="6" t="s">
        <v>462</v>
      </c>
      <c r="H64" s="5">
        <v>9</v>
      </c>
    </row>
    <row r="65" spans="1:8" x14ac:dyDescent="0.25">
      <c r="A65" s="6" t="s">
        <v>463</v>
      </c>
      <c r="B65" s="5">
        <v>1</v>
      </c>
      <c r="D65" s="6" t="s">
        <v>536</v>
      </c>
      <c r="E65" s="5">
        <v>0</v>
      </c>
      <c r="G65" s="6" t="s">
        <v>463</v>
      </c>
      <c r="H65" s="5">
        <v>0</v>
      </c>
    </row>
    <row r="66" spans="1:8" x14ac:dyDescent="0.25">
      <c r="A66" s="6" t="s">
        <v>464</v>
      </c>
      <c r="B66" s="5">
        <v>1</v>
      </c>
      <c r="D66" s="6" t="s">
        <v>544</v>
      </c>
      <c r="E66" s="5">
        <v>1</v>
      </c>
      <c r="G66" s="6" t="s">
        <v>464</v>
      </c>
      <c r="H66" s="5">
        <v>0</v>
      </c>
    </row>
    <row r="67" spans="1:8" x14ac:dyDescent="0.25">
      <c r="A67" s="6" t="s">
        <v>465</v>
      </c>
      <c r="B67" s="5">
        <v>1</v>
      </c>
      <c r="D67" s="6" t="s">
        <v>554</v>
      </c>
      <c r="E67" s="5">
        <v>0</v>
      </c>
      <c r="G67" s="6" t="s">
        <v>465</v>
      </c>
      <c r="H67" s="5">
        <v>0</v>
      </c>
    </row>
    <row r="68" spans="1:8" x14ac:dyDescent="0.25">
      <c r="A68" s="6" t="s">
        <v>497</v>
      </c>
      <c r="B68" s="5">
        <v>1</v>
      </c>
      <c r="D68" s="6" t="s">
        <v>562</v>
      </c>
      <c r="E68" s="5">
        <v>0</v>
      </c>
      <c r="G68" s="6" t="s">
        <v>497</v>
      </c>
      <c r="H68" s="5">
        <v>1</v>
      </c>
    </row>
    <row r="69" spans="1:8" x14ac:dyDescent="0.25">
      <c r="A69" s="6" t="s">
        <v>466</v>
      </c>
      <c r="B69" s="5">
        <v>7</v>
      </c>
      <c r="D69" s="6" t="s">
        <v>566</v>
      </c>
      <c r="E69" s="5">
        <v>0</v>
      </c>
      <c r="G69" s="6" t="s">
        <v>466</v>
      </c>
      <c r="H69" s="5">
        <v>7</v>
      </c>
    </row>
    <row r="70" spans="1:8" x14ac:dyDescent="0.25">
      <c r="A70" s="6" t="s">
        <v>498</v>
      </c>
      <c r="B70" s="5">
        <v>1</v>
      </c>
      <c r="D70" s="6" t="s">
        <v>573</v>
      </c>
      <c r="E70" s="5">
        <v>0</v>
      </c>
      <c r="G70" s="6" t="s">
        <v>498</v>
      </c>
      <c r="H70" s="5">
        <v>0</v>
      </c>
    </row>
    <row r="71" spans="1:8" x14ac:dyDescent="0.25">
      <c r="A71" s="6" t="s">
        <v>467</v>
      </c>
      <c r="B71" s="5">
        <v>6</v>
      </c>
      <c r="D71" s="6" t="s">
        <v>586</v>
      </c>
      <c r="E71" s="5">
        <v>0</v>
      </c>
      <c r="G71" s="6" t="s">
        <v>467</v>
      </c>
      <c r="H71" s="5">
        <v>6</v>
      </c>
    </row>
    <row r="72" spans="1:8" x14ac:dyDescent="0.25">
      <c r="A72" s="6" t="s">
        <v>468</v>
      </c>
      <c r="B72" s="5">
        <v>4</v>
      </c>
      <c r="D72" s="6" t="s">
        <v>590</v>
      </c>
      <c r="E72" s="5">
        <v>0</v>
      </c>
      <c r="G72" s="6" t="s">
        <v>468</v>
      </c>
      <c r="H72" s="5">
        <v>2</v>
      </c>
    </row>
    <row r="73" spans="1:8" x14ac:dyDescent="0.25">
      <c r="A73" s="6" t="s">
        <v>469</v>
      </c>
      <c r="B73" s="5">
        <v>2</v>
      </c>
      <c r="D73" s="6" t="s">
        <v>518</v>
      </c>
      <c r="E73" s="5">
        <v>13</v>
      </c>
      <c r="G73" s="6" t="s">
        <v>469</v>
      </c>
      <c r="H73" s="5">
        <v>3</v>
      </c>
    </row>
    <row r="74" spans="1:8" x14ac:dyDescent="0.25">
      <c r="A74" s="6" t="s">
        <v>470</v>
      </c>
      <c r="B74" s="5">
        <v>1</v>
      </c>
      <c r="D74" s="6" t="s">
        <v>531</v>
      </c>
      <c r="E74" s="5">
        <v>13</v>
      </c>
      <c r="G74" s="6" t="s">
        <v>470</v>
      </c>
      <c r="H74" s="5">
        <v>0</v>
      </c>
    </row>
    <row r="75" spans="1:8" x14ac:dyDescent="0.25">
      <c r="A75" s="6" t="s">
        <v>499</v>
      </c>
      <c r="B75" s="5">
        <v>2</v>
      </c>
      <c r="D75" s="6" t="s">
        <v>545</v>
      </c>
      <c r="E75" s="5">
        <v>18</v>
      </c>
      <c r="G75" s="6" t="s">
        <v>499</v>
      </c>
      <c r="H75" s="5">
        <v>1</v>
      </c>
    </row>
    <row r="76" spans="1:8" x14ac:dyDescent="0.25">
      <c r="A76" s="6" t="s">
        <v>471</v>
      </c>
      <c r="B76" s="5">
        <v>6</v>
      </c>
      <c r="D76" s="6" t="s">
        <v>555</v>
      </c>
      <c r="E76" s="5">
        <v>6</v>
      </c>
      <c r="G76" s="6" t="s">
        <v>471</v>
      </c>
      <c r="H76" s="5">
        <v>2</v>
      </c>
    </row>
    <row r="77" spans="1:8" x14ac:dyDescent="0.25">
      <c r="A77" s="6" t="s">
        <v>472</v>
      </c>
      <c r="B77" s="5">
        <v>5</v>
      </c>
      <c r="D77" s="6" t="s">
        <v>563</v>
      </c>
      <c r="E77" s="5">
        <v>13</v>
      </c>
      <c r="G77" s="6" t="s">
        <v>472</v>
      </c>
      <c r="H77" s="5">
        <v>1</v>
      </c>
    </row>
    <row r="78" spans="1:8" x14ac:dyDescent="0.25">
      <c r="A78" s="6" t="s">
        <v>473</v>
      </c>
      <c r="B78" s="5">
        <v>9</v>
      </c>
      <c r="D78" s="6" t="s">
        <v>574</v>
      </c>
      <c r="E78" s="5">
        <v>14</v>
      </c>
      <c r="G78" s="6" t="s">
        <v>473</v>
      </c>
      <c r="H78" s="5">
        <v>8</v>
      </c>
    </row>
    <row r="79" spans="1:8" x14ac:dyDescent="0.25">
      <c r="A79" s="6" t="s">
        <v>474</v>
      </c>
      <c r="B79" s="5">
        <v>1</v>
      </c>
      <c r="D79" s="6" t="s">
        <v>579</v>
      </c>
      <c r="E79" s="5">
        <v>12</v>
      </c>
      <c r="G79" s="6" t="s">
        <v>474</v>
      </c>
      <c r="H79" s="5">
        <v>1</v>
      </c>
    </row>
    <row r="80" spans="1:8" x14ac:dyDescent="0.25">
      <c r="A80" s="6" t="s">
        <v>475</v>
      </c>
      <c r="B80" s="5">
        <v>0</v>
      </c>
      <c r="D80" s="6" t="s">
        <v>519</v>
      </c>
      <c r="E80" s="5">
        <v>0</v>
      </c>
      <c r="G80" s="6" t="s">
        <v>475</v>
      </c>
      <c r="H80" s="5">
        <v>1</v>
      </c>
    </row>
    <row r="81" spans="1:8" x14ac:dyDescent="0.25">
      <c r="A81" s="6" t="s">
        <v>476</v>
      </c>
      <c r="B81" s="5">
        <v>1</v>
      </c>
      <c r="D81" s="6" t="s">
        <v>532</v>
      </c>
      <c r="E81" s="5">
        <v>1</v>
      </c>
      <c r="G81" s="6" t="s">
        <v>476</v>
      </c>
      <c r="H81" s="5">
        <v>0</v>
      </c>
    </row>
    <row r="82" spans="1:8" x14ac:dyDescent="0.25">
      <c r="A82" s="6" t="s">
        <v>500</v>
      </c>
      <c r="B82" s="5">
        <v>1</v>
      </c>
      <c r="D82" s="6" t="s">
        <v>546</v>
      </c>
      <c r="E82" s="5">
        <v>1</v>
      </c>
      <c r="G82" s="6" t="s">
        <v>500</v>
      </c>
      <c r="H82" s="5">
        <v>2</v>
      </c>
    </row>
    <row r="83" spans="1:8" x14ac:dyDescent="0.25">
      <c r="A83" s="6" t="s">
        <v>501</v>
      </c>
      <c r="B83" s="5">
        <v>1</v>
      </c>
      <c r="D83" s="6" t="s">
        <v>556</v>
      </c>
      <c r="E83" s="5">
        <v>1</v>
      </c>
      <c r="G83" s="6" t="s">
        <v>501</v>
      </c>
      <c r="H83" s="5">
        <v>0</v>
      </c>
    </row>
    <row r="84" spans="1:8" x14ac:dyDescent="0.25">
      <c r="A84" s="6" t="s">
        <v>477</v>
      </c>
      <c r="B84" s="5">
        <v>6</v>
      </c>
      <c r="D84" s="6" t="s">
        <v>564</v>
      </c>
      <c r="E84" s="5">
        <v>1</v>
      </c>
      <c r="G84" s="6" t="s">
        <v>477</v>
      </c>
      <c r="H84" s="5">
        <v>2</v>
      </c>
    </row>
    <row r="85" spans="1:8" x14ac:dyDescent="0.25">
      <c r="A85" s="6" t="s">
        <v>478</v>
      </c>
      <c r="B85" s="5">
        <v>0</v>
      </c>
      <c r="D85" s="6" t="s">
        <v>575</v>
      </c>
      <c r="E85" s="5">
        <v>0</v>
      </c>
      <c r="G85" s="6" t="s">
        <v>478</v>
      </c>
      <c r="H85" s="5">
        <v>1</v>
      </c>
    </row>
    <row r="86" spans="1:8" x14ac:dyDescent="0.25">
      <c r="A86" s="6" t="s">
        <v>502</v>
      </c>
      <c r="B86" s="5">
        <v>0</v>
      </c>
      <c r="D86" s="6" t="s">
        <v>580</v>
      </c>
      <c r="E86" s="5">
        <v>1</v>
      </c>
      <c r="G86" s="6" t="s">
        <v>502</v>
      </c>
      <c r="H86" s="5">
        <v>0</v>
      </c>
    </row>
    <row r="87" spans="1:8" x14ac:dyDescent="0.25">
      <c r="A87" s="6" t="s">
        <v>503</v>
      </c>
      <c r="B87" s="5">
        <v>0</v>
      </c>
      <c r="D87" s="6" t="s">
        <v>587</v>
      </c>
      <c r="E87" s="5">
        <v>0</v>
      </c>
      <c r="G87" s="6" t="s">
        <v>503</v>
      </c>
      <c r="H87" s="5">
        <v>1</v>
      </c>
    </row>
    <row r="88" spans="1:8" x14ac:dyDescent="0.25">
      <c r="A88" s="6" t="s">
        <v>411</v>
      </c>
      <c r="B88" s="5">
        <v>294</v>
      </c>
      <c r="D88" s="6" t="s">
        <v>411</v>
      </c>
      <c r="E88" s="5">
        <v>299</v>
      </c>
      <c r="G88" s="6" t="s">
        <v>411</v>
      </c>
      <c r="H88" s="5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747"/>
  <sheetViews>
    <sheetView topLeftCell="B1" workbookViewId="0">
      <selection activeCell="B2" sqref="B2"/>
    </sheetView>
  </sheetViews>
  <sheetFormatPr baseColWidth="10" defaultRowHeight="15" x14ac:dyDescent="0.25"/>
  <cols>
    <col min="4" max="4" width="11.42578125" style="2"/>
    <col min="11" max="11" width="18.7109375" customWidth="1"/>
    <col min="12" max="12" width="17.28515625" customWidth="1"/>
    <col min="13" max="13" width="13.28515625" customWidth="1"/>
    <col min="14" max="14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479</v>
      </c>
      <c r="L1" t="s">
        <v>480</v>
      </c>
      <c r="M1" t="s">
        <v>406</v>
      </c>
      <c r="N1" t="s">
        <v>407</v>
      </c>
      <c r="O1" t="s">
        <v>408</v>
      </c>
    </row>
    <row r="2" spans="1:15" hidden="1" x14ac:dyDescent="0.25">
      <c r="A2" s="1">
        <v>6028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>
        <v>0</v>
      </c>
      <c r="I2">
        <v>4</v>
      </c>
      <c r="J2">
        <v>1</v>
      </c>
      <c r="K2" t="str">
        <f>CONCATENATE(B2,C2)</f>
        <v>ChileUruguay</v>
      </c>
      <c r="L2" t="str">
        <f>CONCATENATE(C2,B2)</f>
        <v>UruguayChile</v>
      </c>
      <c r="M2">
        <f t="shared" ref="M2:M33" si="0">IF(H2&gt;I2,1,0)</f>
        <v>0</v>
      </c>
      <c r="N2">
        <f>IF(I2&gt;H2,1,0)</f>
        <v>1</v>
      </c>
      <c r="O2">
        <f>IF(I2=H2,1,0)</f>
        <v>0</v>
      </c>
    </row>
    <row r="3" spans="1:15" hidden="1" x14ac:dyDescent="0.25">
      <c r="A3" s="1">
        <v>6032</v>
      </c>
      <c r="B3" t="s">
        <v>16</v>
      </c>
      <c r="C3" t="s">
        <v>10</v>
      </c>
      <c r="D3" s="3">
        <v>42010</v>
      </c>
      <c r="E3" t="s">
        <v>17</v>
      </c>
      <c r="F3" t="s">
        <v>14</v>
      </c>
      <c r="G3" t="s">
        <v>18</v>
      </c>
      <c r="H3">
        <v>6</v>
      </c>
      <c r="I3">
        <v>1</v>
      </c>
      <c r="J3">
        <v>1</v>
      </c>
      <c r="K3" t="str">
        <f t="shared" ref="K3:K66" si="1">CONCATENATE(B3,C3)</f>
        <v>ArgentinaChile</v>
      </c>
      <c r="L3" t="str">
        <f t="shared" ref="L3:L66" si="2">CONCATENATE(C3,B3)</f>
        <v>ChileArgentina</v>
      </c>
      <c r="M3">
        <f t="shared" si="0"/>
        <v>1</v>
      </c>
      <c r="N3">
        <f t="shared" ref="N3:N66" si="3">IF(I3&gt;H3,1,0)</f>
        <v>0</v>
      </c>
      <c r="O3">
        <f t="shared" ref="O3:O66" si="4">IF(I3=H3,1,0)</f>
        <v>0</v>
      </c>
    </row>
    <row r="4" spans="1:15" hidden="1" x14ac:dyDescent="0.25">
      <c r="A4" s="1">
        <v>6034</v>
      </c>
      <c r="B4" t="s">
        <v>10</v>
      </c>
      <c r="C4" t="s">
        <v>19</v>
      </c>
      <c r="D4" s="3">
        <v>42005</v>
      </c>
      <c r="E4" t="s">
        <v>13</v>
      </c>
      <c r="F4" t="s">
        <v>14</v>
      </c>
      <c r="G4" t="s">
        <v>20</v>
      </c>
      <c r="H4">
        <v>1</v>
      </c>
      <c r="I4">
        <v>1</v>
      </c>
      <c r="J4">
        <v>1</v>
      </c>
      <c r="K4" t="str">
        <f t="shared" si="1"/>
        <v>ChileBrazil</v>
      </c>
      <c r="L4" t="str">
        <f t="shared" si="2"/>
        <v>BrazilChile</v>
      </c>
      <c r="M4">
        <f t="shared" si="0"/>
        <v>0</v>
      </c>
      <c r="N4">
        <f t="shared" si="3"/>
        <v>0</v>
      </c>
      <c r="O4">
        <f t="shared" si="4"/>
        <v>1</v>
      </c>
    </row>
    <row r="5" spans="1:15" hidden="1" x14ac:dyDescent="0.25">
      <c r="A5" s="1">
        <v>6036</v>
      </c>
      <c r="B5" t="s">
        <v>16</v>
      </c>
      <c r="C5" t="s">
        <v>19</v>
      </c>
      <c r="D5" s="3">
        <v>42005</v>
      </c>
      <c r="E5" t="s">
        <v>17</v>
      </c>
      <c r="F5" t="s">
        <v>14</v>
      </c>
      <c r="G5" t="s">
        <v>21</v>
      </c>
      <c r="H5">
        <v>1</v>
      </c>
      <c r="I5">
        <v>1</v>
      </c>
      <c r="J5">
        <v>1</v>
      </c>
      <c r="K5" t="str">
        <f t="shared" si="1"/>
        <v>ArgentinaBrazil</v>
      </c>
      <c r="L5" t="str">
        <f t="shared" si="2"/>
        <v>BrazilArgentina</v>
      </c>
      <c r="M5">
        <f t="shared" si="0"/>
        <v>0</v>
      </c>
      <c r="N5">
        <f t="shared" si="3"/>
        <v>0</v>
      </c>
      <c r="O5">
        <f t="shared" si="4"/>
        <v>1</v>
      </c>
    </row>
    <row r="6" spans="1:15" x14ac:dyDescent="0.25">
      <c r="A6" s="1">
        <v>6038</v>
      </c>
      <c r="B6" t="s">
        <v>11</v>
      </c>
      <c r="C6" t="s">
        <v>19</v>
      </c>
      <c r="D6" s="3">
        <v>42006</v>
      </c>
      <c r="E6" t="s">
        <v>22</v>
      </c>
      <c r="F6" t="s">
        <v>14</v>
      </c>
      <c r="G6" t="s">
        <v>23</v>
      </c>
      <c r="H6">
        <v>2</v>
      </c>
      <c r="I6">
        <v>1</v>
      </c>
      <c r="J6">
        <v>1</v>
      </c>
      <c r="K6" t="str">
        <f t="shared" si="1"/>
        <v>UruguayBrazil</v>
      </c>
      <c r="L6" t="str">
        <f t="shared" si="2"/>
        <v>BrazilUruguay</v>
      </c>
      <c r="M6">
        <f t="shared" si="0"/>
        <v>1</v>
      </c>
      <c r="N6">
        <f t="shared" si="3"/>
        <v>0</v>
      </c>
      <c r="O6">
        <f t="shared" si="4"/>
        <v>0</v>
      </c>
    </row>
    <row r="7" spans="1:15" hidden="1" x14ac:dyDescent="0.25">
      <c r="A7" s="1">
        <v>6043</v>
      </c>
      <c r="B7" t="s">
        <v>16</v>
      </c>
      <c r="C7" t="s">
        <v>11</v>
      </c>
      <c r="D7" s="2" t="s">
        <v>24</v>
      </c>
      <c r="E7" t="s">
        <v>25</v>
      </c>
      <c r="F7" t="s">
        <v>14</v>
      </c>
      <c r="G7" t="s">
        <v>26</v>
      </c>
      <c r="H7">
        <v>0</v>
      </c>
      <c r="I7">
        <v>0</v>
      </c>
      <c r="J7">
        <v>1</v>
      </c>
      <c r="K7" t="str">
        <f t="shared" si="1"/>
        <v>ArgentinaUruguay</v>
      </c>
      <c r="L7" t="str">
        <f t="shared" si="2"/>
        <v>UruguayArgentina</v>
      </c>
      <c r="M7">
        <f t="shared" si="0"/>
        <v>0</v>
      </c>
      <c r="N7">
        <f t="shared" si="3"/>
        <v>0</v>
      </c>
      <c r="O7">
        <f t="shared" si="4"/>
        <v>1</v>
      </c>
    </row>
    <row r="8" spans="1:15" hidden="1" x14ac:dyDescent="0.25">
      <c r="A8" s="1">
        <v>6483</v>
      </c>
      <c r="B8" t="s">
        <v>10</v>
      </c>
      <c r="C8" t="s">
        <v>11</v>
      </c>
      <c r="D8" s="2" t="s">
        <v>12</v>
      </c>
      <c r="E8" t="s">
        <v>27</v>
      </c>
      <c r="F8" t="s">
        <v>14</v>
      </c>
      <c r="G8" t="s">
        <v>15</v>
      </c>
      <c r="H8">
        <v>0</v>
      </c>
      <c r="I8">
        <v>4</v>
      </c>
      <c r="J8">
        <v>2</v>
      </c>
      <c r="K8" t="str">
        <f t="shared" si="1"/>
        <v>ChileUruguay</v>
      </c>
      <c r="L8" t="str">
        <f t="shared" si="2"/>
        <v>UruguayChile</v>
      </c>
      <c r="M8">
        <f t="shared" si="0"/>
        <v>0</v>
      </c>
      <c r="N8">
        <f t="shared" si="3"/>
        <v>1</v>
      </c>
      <c r="O8">
        <f t="shared" si="4"/>
        <v>0</v>
      </c>
    </row>
    <row r="9" spans="1:15" hidden="1" x14ac:dyDescent="0.25">
      <c r="A9" s="1">
        <v>6486</v>
      </c>
      <c r="B9" t="s">
        <v>16</v>
      </c>
      <c r="C9" t="s">
        <v>19</v>
      </c>
      <c r="D9" s="3">
        <v>42039</v>
      </c>
      <c r="E9" t="s">
        <v>28</v>
      </c>
      <c r="F9" t="s">
        <v>14</v>
      </c>
      <c r="G9" t="s">
        <v>21</v>
      </c>
      <c r="H9">
        <v>4</v>
      </c>
      <c r="I9">
        <v>2</v>
      </c>
      <c r="J9">
        <v>2</v>
      </c>
      <c r="K9" t="str">
        <f t="shared" si="1"/>
        <v>ArgentinaBrazil</v>
      </c>
      <c r="L9" t="str">
        <f t="shared" si="2"/>
        <v>BrazilArgentina</v>
      </c>
      <c r="M9">
        <f t="shared" si="0"/>
        <v>1</v>
      </c>
      <c r="N9">
        <f t="shared" si="3"/>
        <v>0</v>
      </c>
      <c r="O9">
        <f t="shared" si="4"/>
        <v>0</v>
      </c>
    </row>
    <row r="10" spans="1:15" hidden="1" x14ac:dyDescent="0.25">
      <c r="A10" s="1">
        <v>6489</v>
      </c>
      <c r="B10" t="s">
        <v>16</v>
      </c>
      <c r="C10" t="s">
        <v>10</v>
      </c>
      <c r="D10" s="2" t="s">
        <v>29</v>
      </c>
      <c r="E10" t="s">
        <v>28</v>
      </c>
      <c r="F10" t="s">
        <v>14</v>
      </c>
      <c r="G10" t="s">
        <v>18</v>
      </c>
      <c r="H10">
        <v>1</v>
      </c>
      <c r="I10">
        <v>0</v>
      </c>
      <c r="J10">
        <v>2</v>
      </c>
      <c r="K10" t="str">
        <f t="shared" si="1"/>
        <v>ArgentinaChile</v>
      </c>
      <c r="L10" t="str">
        <f t="shared" si="2"/>
        <v>ChileArgentina</v>
      </c>
      <c r="M10">
        <f t="shared" si="0"/>
        <v>1</v>
      </c>
      <c r="N10">
        <f t="shared" si="3"/>
        <v>0</v>
      </c>
      <c r="O10">
        <f t="shared" si="4"/>
        <v>0</v>
      </c>
    </row>
    <row r="11" spans="1:15" x14ac:dyDescent="0.25">
      <c r="A11" s="1">
        <v>6490</v>
      </c>
      <c r="B11" t="s">
        <v>11</v>
      </c>
      <c r="C11" t="s">
        <v>19</v>
      </c>
      <c r="D11" s="2" t="s">
        <v>30</v>
      </c>
      <c r="E11" t="s">
        <v>31</v>
      </c>
      <c r="F11" t="s">
        <v>14</v>
      </c>
      <c r="G11" t="s">
        <v>23</v>
      </c>
      <c r="H11">
        <v>4</v>
      </c>
      <c r="I11">
        <v>0</v>
      </c>
      <c r="J11">
        <v>2</v>
      </c>
      <c r="K11" t="str">
        <f t="shared" si="1"/>
        <v>UruguayBrazil</v>
      </c>
      <c r="L11" t="str">
        <f t="shared" si="2"/>
        <v>BrazilUruguay</v>
      </c>
      <c r="M11">
        <f t="shared" si="0"/>
        <v>1</v>
      </c>
      <c r="N11">
        <f t="shared" si="3"/>
        <v>0</v>
      </c>
      <c r="O11">
        <f t="shared" si="4"/>
        <v>0</v>
      </c>
    </row>
    <row r="12" spans="1:15" hidden="1" x14ac:dyDescent="0.25">
      <c r="A12" s="1">
        <v>6495</v>
      </c>
      <c r="B12" t="s">
        <v>10</v>
      </c>
      <c r="C12" t="s">
        <v>19</v>
      </c>
      <c r="D12" s="2" t="s">
        <v>32</v>
      </c>
      <c r="E12" t="s">
        <v>27</v>
      </c>
      <c r="F12" t="s">
        <v>14</v>
      </c>
      <c r="G12" t="s">
        <v>20</v>
      </c>
      <c r="H12">
        <v>0</v>
      </c>
      <c r="I12">
        <v>5</v>
      </c>
      <c r="J12">
        <v>2</v>
      </c>
      <c r="K12" t="str">
        <f t="shared" si="1"/>
        <v>ChileBrazil</v>
      </c>
      <c r="L12" t="str">
        <f t="shared" si="2"/>
        <v>BrazilChile</v>
      </c>
      <c r="M12">
        <f t="shared" si="0"/>
        <v>0</v>
      </c>
      <c r="N12">
        <f t="shared" si="3"/>
        <v>1</v>
      </c>
      <c r="O12">
        <f t="shared" si="4"/>
        <v>0</v>
      </c>
    </row>
    <row r="13" spans="1:15" hidden="1" x14ac:dyDescent="0.25">
      <c r="A13" s="1">
        <v>6497</v>
      </c>
      <c r="B13" t="s">
        <v>16</v>
      </c>
      <c r="C13" t="s">
        <v>11</v>
      </c>
      <c r="D13" s="2" t="s">
        <v>33</v>
      </c>
      <c r="E13" t="s">
        <v>28</v>
      </c>
      <c r="F13" t="s">
        <v>14</v>
      </c>
      <c r="G13" t="s">
        <v>26</v>
      </c>
      <c r="H13">
        <v>0</v>
      </c>
      <c r="I13">
        <v>1</v>
      </c>
      <c r="J13">
        <v>2</v>
      </c>
      <c r="K13" t="str">
        <f t="shared" si="1"/>
        <v>ArgentinaUruguay</v>
      </c>
      <c r="L13" t="str">
        <f t="shared" si="2"/>
        <v>UruguayArgentina</v>
      </c>
      <c r="M13">
        <f t="shared" si="0"/>
        <v>0</v>
      </c>
      <c r="N13">
        <f t="shared" si="3"/>
        <v>1</v>
      </c>
      <c r="O13">
        <f t="shared" si="4"/>
        <v>0</v>
      </c>
    </row>
    <row r="14" spans="1:15" hidden="1" x14ac:dyDescent="0.25">
      <c r="A14" s="1">
        <v>7071</v>
      </c>
      <c r="B14" t="s">
        <v>10</v>
      </c>
      <c r="C14" t="s">
        <v>19</v>
      </c>
      <c r="D14" s="2" t="s">
        <v>34</v>
      </c>
      <c r="E14" t="s">
        <v>35</v>
      </c>
      <c r="F14" t="s">
        <v>14</v>
      </c>
      <c r="G14" t="s">
        <v>20</v>
      </c>
      <c r="H14">
        <v>0</v>
      </c>
      <c r="I14">
        <v>6</v>
      </c>
      <c r="J14">
        <v>3</v>
      </c>
      <c r="K14" t="str">
        <f t="shared" si="1"/>
        <v>ChileBrazil</v>
      </c>
      <c r="L14" t="str">
        <f t="shared" si="2"/>
        <v>BrazilChile</v>
      </c>
      <c r="M14">
        <f t="shared" si="0"/>
        <v>0</v>
      </c>
      <c r="N14">
        <f t="shared" si="3"/>
        <v>1</v>
      </c>
      <c r="O14">
        <f t="shared" si="4"/>
        <v>0</v>
      </c>
    </row>
    <row r="15" spans="1:15" hidden="1" x14ac:dyDescent="0.25">
      <c r="A15" s="1">
        <v>7073</v>
      </c>
      <c r="B15" t="s">
        <v>16</v>
      </c>
      <c r="C15" t="s">
        <v>11</v>
      </c>
      <c r="D15" s="3">
        <v>42065</v>
      </c>
      <c r="E15" t="s">
        <v>36</v>
      </c>
      <c r="F15" t="s">
        <v>14</v>
      </c>
      <c r="G15" t="s">
        <v>26</v>
      </c>
      <c r="H15">
        <v>2</v>
      </c>
      <c r="I15">
        <v>3</v>
      </c>
      <c r="J15">
        <v>3</v>
      </c>
      <c r="K15" t="str">
        <f t="shared" si="1"/>
        <v>ArgentinaUruguay</v>
      </c>
      <c r="L15" t="str">
        <f t="shared" si="2"/>
        <v>UruguayArgentina</v>
      </c>
      <c r="M15">
        <f t="shared" si="0"/>
        <v>0</v>
      </c>
      <c r="N15">
        <f t="shared" si="3"/>
        <v>1</v>
      </c>
      <c r="O15">
        <f t="shared" si="4"/>
        <v>0</v>
      </c>
    </row>
    <row r="16" spans="1:15" hidden="1" x14ac:dyDescent="0.25">
      <c r="A16" s="1">
        <v>7077</v>
      </c>
      <c r="B16" t="s">
        <v>10</v>
      </c>
      <c r="C16" t="s">
        <v>11</v>
      </c>
      <c r="D16" s="2" t="s">
        <v>37</v>
      </c>
      <c r="E16" t="s">
        <v>35</v>
      </c>
      <c r="F16" t="s">
        <v>14</v>
      </c>
      <c r="G16" t="s">
        <v>15</v>
      </c>
      <c r="H16">
        <v>0</v>
      </c>
      <c r="I16">
        <v>2</v>
      </c>
      <c r="J16">
        <v>3</v>
      </c>
      <c r="K16" t="str">
        <f t="shared" si="1"/>
        <v>ChileUruguay</v>
      </c>
      <c r="L16" t="str">
        <f t="shared" si="2"/>
        <v>UruguayChile</v>
      </c>
      <c r="M16">
        <f t="shared" si="0"/>
        <v>0</v>
      </c>
      <c r="N16">
        <f t="shared" si="3"/>
        <v>1</v>
      </c>
      <c r="O16">
        <f t="shared" si="4"/>
        <v>0</v>
      </c>
    </row>
    <row r="17" spans="1:15" hidden="1" x14ac:dyDescent="0.25">
      <c r="A17" s="1">
        <v>7078</v>
      </c>
      <c r="B17" t="s">
        <v>16</v>
      </c>
      <c r="C17" t="s">
        <v>19</v>
      </c>
      <c r="D17" s="3">
        <v>42064</v>
      </c>
      <c r="E17" t="s">
        <v>36</v>
      </c>
      <c r="F17" t="s">
        <v>14</v>
      </c>
      <c r="G17" t="s">
        <v>21</v>
      </c>
      <c r="H17">
        <v>1</v>
      </c>
      <c r="I17">
        <v>3</v>
      </c>
      <c r="J17">
        <v>3</v>
      </c>
      <c r="K17" t="str">
        <f t="shared" si="1"/>
        <v>ArgentinaBrazil</v>
      </c>
      <c r="L17" t="str">
        <f t="shared" si="2"/>
        <v>BrazilArgentina</v>
      </c>
      <c r="M17">
        <f t="shared" si="0"/>
        <v>0</v>
      </c>
      <c r="N17">
        <f t="shared" si="3"/>
        <v>1</v>
      </c>
      <c r="O17">
        <f t="shared" si="4"/>
        <v>0</v>
      </c>
    </row>
    <row r="18" spans="1:15" hidden="1" x14ac:dyDescent="0.25">
      <c r="A18" s="1">
        <v>7082</v>
      </c>
      <c r="B18" t="s">
        <v>16</v>
      </c>
      <c r="C18" t="s">
        <v>10</v>
      </c>
      <c r="D18" s="3">
        <v>42008</v>
      </c>
      <c r="E18" t="s">
        <v>36</v>
      </c>
      <c r="F18" t="s">
        <v>14</v>
      </c>
      <c r="G18" t="s">
        <v>18</v>
      </c>
      <c r="H18">
        <v>4</v>
      </c>
      <c r="I18">
        <v>1</v>
      </c>
      <c r="J18">
        <v>3</v>
      </c>
      <c r="K18" t="str">
        <f t="shared" si="1"/>
        <v>ArgentinaChile</v>
      </c>
      <c r="L18" t="str">
        <f t="shared" si="2"/>
        <v>ChileArgentina</v>
      </c>
      <c r="M18">
        <f t="shared" si="0"/>
        <v>1</v>
      </c>
      <c r="N18">
        <f t="shared" si="3"/>
        <v>0</v>
      </c>
      <c r="O18">
        <f t="shared" si="4"/>
        <v>0</v>
      </c>
    </row>
    <row r="19" spans="1:15" x14ac:dyDescent="0.25">
      <c r="A19" s="1">
        <v>7085</v>
      </c>
      <c r="B19" t="s">
        <v>11</v>
      </c>
      <c r="C19" t="s">
        <v>19</v>
      </c>
      <c r="D19" s="3">
        <v>42037</v>
      </c>
      <c r="E19" t="s">
        <v>38</v>
      </c>
      <c r="F19" t="s">
        <v>14</v>
      </c>
      <c r="G19" t="s">
        <v>23</v>
      </c>
      <c r="H19">
        <v>2</v>
      </c>
      <c r="I19">
        <v>2</v>
      </c>
      <c r="J19">
        <v>3</v>
      </c>
      <c r="K19" t="str">
        <f t="shared" si="1"/>
        <v>UruguayBrazil</v>
      </c>
      <c r="L19" t="str">
        <f t="shared" si="2"/>
        <v>BrazilUruguay</v>
      </c>
      <c r="M19">
        <f t="shared" si="0"/>
        <v>0</v>
      </c>
      <c r="N19">
        <f t="shared" si="3"/>
        <v>0</v>
      </c>
      <c r="O19">
        <f t="shared" si="4"/>
        <v>1</v>
      </c>
    </row>
    <row r="20" spans="1:15" x14ac:dyDescent="0.25">
      <c r="A20" s="1">
        <v>7089</v>
      </c>
      <c r="B20" t="s">
        <v>11</v>
      </c>
      <c r="C20" t="s">
        <v>19</v>
      </c>
      <c r="D20" s="2" t="s">
        <v>33</v>
      </c>
      <c r="E20" t="s">
        <v>38</v>
      </c>
      <c r="F20" t="s">
        <v>14</v>
      </c>
      <c r="G20" t="s">
        <v>23</v>
      </c>
      <c r="H20">
        <v>0</v>
      </c>
      <c r="I20">
        <v>1</v>
      </c>
      <c r="J20">
        <v>3</v>
      </c>
      <c r="K20" t="str">
        <f t="shared" si="1"/>
        <v>UruguayBrazil</v>
      </c>
      <c r="L20" t="str">
        <f t="shared" si="2"/>
        <v>BrazilUruguay</v>
      </c>
      <c r="M20">
        <f t="shared" si="0"/>
        <v>0</v>
      </c>
      <c r="N20">
        <f t="shared" si="3"/>
        <v>1</v>
      </c>
      <c r="O20">
        <f t="shared" si="4"/>
        <v>0</v>
      </c>
    </row>
    <row r="21" spans="1:15" hidden="1" x14ac:dyDescent="0.25">
      <c r="A21" s="1">
        <v>7560</v>
      </c>
      <c r="B21" t="s">
        <v>10</v>
      </c>
      <c r="C21" t="s">
        <v>19</v>
      </c>
      <c r="D21" s="2" t="s">
        <v>33</v>
      </c>
      <c r="E21" t="s">
        <v>39</v>
      </c>
      <c r="F21" t="s">
        <v>14</v>
      </c>
      <c r="G21" t="s">
        <v>20</v>
      </c>
      <c r="H21">
        <v>0</v>
      </c>
      <c r="I21">
        <v>1</v>
      </c>
      <c r="J21">
        <v>4</v>
      </c>
      <c r="K21" t="str">
        <f t="shared" si="1"/>
        <v>ChileBrazil</v>
      </c>
      <c r="L21" t="str">
        <f t="shared" si="2"/>
        <v>BrazilChile</v>
      </c>
      <c r="M21">
        <f t="shared" si="0"/>
        <v>0</v>
      </c>
      <c r="N21">
        <f t="shared" si="3"/>
        <v>1</v>
      </c>
      <c r="O21">
        <f t="shared" si="4"/>
        <v>0</v>
      </c>
    </row>
    <row r="22" spans="1:15" hidden="1" x14ac:dyDescent="0.25">
      <c r="A22" s="1">
        <v>7561</v>
      </c>
      <c r="B22" t="s">
        <v>16</v>
      </c>
      <c r="C22" t="s">
        <v>11</v>
      </c>
      <c r="D22" s="3">
        <v>42005</v>
      </c>
      <c r="E22" t="s">
        <v>39</v>
      </c>
      <c r="F22" t="s">
        <v>14</v>
      </c>
      <c r="G22" t="s">
        <v>26</v>
      </c>
      <c r="H22">
        <v>1</v>
      </c>
      <c r="I22">
        <v>1</v>
      </c>
      <c r="J22">
        <v>4</v>
      </c>
      <c r="K22" t="str">
        <f t="shared" si="1"/>
        <v>ArgentinaUruguay</v>
      </c>
      <c r="L22" t="str">
        <f t="shared" si="2"/>
        <v>UruguayArgentina</v>
      </c>
      <c r="M22">
        <f t="shared" si="0"/>
        <v>0</v>
      </c>
      <c r="N22">
        <f t="shared" si="3"/>
        <v>0</v>
      </c>
      <c r="O22">
        <f t="shared" si="4"/>
        <v>1</v>
      </c>
    </row>
    <row r="23" spans="1:15" x14ac:dyDescent="0.25">
      <c r="A23" s="1">
        <v>7567</v>
      </c>
      <c r="B23" t="s">
        <v>11</v>
      </c>
      <c r="C23" t="s">
        <v>19</v>
      </c>
      <c r="D23" s="2" t="s">
        <v>40</v>
      </c>
      <c r="E23" t="s">
        <v>41</v>
      </c>
      <c r="F23" t="s">
        <v>14</v>
      </c>
      <c r="G23" t="s">
        <v>23</v>
      </c>
      <c r="H23">
        <v>6</v>
      </c>
      <c r="I23">
        <v>0</v>
      </c>
      <c r="J23">
        <v>4</v>
      </c>
      <c r="K23" t="str">
        <f t="shared" si="1"/>
        <v>UruguayBrazil</v>
      </c>
      <c r="L23" t="str">
        <f t="shared" si="2"/>
        <v>BrazilUruguay</v>
      </c>
      <c r="M23">
        <f t="shared" si="0"/>
        <v>1</v>
      </c>
      <c r="N23">
        <f t="shared" si="3"/>
        <v>0</v>
      </c>
      <c r="O23">
        <f t="shared" si="4"/>
        <v>0</v>
      </c>
    </row>
    <row r="24" spans="1:15" hidden="1" x14ac:dyDescent="0.25">
      <c r="A24" s="1">
        <v>7569</v>
      </c>
      <c r="B24" t="s">
        <v>16</v>
      </c>
      <c r="C24" t="s">
        <v>10</v>
      </c>
      <c r="D24" s="3">
        <v>42005</v>
      </c>
      <c r="E24" t="s">
        <v>39</v>
      </c>
      <c r="F24" t="s">
        <v>14</v>
      </c>
      <c r="G24" t="s">
        <v>18</v>
      </c>
      <c r="H24">
        <v>1</v>
      </c>
      <c r="I24">
        <v>1</v>
      </c>
      <c r="J24">
        <v>4</v>
      </c>
      <c r="K24" t="str">
        <f t="shared" si="1"/>
        <v>ArgentinaChile</v>
      </c>
      <c r="L24" t="str">
        <f t="shared" si="2"/>
        <v>ChileArgentina</v>
      </c>
      <c r="M24">
        <f t="shared" si="0"/>
        <v>0</v>
      </c>
      <c r="N24">
        <f t="shared" si="3"/>
        <v>0</v>
      </c>
      <c r="O24">
        <f t="shared" si="4"/>
        <v>1</v>
      </c>
    </row>
    <row r="25" spans="1:15" hidden="1" x14ac:dyDescent="0.25">
      <c r="A25" s="1">
        <v>7574</v>
      </c>
      <c r="B25" t="s">
        <v>16</v>
      </c>
      <c r="C25" t="s">
        <v>19</v>
      </c>
      <c r="D25" s="2" t="s">
        <v>42</v>
      </c>
      <c r="E25" t="s">
        <v>39</v>
      </c>
      <c r="F25" t="s">
        <v>14</v>
      </c>
      <c r="G25" t="s">
        <v>21</v>
      </c>
      <c r="H25">
        <v>2</v>
      </c>
      <c r="I25">
        <v>0</v>
      </c>
      <c r="J25">
        <v>4</v>
      </c>
      <c r="K25" t="str">
        <f t="shared" si="1"/>
        <v>ArgentinaBrazil</v>
      </c>
      <c r="L25" t="str">
        <f t="shared" si="2"/>
        <v>BrazilArgentina</v>
      </c>
      <c r="M25">
        <f t="shared" si="0"/>
        <v>1</v>
      </c>
      <c r="N25">
        <f t="shared" si="3"/>
        <v>0</v>
      </c>
      <c r="O25">
        <f t="shared" si="4"/>
        <v>0</v>
      </c>
    </row>
    <row r="26" spans="1:15" hidden="1" x14ac:dyDescent="0.25">
      <c r="A26" s="1">
        <v>7575</v>
      </c>
      <c r="B26" t="s">
        <v>10</v>
      </c>
      <c r="C26" t="s">
        <v>11</v>
      </c>
      <c r="D26" s="3">
        <v>42036</v>
      </c>
      <c r="E26" t="s">
        <v>39</v>
      </c>
      <c r="F26" t="s">
        <v>14</v>
      </c>
      <c r="G26" t="s">
        <v>15</v>
      </c>
      <c r="H26">
        <v>1</v>
      </c>
      <c r="I26">
        <v>2</v>
      </c>
      <c r="J26">
        <v>4</v>
      </c>
      <c r="K26" t="str">
        <f t="shared" si="1"/>
        <v>ChileUruguay</v>
      </c>
      <c r="L26" t="str">
        <f t="shared" si="2"/>
        <v>UruguayChile</v>
      </c>
      <c r="M26">
        <f t="shared" si="0"/>
        <v>0</v>
      </c>
      <c r="N26">
        <f t="shared" si="3"/>
        <v>1</v>
      </c>
      <c r="O26">
        <f t="shared" si="4"/>
        <v>0</v>
      </c>
    </row>
    <row r="27" spans="1:15" hidden="1" x14ac:dyDescent="0.25">
      <c r="A27" s="1">
        <v>7946</v>
      </c>
      <c r="B27" t="s">
        <v>16</v>
      </c>
      <c r="C27" t="s">
        <v>19</v>
      </c>
      <c r="D27" s="2" t="s">
        <v>29</v>
      </c>
      <c r="E27" t="s">
        <v>17</v>
      </c>
      <c r="F27" t="s">
        <v>14</v>
      </c>
      <c r="G27" t="s">
        <v>21</v>
      </c>
      <c r="H27">
        <v>1</v>
      </c>
      <c r="I27">
        <v>0</v>
      </c>
      <c r="J27">
        <v>5</v>
      </c>
      <c r="K27" t="str">
        <f t="shared" si="1"/>
        <v>ArgentinaBrazil</v>
      </c>
      <c r="L27" t="str">
        <f t="shared" si="2"/>
        <v>BrazilArgentina</v>
      </c>
      <c r="M27">
        <f t="shared" si="0"/>
        <v>1</v>
      </c>
      <c r="N27">
        <f t="shared" si="3"/>
        <v>0</v>
      </c>
      <c r="O27">
        <f t="shared" si="4"/>
        <v>0</v>
      </c>
    </row>
    <row r="28" spans="1:15" hidden="1" x14ac:dyDescent="0.25">
      <c r="A28" s="1">
        <v>7953</v>
      </c>
      <c r="B28" t="s">
        <v>43</v>
      </c>
      <c r="C28" t="s">
        <v>11</v>
      </c>
      <c r="D28" s="3">
        <v>42006</v>
      </c>
      <c r="E28" t="s">
        <v>13</v>
      </c>
      <c r="F28" t="s">
        <v>14</v>
      </c>
      <c r="G28" t="s">
        <v>44</v>
      </c>
      <c r="H28">
        <v>2</v>
      </c>
      <c r="I28">
        <v>1</v>
      </c>
      <c r="J28">
        <v>5</v>
      </c>
      <c r="K28" t="str">
        <f t="shared" si="1"/>
        <v>ParaguayUruguay</v>
      </c>
      <c r="L28" t="str">
        <f t="shared" si="2"/>
        <v>UruguayParaguay</v>
      </c>
      <c r="M28">
        <f t="shared" si="0"/>
        <v>1</v>
      </c>
      <c r="N28">
        <f t="shared" si="3"/>
        <v>0</v>
      </c>
      <c r="O28">
        <f t="shared" si="4"/>
        <v>0</v>
      </c>
    </row>
    <row r="29" spans="1:15" hidden="1" x14ac:dyDescent="0.25">
      <c r="A29" s="1">
        <v>7956</v>
      </c>
      <c r="B29" t="s">
        <v>43</v>
      </c>
      <c r="C29" t="s">
        <v>19</v>
      </c>
      <c r="D29" s="2" t="s">
        <v>45</v>
      </c>
      <c r="E29" t="s">
        <v>13</v>
      </c>
      <c r="F29" t="s">
        <v>14</v>
      </c>
      <c r="G29" t="s">
        <v>46</v>
      </c>
      <c r="H29">
        <v>0</v>
      </c>
      <c r="I29">
        <v>3</v>
      </c>
      <c r="J29">
        <v>5</v>
      </c>
      <c r="K29" t="str">
        <f t="shared" si="1"/>
        <v>ParaguayBrazil</v>
      </c>
      <c r="L29" t="str">
        <f t="shared" si="2"/>
        <v>BrazilParaguay</v>
      </c>
      <c r="M29">
        <f t="shared" si="0"/>
        <v>0</v>
      </c>
      <c r="N29">
        <f t="shared" si="3"/>
        <v>1</v>
      </c>
      <c r="O29">
        <f t="shared" si="4"/>
        <v>0</v>
      </c>
    </row>
    <row r="30" spans="1:15" hidden="1" x14ac:dyDescent="0.25">
      <c r="A30" s="1">
        <v>7960</v>
      </c>
      <c r="B30" t="s">
        <v>16</v>
      </c>
      <c r="C30" t="s">
        <v>43</v>
      </c>
      <c r="D30" s="2" t="s">
        <v>47</v>
      </c>
      <c r="E30" t="s">
        <v>17</v>
      </c>
      <c r="F30" t="s">
        <v>14</v>
      </c>
      <c r="G30" t="s">
        <v>48</v>
      </c>
      <c r="H30">
        <v>3</v>
      </c>
      <c r="I30">
        <v>0</v>
      </c>
      <c r="J30">
        <v>5</v>
      </c>
      <c r="K30" t="str">
        <f t="shared" si="1"/>
        <v>ArgentinaParaguay</v>
      </c>
      <c r="L30" t="str">
        <f t="shared" si="2"/>
        <v>ParaguayArgentina</v>
      </c>
      <c r="M30">
        <f t="shared" si="0"/>
        <v>1</v>
      </c>
      <c r="N30">
        <f t="shared" si="3"/>
        <v>0</v>
      </c>
      <c r="O30">
        <f t="shared" si="4"/>
        <v>0</v>
      </c>
    </row>
    <row r="31" spans="1:15" x14ac:dyDescent="0.25">
      <c r="A31" s="1">
        <v>7967</v>
      </c>
      <c r="B31" t="s">
        <v>11</v>
      </c>
      <c r="C31" t="s">
        <v>19</v>
      </c>
      <c r="D31" s="3">
        <v>42006</v>
      </c>
      <c r="E31" t="s">
        <v>22</v>
      </c>
      <c r="F31" t="s">
        <v>14</v>
      </c>
      <c r="G31" t="s">
        <v>23</v>
      </c>
      <c r="H31">
        <v>2</v>
      </c>
      <c r="I31">
        <v>1</v>
      </c>
      <c r="J31">
        <v>5</v>
      </c>
      <c r="K31" t="str">
        <f t="shared" si="1"/>
        <v>UruguayBrazil</v>
      </c>
      <c r="L31" t="str">
        <f t="shared" si="2"/>
        <v>BrazilUruguay</v>
      </c>
      <c r="M31">
        <f t="shared" si="0"/>
        <v>1</v>
      </c>
      <c r="N31">
        <f t="shared" si="3"/>
        <v>0</v>
      </c>
      <c r="O31">
        <f t="shared" si="4"/>
        <v>0</v>
      </c>
    </row>
    <row r="32" spans="1:15" hidden="1" x14ac:dyDescent="0.25">
      <c r="A32" s="1">
        <v>7974</v>
      </c>
      <c r="B32" t="s">
        <v>16</v>
      </c>
      <c r="C32" t="s">
        <v>11</v>
      </c>
      <c r="D32" s="2" t="s">
        <v>29</v>
      </c>
      <c r="E32" t="s">
        <v>17</v>
      </c>
      <c r="F32" t="s">
        <v>14</v>
      </c>
      <c r="G32" t="s">
        <v>26</v>
      </c>
      <c r="H32">
        <v>1</v>
      </c>
      <c r="I32">
        <v>0</v>
      </c>
      <c r="J32">
        <v>5</v>
      </c>
      <c r="K32" t="str">
        <f t="shared" si="1"/>
        <v>ArgentinaUruguay</v>
      </c>
      <c r="L32" t="str">
        <f t="shared" si="2"/>
        <v>UruguayArgentina</v>
      </c>
      <c r="M32">
        <f t="shared" si="0"/>
        <v>1</v>
      </c>
      <c r="N32">
        <f t="shared" si="3"/>
        <v>0</v>
      </c>
      <c r="O32">
        <f t="shared" si="4"/>
        <v>0</v>
      </c>
    </row>
    <row r="33" spans="1:15" hidden="1" x14ac:dyDescent="0.25">
      <c r="A33" s="1">
        <v>8296</v>
      </c>
      <c r="B33" t="s">
        <v>10</v>
      </c>
      <c r="C33" t="s">
        <v>19</v>
      </c>
      <c r="D33" s="3">
        <v>42005</v>
      </c>
      <c r="E33" t="s">
        <v>35</v>
      </c>
      <c r="F33" t="s">
        <v>14</v>
      </c>
      <c r="G33" t="s">
        <v>20</v>
      </c>
      <c r="H33">
        <v>1</v>
      </c>
      <c r="I33">
        <v>1</v>
      </c>
      <c r="J33">
        <v>6</v>
      </c>
      <c r="K33" t="str">
        <f t="shared" si="1"/>
        <v>ChileBrazil</v>
      </c>
      <c r="L33" t="str">
        <f t="shared" si="2"/>
        <v>BrazilChile</v>
      </c>
      <c r="M33">
        <f t="shared" si="0"/>
        <v>0</v>
      </c>
      <c r="N33">
        <f t="shared" si="3"/>
        <v>0</v>
      </c>
      <c r="O33">
        <f t="shared" si="4"/>
        <v>1</v>
      </c>
    </row>
    <row r="34" spans="1:15" hidden="1" x14ac:dyDescent="0.25">
      <c r="A34" s="1">
        <v>8302</v>
      </c>
      <c r="B34" t="s">
        <v>10</v>
      </c>
      <c r="C34" t="s">
        <v>11</v>
      </c>
      <c r="D34" s="2" t="s">
        <v>37</v>
      </c>
      <c r="E34" t="s">
        <v>35</v>
      </c>
      <c r="F34" t="s">
        <v>14</v>
      </c>
      <c r="G34" t="s">
        <v>15</v>
      </c>
      <c r="H34">
        <v>0</v>
      </c>
      <c r="I34">
        <v>2</v>
      </c>
      <c r="J34">
        <v>6</v>
      </c>
      <c r="K34" t="str">
        <f t="shared" si="1"/>
        <v>ChileUruguay</v>
      </c>
      <c r="L34" t="str">
        <f t="shared" si="2"/>
        <v>UruguayChile</v>
      </c>
      <c r="M34">
        <f t="shared" ref="M34:M66" si="5">IF(H34&gt;I34,1,0)</f>
        <v>0</v>
      </c>
      <c r="N34">
        <f t="shared" si="3"/>
        <v>1</v>
      </c>
      <c r="O34">
        <f t="shared" si="4"/>
        <v>0</v>
      </c>
    </row>
    <row r="35" spans="1:15" hidden="1" x14ac:dyDescent="0.25">
      <c r="A35" s="1">
        <v>8303</v>
      </c>
      <c r="B35" t="s">
        <v>43</v>
      </c>
      <c r="C35" t="s">
        <v>19</v>
      </c>
      <c r="D35" s="3">
        <v>42005</v>
      </c>
      <c r="E35" t="s">
        <v>35</v>
      </c>
      <c r="F35" t="s">
        <v>14</v>
      </c>
      <c r="G35" t="s">
        <v>46</v>
      </c>
      <c r="H35">
        <v>1</v>
      </c>
      <c r="I35">
        <v>1</v>
      </c>
      <c r="J35">
        <v>6</v>
      </c>
      <c r="K35" t="str">
        <f t="shared" si="1"/>
        <v>ParaguayBrazil</v>
      </c>
      <c r="L35" t="str">
        <f t="shared" si="2"/>
        <v>BrazilParaguay</v>
      </c>
      <c r="M35">
        <f t="shared" si="5"/>
        <v>0</v>
      </c>
      <c r="N35">
        <f t="shared" si="3"/>
        <v>0</v>
      </c>
      <c r="O35">
        <f t="shared" si="4"/>
        <v>1</v>
      </c>
    </row>
    <row r="36" spans="1:15" hidden="1" x14ac:dyDescent="0.25">
      <c r="A36" s="1">
        <v>8307</v>
      </c>
      <c r="B36" t="s">
        <v>16</v>
      </c>
      <c r="C36" t="s">
        <v>10</v>
      </c>
      <c r="D36" s="2" t="s">
        <v>30</v>
      </c>
      <c r="E36" t="s">
        <v>36</v>
      </c>
      <c r="F36" t="s">
        <v>14</v>
      </c>
      <c r="G36" t="s">
        <v>18</v>
      </c>
      <c r="H36">
        <v>4</v>
      </c>
      <c r="I36">
        <v>0</v>
      </c>
      <c r="J36">
        <v>6</v>
      </c>
      <c r="K36" t="str">
        <f t="shared" si="1"/>
        <v>ArgentinaChile</v>
      </c>
      <c r="L36" t="str">
        <f t="shared" si="2"/>
        <v>ChileArgentina</v>
      </c>
      <c r="M36">
        <f t="shared" si="5"/>
        <v>1</v>
      </c>
      <c r="N36">
        <f t="shared" si="3"/>
        <v>0</v>
      </c>
      <c r="O36">
        <f t="shared" si="4"/>
        <v>0</v>
      </c>
    </row>
    <row r="37" spans="1:15" x14ac:dyDescent="0.25">
      <c r="A37" s="1">
        <v>8310</v>
      </c>
      <c r="B37" t="s">
        <v>11</v>
      </c>
      <c r="C37" t="s">
        <v>19</v>
      </c>
      <c r="D37" s="2" t="s">
        <v>24</v>
      </c>
      <c r="E37" t="s">
        <v>38</v>
      </c>
      <c r="F37" t="s">
        <v>14</v>
      </c>
      <c r="G37" t="s">
        <v>23</v>
      </c>
      <c r="H37">
        <v>0</v>
      </c>
      <c r="I37">
        <v>0</v>
      </c>
      <c r="J37">
        <v>6</v>
      </c>
      <c r="K37" t="str">
        <f t="shared" si="1"/>
        <v>UruguayBrazil</v>
      </c>
      <c r="L37" t="str">
        <f t="shared" si="2"/>
        <v>BrazilUruguay</v>
      </c>
      <c r="M37">
        <f t="shared" si="5"/>
        <v>0</v>
      </c>
      <c r="N37">
        <f t="shared" si="3"/>
        <v>0</v>
      </c>
      <c r="O37">
        <f t="shared" si="4"/>
        <v>1</v>
      </c>
    </row>
    <row r="38" spans="1:15" hidden="1" x14ac:dyDescent="0.25">
      <c r="A38" s="1">
        <v>8314</v>
      </c>
      <c r="B38" t="s">
        <v>10</v>
      </c>
      <c r="C38" t="s">
        <v>43</v>
      </c>
      <c r="D38" s="2" t="s">
        <v>45</v>
      </c>
      <c r="E38" t="s">
        <v>35</v>
      </c>
      <c r="F38" t="s">
        <v>14</v>
      </c>
      <c r="G38" t="s">
        <v>49</v>
      </c>
      <c r="H38">
        <v>0</v>
      </c>
      <c r="I38">
        <v>3</v>
      </c>
      <c r="J38">
        <v>6</v>
      </c>
      <c r="K38" t="str">
        <f t="shared" si="1"/>
        <v>ChileParaguay</v>
      </c>
      <c r="L38" t="str">
        <f t="shared" si="2"/>
        <v>ParaguayChile</v>
      </c>
      <c r="M38">
        <f t="shared" si="5"/>
        <v>0</v>
      </c>
      <c r="N38">
        <f t="shared" si="3"/>
        <v>1</v>
      </c>
      <c r="O38">
        <f t="shared" si="4"/>
        <v>0</v>
      </c>
    </row>
    <row r="39" spans="1:15" hidden="1" x14ac:dyDescent="0.25">
      <c r="A39" s="1">
        <v>8317</v>
      </c>
      <c r="B39" t="s">
        <v>16</v>
      </c>
      <c r="C39" t="s">
        <v>11</v>
      </c>
      <c r="D39" s="2" t="s">
        <v>33</v>
      </c>
      <c r="E39" t="s">
        <v>36</v>
      </c>
      <c r="F39" t="s">
        <v>14</v>
      </c>
      <c r="G39" t="s">
        <v>26</v>
      </c>
      <c r="H39">
        <v>0</v>
      </c>
      <c r="I39">
        <v>1</v>
      </c>
      <c r="J39">
        <v>6</v>
      </c>
      <c r="K39" t="str">
        <f t="shared" si="1"/>
        <v>ArgentinaUruguay</v>
      </c>
      <c r="L39" t="str">
        <f t="shared" si="2"/>
        <v>UruguayArgentina</v>
      </c>
      <c r="M39">
        <f t="shared" si="5"/>
        <v>0</v>
      </c>
      <c r="N39">
        <f t="shared" si="3"/>
        <v>1</v>
      </c>
      <c r="O39">
        <f t="shared" si="4"/>
        <v>0</v>
      </c>
    </row>
    <row r="40" spans="1:15" hidden="1" x14ac:dyDescent="0.25">
      <c r="A40" s="1">
        <v>8321</v>
      </c>
      <c r="B40" t="s">
        <v>43</v>
      </c>
      <c r="C40" t="s">
        <v>11</v>
      </c>
      <c r="D40" s="2" t="s">
        <v>29</v>
      </c>
      <c r="E40" t="s">
        <v>35</v>
      </c>
      <c r="F40" t="s">
        <v>14</v>
      </c>
      <c r="G40" t="s">
        <v>44</v>
      </c>
      <c r="H40">
        <v>1</v>
      </c>
      <c r="I40">
        <v>0</v>
      </c>
      <c r="J40">
        <v>6</v>
      </c>
      <c r="K40" t="str">
        <f t="shared" si="1"/>
        <v>ParaguayUruguay</v>
      </c>
      <c r="L40" t="str">
        <f t="shared" si="2"/>
        <v>UruguayParaguay</v>
      </c>
      <c r="M40">
        <f t="shared" si="5"/>
        <v>1</v>
      </c>
      <c r="N40">
        <f t="shared" si="3"/>
        <v>0</v>
      </c>
      <c r="O40">
        <f t="shared" si="4"/>
        <v>0</v>
      </c>
    </row>
    <row r="41" spans="1:15" hidden="1" x14ac:dyDescent="0.25">
      <c r="A41" s="1">
        <v>8324</v>
      </c>
      <c r="B41" t="s">
        <v>16</v>
      </c>
      <c r="C41" t="s">
        <v>19</v>
      </c>
      <c r="D41" s="2" t="s">
        <v>37</v>
      </c>
      <c r="E41" t="s">
        <v>36</v>
      </c>
      <c r="F41" t="s">
        <v>14</v>
      </c>
      <c r="G41" t="s">
        <v>21</v>
      </c>
      <c r="H41">
        <v>0</v>
      </c>
      <c r="I41">
        <v>2</v>
      </c>
      <c r="J41">
        <v>6</v>
      </c>
      <c r="K41" t="str">
        <f t="shared" si="1"/>
        <v>ArgentinaBrazil</v>
      </c>
      <c r="L41" t="str">
        <f t="shared" si="2"/>
        <v>BrazilArgentina</v>
      </c>
      <c r="M41">
        <f t="shared" si="5"/>
        <v>0</v>
      </c>
      <c r="N41">
        <f t="shared" si="3"/>
        <v>1</v>
      </c>
      <c r="O41">
        <f t="shared" si="4"/>
        <v>0</v>
      </c>
    </row>
    <row r="42" spans="1:15" hidden="1" x14ac:dyDescent="0.25">
      <c r="A42" s="1">
        <v>8327</v>
      </c>
      <c r="B42" t="s">
        <v>16</v>
      </c>
      <c r="C42" t="s">
        <v>43</v>
      </c>
      <c r="D42" s="2" t="s">
        <v>42</v>
      </c>
      <c r="E42" t="s">
        <v>36</v>
      </c>
      <c r="F42" t="s">
        <v>14</v>
      </c>
      <c r="G42" t="s">
        <v>48</v>
      </c>
      <c r="H42">
        <v>2</v>
      </c>
      <c r="I42">
        <v>0</v>
      </c>
      <c r="J42">
        <v>6</v>
      </c>
      <c r="K42" t="str">
        <f t="shared" si="1"/>
        <v>ArgentinaParaguay</v>
      </c>
      <c r="L42" t="str">
        <f t="shared" si="2"/>
        <v>ParaguayArgentina</v>
      </c>
      <c r="M42">
        <f t="shared" si="5"/>
        <v>1</v>
      </c>
      <c r="N42">
        <f t="shared" si="3"/>
        <v>0</v>
      </c>
      <c r="O42">
        <f t="shared" si="4"/>
        <v>0</v>
      </c>
    </row>
    <row r="43" spans="1:15" hidden="1" x14ac:dyDescent="0.25">
      <c r="A43" s="1">
        <v>8331</v>
      </c>
      <c r="B43" t="s">
        <v>43</v>
      </c>
      <c r="C43" t="s">
        <v>19</v>
      </c>
      <c r="D43" s="2" t="s">
        <v>45</v>
      </c>
      <c r="E43" t="s">
        <v>35</v>
      </c>
      <c r="F43" t="s">
        <v>14</v>
      </c>
      <c r="G43" t="s">
        <v>46</v>
      </c>
      <c r="H43">
        <v>0</v>
      </c>
      <c r="I43">
        <v>3</v>
      </c>
      <c r="J43">
        <v>6</v>
      </c>
      <c r="K43" t="str">
        <f t="shared" si="1"/>
        <v>ParaguayBrazil</v>
      </c>
      <c r="L43" t="str">
        <f t="shared" si="2"/>
        <v>BrazilParaguay</v>
      </c>
      <c r="M43">
        <f t="shared" si="5"/>
        <v>0</v>
      </c>
      <c r="N43">
        <f t="shared" si="3"/>
        <v>1</v>
      </c>
      <c r="O43">
        <f t="shared" si="4"/>
        <v>0</v>
      </c>
    </row>
    <row r="44" spans="1:15" hidden="1" x14ac:dyDescent="0.25">
      <c r="A44" s="1">
        <v>8702</v>
      </c>
      <c r="B44" t="s">
        <v>16</v>
      </c>
      <c r="C44" t="s">
        <v>43</v>
      </c>
      <c r="D44" s="3">
        <v>42067</v>
      </c>
      <c r="E44" t="s">
        <v>28</v>
      </c>
      <c r="F44" t="s">
        <v>14</v>
      </c>
      <c r="G44" t="s">
        <v>48</v>
      </c>
      <c r="H44">
        <v>4</v>
      </c>
      <c r="I44">
        <v>3</v>
      </c>
      <c r="J44">
        <v>7</v>
      </c>
      <c r="K44" t="str">
        <f t="shared" si="1"/>
        <v>ArgentinaParaguay</v>
      </c>
      <c r="L44" t="str">
        <f t="shared" si="2"/>
        <v>ParaguayArgentina</v>
      </c>
      <c r="M44">
        <f t="shared" si="5"/>
        <v>1</v>
      </c>
      <c r="N44">
        <f t="shared" si="3"/>
        <v>0</v>
      </c>
      <c r="O44">
        <f t="shared" si="4"/>
        <v>0</v>
      </c>
    </row>
    <row r="45" spans="1:15" hidden="1" x14ac:dyDescent="0.25">
      <c r="A45" s="1">
        <v>8709</v>
      </c>
      <c r="B45" t="s">
        <v>43</v>
      </c>
      <c r="C45" t="s">
        <v>11</v>
      </c>
      <c r="D45" s="2" t="s">
        <v>37</v>
      </c>
      <c r="E45" t="s">
        <v>27</v>
      </c>
      <c r="F45" t="s">
        <v>14</v>
      </c>
      <c r="G45" t="s">
        <v>44</v>
      </c>
      <c r="H45">
        <v>0</v>
      </c>
      <c r="I45">
        <v>2</v>
      </c>
      <c r="J45">
        <v>7</v>
      </c>
      <c r="K45" t="str">
        <f t="shared" si="1"/>
        <v>ParaguayUruguay</v>
      </c>
      <c r="L45" t="str">
        <f t="shared" si="2"/>
        <v>UruguayParaguay</v>
      </c>
      <c r="M45">
        <f t="shared" si="5"/>
        <v>0</v>
      </c>
      <c r="N45">
        <f t="shared" si="3"/>
        <v>1</v>
      </c>
      <c r="O45">
        <f t="shared" si="4"/>
        <v>0</v>
      </c>
    </row>
    <row r="46" spans="1:15" hidden="1" x14ac:dyDescent="0.25">
      <c r="A46" s="1">
        <v>8716</v>
      </c>
      <c r="B46" t="s">
        <v>43</v>
      </c>
      <c r="C46" t="s">
        <v>19</v>
      </c>
      <c r="D46" s="2" t="s">
        <v>29</v>
      </c>
      <c r="E46" t="s">
        <v>27</v>
      </c>
      <c r="F46" t="s">
        <v>14</v>
      </c>
      <c r="G46" t="s">
        <v>46</v>
      </c>
      <c r="H46">
        <v>1</v>
      </c>
      <c r="I46">
        <v>0</v>
      </c>
      <c r="J46">
        <v>7</v>
      </c>
      <c r="K46" t="str">
        <f t="shared" si="1"/>
        <v>ParaguayBrazil</v>
      </c>
      <c r="L46" t="str">
        <f t="shared" si="2"/>
        <v>BrazilParaguay</v>
      </c>
      <c r="M46">
        <f t="shared" si="5"/>
        <v>1</v>
      </c>
      <c r="N46">
        <f t="shared" si="3"/>
        <v>0</v>
      </c>
      <c r="O46">
        <f t="shared" si="4"/>
        <v>0</v>
      </c>
    </row>
    <row r="47" spans="1:15" hidden="1" x14ac:dyDescent="0.25">
      <c r="A47" s="1">
        <v>8723</v>
      </c>
      <c r="B47" t="s">
        <v>16</v>
      </c>
      <c r="C47" t="s">
        <v>19</v>
      </c>
      <c r="D47" s="3">
        <v>42006</v>
      </c>
      <c r="E47" t="s">
        <v>28</v>
      </c>
      <c r="F47" t="s">
        <v>14</v>
      </c>
      <c r="G47" t="s">
        <v>21</v>
      </c>
      <c r="H47">
        <v>2</v>
      </c>
      <c r="I47">
        <v>1</v>
      </c>
      <c r="J47">
        <v>7</v>
      </c>
      <c r="K47" t="str">
        <f t="shared" si="1"/>
        <v>ArgentinaBrazil</v>
      </c>
      <c r="L47" t="str">
        <f t="shared" si="2"/>
        <v>BrazilArgentina</v>
      </c>
      <c r="M47">
        <f t="shared" si="5"/>
        <v>1</v>
      </c>
      <c r="N47">
        <f t="shared" si="3"/>
        <v>0</v>
      </c>
      <c r="O47">
        <f t="shared" si="4"/>
        <v>0</v>
      </c>
    </row>
    <row r="48" spans="1:15" x14ac:dyDescent="0.25">
      <c r="A48" s="1">
        <v>8730</v>
      </c>
      <c r="B48" t="s">
        <v>11</v>
      </c>
      <c r="C48" t="s">
        <v>19</v>
      </c>
      <c r="D48" s="3">
        <v>42006</v>
      </c>
      <c r="E48" t="s">
        <v>31</v>
      </c>
      <c r="F48" t="s">
        <v>14</v>
      </c>
      <c r="G48" t="s">
        <v>23</v>
      </c>
      <c r="H48">
        <v>2</v>
      </c>
      <c r="I48">
        <v>1</v>
      </c>
      <c r="J48">
        <v>7</v>
      </c>
      <c r="K48" t="str">
        <f t="shared" si="1"/>
        <v>UruguayBrazil</v>
      </c>
      <c r="L48" t="str">
        <f t="shared" si="2"/>
        <v>BrazilUruguay</v>
      </c>
      <c r="M48">
        <f t="shared" si="5"/>
        <v>1</v>
      </c>
      <c r="N48">
        <f t="shared" si="3"/>
        <v>0</v>
      </c>
      <c r="O48">
        <f t="shared" si="4"/>
        <v>0</v>
      </c>
    </row>
    <row r="49" spans="1:15" hidden="1" x14ac:dyDescent="0.25">
      <c r="A49" t="s">
        <v>50</v>
      </c>
      <c r="B49" t="s">
        <v>16</v>
      </c>
      <c r="C49" t="s">
        <v>11</v>
      </c>
      <c r="D49" s="2" t="s">
        <v>37</v>
      </c>
      <c r="E49" t="s">
        <v>28</v>
      </c>
      <c r="F49" t="s">
        <v>14</v>
      </c>
      <c r="G49" t="s">
        <v>26</v>
      </c>
      <c r="H49">
        <v>0</v>
      </c>
      <c r="I49">
        <v>2</v>
      </c>
      <c r="J49">
        <v>7</v>
      </c>
      <c r="K49" t="str">
        <f t="shared" si="1"/>
        <v>ArgentinaUruguay</v>
      </c>
      <c r="L49" t="str">
        <f t="shared" si="2"/>
        <v>UruguayArgentina</v>
      </c>
      <c r="M49">
        <f t="shared" si="5"/>
        <v>0</v>
      </c>
      <c r="N49">
        <f t="shared" si="3"/>
        <v>1</v>
      </c>
      <c r="O49">
        <f t="shared" si="4"/>
        <v>0</v>
      </c>
    </row>
    <row r="50" spans="1:15" hidden="1" x14ac:dyDescent="0.25">
      <c r="A50" s="1">
        <v>9052</v>
      </c>
      <c r="B50" t="s">
        <v>16</v>
      </c>
      <c r="C50" t="s">
        <v>43</v>
      </c>
      <c r="D50" s="2" t="s">
        <v>24</v>
      </c>
      <c r="E50" t="s">
        <v>28</v>
      </c>
      <c r="F50" t="s">
        <v>14</v>
      </c>
      <c r="G50" t="s">
        <v>48</v>
      </c>
      <c r="H50">
        <v>0</v>
      </c>
      <c r="I50">
        <v>0</v>
      </c>
      <c r="J50">
        <v>8</v>
      </c>
      <c r="K50" t="str">
        <f t="shared" si="1"/>
        <v>ArgentinaParaguay</v>
      </c>
      <c r="L50" t="str">
        <f t="shared" si="2"/>
        <v>ParaguayArgentina</v>
      </c>
      <c r="M50">
        <f t="shared" si="5"/>
        <v>0</v>
      </c>
      <c r="N50">
        <f t="shared" si="3"/>
        <v>0</v>
      </c>
      <c r="O50">
        <f t="shared" si="4"/>
        <v>1</v>
      </c>
    </row>
    <row r="51" spans="1:15" hidden="1" x14ac:dyDescent="0.25">
      <c r="A51" s="1">
        <v>9059</v>
      </c>
      <c r="B51" t="s">
        <v>10</v>
      </c>
      <c r="C51" t="s">
        <v>11</v>
      </c>
      <c r="D51" s="2" t="s">
        <v>32</v>
      </c>
      <c r="E51" t="s">
        <v>27</v>
      </c>
      <c r="F51" t="s">
        <v>14</v>
      </c>
      <c r="G51" t="s">
        <v>15</v>
      </c>
      <c r="H51">
        <v>0</v>
      </c>
      <c r="I51">
        <v>5</v>
      </c>
      <c r="J51">
        <v>8</v>
      </c>
      <c r="K51" t="str">
        <f t="shared" si="1"/>
        <v>ChileUruguay</v>
      </c>
      <c r="L51" t="str">
        <f t="shared" si="2"/>
        <v>UruguayChile</v>
      </c>
      <c r="M51">
        <f t="shared" si="5"/>
        <v>0</v>
      </c>
      <c r="N51">
        <f t="shared" si="3"/>
        <v>1</v>
      </c>
      <c r="O51">
        <f t="shared" si="4"/>
        <v>0</v>
      </c>
    </row>
    <row r="52" spans="1:15" hidden="1" x14ac:dyDescent="0.25">
      <c r="A52" s="1">
        <v>9065</v>
      </c>
      <c r="B52" t="s">
        <v>16</v>
      </c>
      <c r="C52" t="s">
        <v>10</v>
      </c>
      <c r="D52" s="2" t="s">
        <v>42</v>
      </c>
      <c r="E52" t="s">
        <v>28</v>
      </c>
      <c r="F52" t="s">
        <v>14</v>
      </c>
      <c r="G52" t="s">
        <v>18</v>
      </c>
      <c r="H52">
        <v>2</v>
      </c>
      <c r="I52">
        <v>0</v>
      </c>
      <c r="J52">
        <v>8</v>
      </c>
      <c r="K52" t="str">
        <f t="shared" si="1"/>
        <v>ArgentinaChile</v>
      </c>
      <c r="L52" t="str">
        <f t="shared" si="2"/>
        <v>ChileArgentina</v>
      </c>
      <c r="M52">
        <f t="shared" si="5"/>
        <v>1</v>
      </c>
      <c r="N52">
        <f t="shared" si="3"/>
        <v>0</v>
      </c>
      <c r="O52">
        <f t="shared" si="4"/>
        <v>0</v>
      </c>
    </row>
    <row r="53" spans="1:15" hidden="1" x14ac:dyDescent="0.25">
      <c r="A53" s="1">
        <v>9066</v>
      </c>
      <c r="B53" t="s">
        <v>43</v>
      </c>
      <c r="C53" t="s">
        <v>11</v>
      </c>
      <c r="D53" s="3">
        <v>42064</v>
      </c>
      <c r="E53" t="s">
        <v>27</v>
      </c>
      <c r="F53" t="s">
        <v>14</v>
      </c>
      <c r="G53" t="s">
        <v>44</v>
      </c>
      <c r="H53">
        <v>1</v>
      </c>
      <c r="I53">
        <v>3</v>
      </c>
      <c r="J53">
        <v>8</v>
      </c>
      <c r="K53" t="str">
        <f t="shared" si="1"/>
        <v>ParaguayUruguay</v>
      </c>
      <c r="L53" t="str">
        <f t="shared" si="2"/>
        <v>UruguayParaguay</v>
      </c>
      <c r="M53">
        <f t="shared" si="5"/>
        <v>0</v>
      </c>
      <c r="N53">
        <f t="shared" si="3"/>
        <v>1</v>
      </c>
      <c r="O53">
        <f t="shared" si="4"/>
        <v>0</v>
      </c>
    </row>
    <row r="54" spans="1:15" hidden="1" x14ac:dyDescent="0.25">
      <c r="A54" s="1">
        <v>9072</v>
      </c>
      <c r="B54" t="s">
        <v>10</v>
      </c>
      <c r="C54" t="s">
        <v>43</v>
      </c>
      <c r="D54" s="3">
        <v>42064</v>
      </c>
      <c r="E54" t="s">
        <v>27</v>
      </c>
      <c r="F54" t="s">
        <v>14</v>
      </c>
      <c r="G54" t="s">
        <v>49</v>
      </c>
      <c r="H54">
        <v>1</v>
      </c>
      <c r="I54">
        <v>3</v>
      </c>
      <c r="J54">
        <v>8</v>
      </c>
      <c r="K54" t="str">
        <f t="shared" si="1"/>
        <v>ChileParaguay</v>
      </c>
      <c r="L54" t="str">
        <f t="shared" si="2"/>
        <v>ParaguayChile</v>
      </c>
      <c r="M54">
        <f t="shared" si="5"/>
        <v>0</v>
      </c>
      <c r="N54">
        <f t="shared" si="3"/>
        <v>1</v>
      </c>
      <c r="O54">
        <f t="shared" si="4"/>
        <v>0</v>
      </c>
    </row>
    <row r="55" spans="1:15" hidden="1" x14ac:dyDescent="0.25">
      <c r="A55" s="1">
        <v>9073</v>
      </c>
      <c r="B55" t="s">
        <v>16</v>
      </c>
      <c r="C55" t="s">
        <v>11</v>
      </c>
      <c r="D55" s="2" t="s">
        <v>24</v>
      </c>
      <c r="E55" t="s">
        <v>28</v>
      </c>
      <c r="F55" t="s">
        <v>14</v>
      </c>
      <c r="G55" t="s">
        <v>26</v>
      </c>
      <c r="H55">
        <v>0</v>
      </c>
      <c r="I55">
        <v>0</v>
      </c>
      <c r="J55">
        <v>8</v>
      </c>
      <c r="K55" t="str">
        <f t="shared" si="1"/>
        <v>ArgentinaUruguay</v>
      </c>
      <c r="L55" t="str">
        <f t="shared" si="2"/>
        <v>UruguayArgentina</v>
      </c>
      <c r="M55">
        <f t="shared" si="5"/>
        <v>0</v>
      </c>
      <c r="N55">
        <f t="shared" si="3"/>
        <v>0</v>
      </c>
      <c r="O55">
        <f t="shared" si="4"/>
        <v>1</v>
      </c>
    </row>
    <row r="56" spans="1:15" hidden="1" x14ac:dyDescent="0.25">
      <c r="A56" s="1">
        <v>9465</v>
      </c>
      <c r="B56" t="s">
        <v>16</v>
      </c>
      <c r="C56" t="s">
        <v>43</v>
      </c>
      <c r="D56" s="2" t="s">
        <v>42</v>
      </c>
      <c r="E56" t="s">
        <v>17</v>
      </c>
      <c r="F56" t="s">
        <v>14</v>
      </c>
      <c r="G56" t="s">
        <v>48</v>
      </c>
      <c r="H56">
        <v>2</v>
      </c>
      <c r="I56">
        <v>0</v>
      </c>
      <c r="J56">
        <v>9</v>
      </c>
      <c r="K56" t="str">
        <f t="shared" si="1"/>
        <v>ArgentinaParaguay</v>
      </c>
      <c r="L56" t="str">
        <f t="shared" si="2"/>
        <v>ParaguayArgentina</v>
      </c>
      <c r="M56">
        <f t="shared" si="5"/>
        <v>1</v>
      </c>
      <c r="N56">
        <f t="shared" si="3"/>
        <v>0</v>
      </c>
      <c r="O56">
        <f t="shared" si="4"/>
        <v>0</v>
      </c>
    </row>
    <row r="57" spans="1:15" hidden="1" x14ac:dyDescent="0.25">
      <c r="A57" t="s">
        <v>51</v>
      </c>
      <c r="B57" t="s">
        <v>43</v>
      </c>
      <c r="C57" t="s">
        <v>19</v>
      </c>
      <c r="D57" s="3">
        <v>42126</v>
      </c>
      <c r="E57" t="s">
        <v>13</v>
      </c>
      <c r="F57" t="s">
        <v>14</v>
      </c>
      <c r="G57" t="s">
        <v>46</v>
      </c>
      <c r="H57">
        <v>2</v>
      </c>
      <c r="I57">
        <v>5</v>
      </c>
      <c r="J57">
        <v>9</v>
      </c>
      <c r="K57" t="str">
        <f t="shared" si="1"/>
        <v>ParaguayBrazil</v>
      </c>
      <c r="L57" t="str">
        <f t="shared" si="2"/>
        <v>BrazilParaguay</v>
      </c>
      <c r="M57">
        <f t="shared" si="5"/>
        <v>0</v>
      </c>
      <c r="N57">
        <f t="shared" si="3"/>
        <v>1</v>
      </c>
      <c r="O57">
        <f t="shared" si="4"/>
        <v>0</v>
      </c>
    </row>
    <row r="58" spans="1:15" hidden="1" x14ac:dyDescent="0.25">
      <c r="A58" t="s">
        <v>52</v>
      </c>
      <c r="B58" t="s">
        <v>16</v>
      </c>
      <c r="C58" t="s">
        <v>19</v>
      </c>
      <c r="D58" s="3">
        <v>42008</v>
      </c>
      <c r="E58" t="s">
        <v>17</v>
      </c>
      <c r="F58" t="s">
        <v>14</v>
      </c>
      <c r="G58" t="s">
        <v>21</v>
      </c>
      <c r="H58">
        <v>4</v>
      </c>
      <c r="I58">
        <v>1</v>
      </c>
      <c r="J58">
        <v>9</v>
      </c>
      <c r="K58" t="str">
        <f t="shared" si="1"/>
        <v>ArgentinaBrazil</v>
      </c>
      <c r="L58" t="str">
        <f t="shared" si="2"/>
        <v>BrazilArgentina</v>
      </c>
      <c r="M58">
        <f t="shared" si="5"/>
        <v>1</v>
      </c>
      <c r="N58">
        <f t="shared" si="3"/>
        <v>0</v>
      </c>
      <c r="O58">
        <f t="shared" si="4"/>
        <v>0</v>
      </c>
    </row>
    <row r="59" spans="1:15" hidden="1" x14ac:dyDescent="0.25">
      <c r="A59" t="s">
        <v>53</v>
      </c>
      <c r="B59" t="s">
        <v>43</v>
      </c>
      <c r="C59" t="s">
        <v>19</v>
      </c>
      <c r="D59" s="3">
        <v>42064</v>
      </c>
      <c r="E59" t="s">
        <v>13</v>
      </c>
      <c r="F59" t="s">
        <v>14</v>
      </c>
      <c r="G59" t="s">
        <v>46</v>
      </c>
      <c r="H59">
        <v>1</v>
      </c>
      <c r="I59">
        <v>3</v>
      </c>
      <c r="J59">
        <v>9</v>
      </c>
      <c r="K59" t="str">
        <f t="shared" si="1"/>
        <v>ParaguayBrazil</v>
      </c>
      <c r="L59" t="str">
        <f t="shared" si="2"/>
        <v>BrazilParaguay</v>
      </c>
      <c r="M59">
        <f t="shared" si="5"/>
        <v>0</v>
      </c>
      <c r="N59">
        <f t="shared" si="3"/>
        <v>1</v>
      </c>
      <c r="O59">
        <f t="shared" si="4"/>
        <v>0</v>
      </c>
    </row>
    <row r="60" spans="1:15" hidden="1" x14ac:dyDescent="0.25">
      <c r="A60" t="s">
        <v>54</v>
      </c>
      <c r="B60" t="s">
        <v>16</v>
      </c>
      <c r="C60" t="s">
        <v>43</v>
      </c>
      <c r="D60" s="3">
        <v>42007</v>
      </c>
      <c r="E60" t="s">
        <v>17</v>
      </c>
      <c r="F60" t="s">
        <v>14</v>
      </c>
      <c r="G60" t="s">
        <v>48</v>
      </c>
      <c r="H60">
        <v>3</v>
      </c>
      <c r="I60">
        <v>1</v>
      </c>
      <c r="J60">
        <v>9</v>
      </c>
      <c r="K60" t="str">
        <f t="shared" si="1"/>
        <v>ArgentinaParaguay</v>
      </c>
      <c r="L60" t="str">
        <f t="shared" si="2"/>
        <v>ParaguayArgentina</v>
      </c>
      <c r="M60">
        <f t="shared" si="5"/>
        <v>1</v>
      </c>
      <c r="N60">
        <f t="shared" si="3"/>
        <v>0</v>
      </c>
      <c r="O60">
        <f t="shared" si="4"/>
        <v>0</v>
      </c>
    </row>
    <row r="61" spans="1:15" hidden="1" x14ac:dyDescent="0.25">
      <c r="A61" t="s">
        <v>55</v>
      </c>
      <c r="B61" t="s">
        <v>16</v>
      </c>
      <c r="C61" t="s">
        <v>19</v>
      </c>
      <c r="D61" s="3">
        <v>42037</v>
      </c>
      <c r="E61" t="s">
        <v>17</v>
      </c>
      <c r="F61" t="s">
        <v>14</v>
      </c>
      <c r="G61" t="s">
        <v>21</v>
      </c>
      <c r="H61">
        <v>2</v>
      </c>
      <c r="I61">
        <v>2</v>
      </c>
      <c r="J61">
        <v>9</v>
      </c>
      <c r="K61" t="str">
        <f t="shared" si="1"/>
        <v>ArgentinaBrazil</v>
      </c>
      <c r="L61" t="str">
        <f t="shared" si="2"/>
        <v>BrazilArgentina</v>
      </c>
      <c r="M61">
        <f t="shared" si="5"/>
        <v>0</v>
      </c>
      <c r="N61">
        <f t="shared" si="3"/>
        <v>0</v>
      </c>
      <c r="O61">
        <f t="shared" si="4"/>
        <v>1</v>
      </c>
    </row>
    <row r="62" spans="1:15" hidden="1" x14ac:dyDescent="0.25">
      <c r="A62" s="1">
        <v>9782</v>
      </c>
      <c r="B62" t="s">
        <v>56</v>
      </c>
      <c r="C62" t="s">
        <v>10</v>
      </c>
      <c r="D62" s="3">
        <v>42186</v>
      </c>
      <c r="E62" t="s">
        <v>57</v>
      </c>
      <c r="F62" t="s">
        <v>14</v>
      </c>
      <c r="G62" t="s">
        <v>58</v>
      </c>
      <c r="H62">
        <v>1</v>
      </c>
      <c r="I62">
        <v>7</v>
      </c>
      <c r="J62">
        <v>10</v>
      </c>
      <c r="K62" t="str">
        <f t="shared" si="1"/>
        <v>BoliviaChile</v>
      </c>
      <c r="L62" t="str">
        <f t="shared" si="2"/>
        <v>ChileBolivia</v>
      </c>
      <c r="M62">
        <f t="shared" si="5"/>
        <v>0</v>
      </c>
      <c r="N62">
        <f t="shared" si="3"/>
        <v>1</v>
      </c>
      <c r="O62">
        <f t="shared" si="4"/>
        <v>0</v>
      </c>
    </row>
    <row r="63" spans="1:15" hidden="1" x14ac:dyDescent="0.25">
      <c r="A63" s="1">
        <v>9786</v>
      </c>
      <c r="B63" t="s">
        <v>16</v>
      </c>
      <c r="C63" t="s">
        <v>56</v>
      </c>
      <c r="D63" s="2" t="s">
        <v>59</v>
      </c>
      <c r="E63" t="s">
        <v>60</v>
      </c>
      <c r="F63" t="s">
        <v>14</v>
      </c>
      <c r="G63" t="s">
        <v>61</v>
      </c>
      <c r="H63">
        <v>5</v>
      </c>
      <c r="I63">
        <v>0</v>
      </c>
      <c r="J63">
        <v>10</v>
      </c>
      <c r="K63" t="str">
        <f t="shared" si="1"/>
        <v>ArgentinaBolivia</v>
      </c>
      <c r="L63" t="str">
        <f t="shared" si="2"/>
        <v>BoliviaArgentina</v>
      </c>
      <c r="M63">
        <f t="shared" si="5"/>
        <v>1</v>
      </c>
      <c r="N63">
        <f t="shared" si="3"/>
        <v>0</v>
      </c>
      <c r="O63">
        <f t="shared" si="4"/>
        <v>0</v>
      </c>
    </row>
    <row r="64" spans="1:15" hidden="1" x14ac:dyDescent="0.25">
      <c r="A64" s="1">
        <v>9787</v>
      </c>
      <c r="B64" t="s">
        <v>10</v>
      </c>
      <c r="C64" t="s">
        <v>11</v>
      </c>
      <c r="D64" s="3">
        <v>42064</v>
      </c>
      <c r="E64" t="s">
        <v>60</v>
      </c>
      <c r="F64" t="s">
        <v>14</v>
      </c>
      <c r="G64" t="s">
        <v>15</v>
      </c>
      <c r="H64">
        <v>1</v>
      </c>
      <c r="I64">
        <v>3</v>
      </c>
      <c r="J64">
        <v>10</v>
      </c>
      <c r="K64" t="str">
        <f t="shared" si="1"/>
        <v>ChileUruguay</v>
      </c>
      <c r="L64" t="str">
        <f t="shared" si="2"/>
        <v>UruguayChile</v>
      </c>
      <c r="M64">
        <f t="shared" si="5"/>
        <v>0</v>
      </c>
      <c r="N64">
        <f t="shared" si="3"/>
        <v>1</v>
      </c>
      <c r="O64">
        <f t="shared" si="4"/>
        <v>0</v>
      </c>
    </row>
    <row r="65" spans="1:15" hidden="1" x14ac:dyDescent="0.25">
      <c r="A65" s="1">
        <v>9790</v>
      </c>
      <c r="B65" t="s">
        <v>16</v>
      </c>
      <c r="C65" t="s">
        <v>43</v>
      </c>
      <c r="D65" s="2" t="s">
        <v>62</v>
      </c>
      <c r="E65" t="s">
        <v>60</v>
      </c>
      <c r="F65" t="s">
        <v>14</v>
      </c>
      <c r="G65" t="s">
        <v>48</v>
      </c>
      <c r="H65">
        <v>8</v>
      </c>
      <c r="I65">
        <v>0</v>
      </c>
      <c r="J65">
        <v>10</v>
      </c>
      <c r="K65" t="str">
        <f t="shared" si="1"/>
        <v>ArgentinaParaguay</v>
      </c>
      <c r="L65" t="str">
        <f t="shared" si="2"/>
        <v>ParaguayArgentina</v>
      </c>
      <c r="M65">
        <f t="shared" si="5"/>
        <v>1</v>
      </c>
      <c r="N65">
        <f t="shared" si="3"/>
        <v>0</v>
      </c>
      <c r="O65">
        <f t="shared" si="4"/>
        <v>0</v>
      </c>
    </row>
    <row r="66" spans="1:15" hidden="1" x14ac:dyDescent="0.25">
      <c r="A66" s="1">
        <v>9793</v>
      </c>
      <c r="B66" t="s">
        <v>56</v>
      </c>
      <c r="C66" t="s">
        <v>43</v>
      </c>
      <c r="D66" s="3">
        <v>42156</v>
      </c>
      <c r="E66" t="s">
        <v>57</v>
      </c>
      <c r="F66" t="s">
        <v>14</v>
      </c>
      <c r="G66" t="s">
        <v>63</v>
      </c>
      <c r="H66">
        <v>1</v>
      </c>
      <c r="I66">
        <v>6</v>
      </c>
      <c r="J66">
        <v>10</v>
      </c>
      <c r="K66" t="str">
        <f t="shared" si="1"/>
        <v>BoliviaParaguay</v>
      </c>
      <c r="L66" t="str">
        <f t="shared" si="2"/>
        <v>ParaguayBolivia</v>
      </c>
      <c r="M66">
        <f t="shared" si="5"/>
        <v>0</v>
      </c>
      <c r="N66">
        <f t="shared" si="3"/>
        <v>1</v>
      </c>
      <c r="O66">
        <f t="shared" si="4"/>
        <v>0</v>
      </c>
    </row>
    <row r="67" spans="1:15" hidden="1" x14ac:dyDescent="0.25">
      <c r="A67" s="1">
        <v>9794</v>
      </c>
      <c r="B67" t="s">
        <v>16</v>
      </c>
      <c r="C67" t="s">
        <v>11</v>
      </c>
      <c r="D67" s="2" t="s">
        <v>37</v>
      </c>
      <c r="E67" t="s">
        <v>60</v>
      </c>
      <c r="F67" t="s">
        <v>14</v>
      </c>
      <c r="G67" t="s">
        <v>26</v>
      </c>
      <c r="H67">
        <v>0</v>
      </c>
      <c r="I67">
        <v>2</v>
      </c>
      <c r="J67">
        <v>10</v>
      </c>
      <c r="K67" t="str">
        <f t="shared" ref="K67:K130" si="6">CONCATENATE(B67,C67)</f>
        <v>ArgentinaUruguay</v>
      </c>
      <c r="L67" t="str">
        <f t="shared" ref="L67:L130" si="7">CONCATENATE(C67,B67)</f>
        <v>UruguayArgentina</v>
      </c>
      <c r="M67">
        <f t="shared" ref="M67:M130" si="8">IF(H67&gt;I67,1,0)</f>
        <v>0</v>
      </c>
      <c r="N67">
        <f t="shared" ref="N67:N130" si="9">IF(I67&gt;H67,1,0)</f>
        <v>1</v>
      </c>
      <c r="O67">
        <f t="shared" ref="O67:O130" si="10">IF(I67=H67,1,0)</f>
        <v>0</v>
      </c>
    </row>
    <row r="68" spans="1:15" hidden="1" x14ac:dyDescent="0.25">
      <c r="A68" s="1">
        <v>9798</v>
      </c>
      <c r="B68" t="s">
        <v>56</v>
      </c>
      <c r="C68" t="s">
        <v>11</v>
      </c>
      <c r="D68" s="2" t="s">
        <v>34</v>
      </c>
      <c r="E68" t="s">
        <v>57</v>
      </c>
      <c r="F68" t="s">
        <v>14</v>
      </c>
      <c r="G68" t="s">
        <v>64</v>
      </c>
      <c r="H68">
        <v>0</v>
      </c>
      <c r="I68">
        <v>6</v>
      </c>
      <c r="J68">
        <v>10</v>
      </c>
      <c r="K68" t="str">
        <f t="shared" si="6"/>
        <v>BoliviaUruguay</v>
      </c>
      <c r="L68" t="str">
        <f t="shared" si="7"/>
        <v>UruguayBolivia</v>
      </c>
      <c r="M68">
        <f t="shared" si="8"/>
        <v>0</v>
      </c>
      <c r="N68">
        <f t="shared" si="9"/>
        <v>1</v>
      </c>
      <c r="O68">
        <f t="shared" si="10"/>
        <v>0</v>
      </c>
    </row>
    <row r="69" spans="1:15" hidden="1" x14ac:dyDescent="0.25">
      <c r="A69" s="1">
        <v>9801</v>
      </c>
      <c r="B69" t="s">
        <v>16</v>
      </c>
      <c r="C69" t="s">
        <v>10</v>
      </c>
      <c r="D69" s="3">
        <v>42005</v>
      </c>
      <c r="E69" t="s">
        <v>60</v>
      </c>
      <c r="F69" t="s">
        <v>14</v>
      </c>
      <c r="G69" t="s">
        <v>18</v>
      </c>
      <c r="H69">
        <v>1</v>
      </c>
      <c r="I69">
        <v>1</v>
      </c>
      <c r="J69">
        <v>10</v>
      </c>
      <c r="K69" t="str">
        <f t="shared" si="6"/>
        <v>ArgentinaChile</v>
      </c>
      <c r="L69" t="str">
        <f t="shared" si="7"/>
        <v>ChileArgentina</v>
      </c>
      <c r="M69">
        <f t="shared" si="8"/>
        <v>0</v>
      </c>
      <c r="N69">
        <f t="shared" si="9"/>
        <v>0</v>
      </c>
      <c r="O69">
        <f t="shared" si="10"/>
        <v>1</v>
      </c>
    </row>
    <row r="70" spans="1:15" hidden="1" x14ac:dyDescent="0.25">
      <c r="A70" s="1">
        <v>9802</v>
      </c>
      <c r="B70" t="s">
        <v>43</v>
      </c>
      <c r="C70" t="s">
        <v>11</v>
      </c>
      <c r="D70" s="3">
        <v>42156</v>
      </c>
      <c r="E70" t="s">
        <v>57</v>
      </c>
      <c r="F70" t="s">
        <v>14</v>
      </c>
      <c r="G70" t="s">
        <v>44</v>
      </c>
      <c r="H70">
        <v>1</v>
      </c>
      <c r="I70">
        <v>6</v>
      </c>
      <c r="J70">
        <v>10</v>
      </c>
      <c r="K70" t="str">
        <f t="shared" si="6"/>
        <v>ParaguayUruguay</v>
      </c>
      <c r="L70" t="str">
        <f t="shared" si="7"/>
        <v>UruguayParaguay</v>
      </c>
      <c r="M70">
        <f t="shared" si="8"/>
        <v>0</v>
      </c>
      <c r="N70">
        <f t="shared" si="9"/>
        <v>1</v>
      </c>
      <c r="O70">
        <f t="shared" si="10"/>
        <v>0</v>
      </c>
    </row>
    <row r="71" spans="1:15" hidden="1" x14ac:dyDescent="0.25">
      <c r="A71" s="1">
        <v>9804</v>
      </c>
      <c r="B71" t="s">
        <v>10</v>
      </c>
      <c r="C71" t="s">
        <v>43</v>
      </c>
      <c r="D71" s="3">
        <v>42009</v>
      </c>
      <c r="E71" t="s">
        <v>60</v>
      </c>
      <c r="F71" t="s">
        <v>14</v>
      </c>
      <c r="G71" t="s">
        <v>49</v>
      </c>
      <c r="H71">
        <v>5</v>
      </c>
      <c r="I71">
        <v>1</v>
      </c>
      <c r="J71">
        <v>10</v>
      </c>
      <c r="K71" t="str">
        <f t="shared" si="6"/>
        <v>ChileParaguay</v>
      </c>
      <c r="L71" t="str">
        <f t="shared" si="7"/>
        <v>ParaguayChile</v>
      </c>
      <c r="M71">
        <f t="shared" si="8"/>
        <v>1</v>
      </c>
      <c r="N71">
        <f t="shared" si="9"/>
        <v>0</v>
      </c>
      <c r="O71">
        <f t="shared" si="10"/>
        <v>0</v>
      </c>
    </row>
    <row r="72" spans="1:15" hidden="1" x14ac:dyDescent="0.25">
      <c r="A72" s="1">
        <v>10165</v>
      </c>
      <c r="B72" t="s">
        <v>16</v>
      </c>
      <c r="C72" t="s">
        <v>56</v>
      </c>
      <c r="D72" s="3">
        <v>42011</v>
      </c>
      <c r="E72" t="s">
        <v>65</v>
      </c>
      <c r="F72" t="s">
        <v>14</v>
      </c>
      <c r="G72" t="s">
        <v>61</v>
      </c>
      <c r="H72">
        <v>7</v>
      </c>
      <c r="I72">
        <v>1</v>
      </c>
      <c r="J72">
        <v>11</v>
      </c>
      <c r="K72" t="str">
        <f t="shared" si="6"/>
        <v>ArgentinaBolivia</v>
      </c>
      <c r="L72" t="str">
        <f t="shared" si="7"/>
        <v>BoliviaArgentina</v>
      </c>
      <c r="M72">
        <f t="shared" si="8"/>
        <v>1</v>
      </c>
      <c r="N72">
        <f t="shared" si="9"/>
        <v>0</v>
      </c>
      <c r="O72">
        <f t="shared" si="10"/>
        <v>0</v>
      </c>
    </row>
    <row r="73" spans="1:15" hidden="1" x14ac:dyDescent="0.25">
      <c r="A73" s="1">
        <v>10167</v>
      </c>
      <c r="B73" t="s">
        <v>66</v>
      </c>
      <c r="C73" t="s">
        <v>11</v>
      </c>
      <c r="D73" s="2" t="s">
        <v>12</v>
      </c>
      <c r="E73" t="s">
        <v>65</v>
      </c>
      <c r="F73" t="s">
        <v>14</v>
      </c>
      <c r="G73" t="s">
        <v>67</v>
      </c>
      <c r="H73">
        <v>0</v>
      </c>
      <c r="I73">
        <v>4</v>
      </c>
      <c r="J73">
        <v>11</v>
      </c>
      <c r="K73" t="str">
        <f t="shared" si="6"/>
        <v>PeruUruguay</v>
      </c>
      <c r="L73" t="str">
        <f t="shared" si="7"/>
        <v>UruguayPeru</v>
      </c>
      <c r="M73">
        <f t="shared" si="8"/>
        <v>0</v>
      </c>
      <c r="N73">
        <f t="shared" si="9"/>
        <v>1</v>
      </c>
      <c r="O73">
        <f t="shared" si="10"/>
        <v>0</v>
      </c>
    </row>
    <row r="74" spans="1:15" hidden="1" x14ac:dyDescent="0.25">
      <c r="A74" s="1">
        <v>10172</v>
      </c>
      <c r="B74" t="s">
        <v>56</v>
      </c>
      <c r="C74" t="s">
        <v>11</v>
      </c>
      <c r="D74" s="2" t="s">
        <v>68</v>
      </c>
      <c r="E74" t="s">
        <v>69</v>
      </c>
      <c r="F74" t="s">
        <v>14</v>
      </c>
      <c r="G74" t="s">
        <v>64</v>
      </c>
      <c r="H74">
        <v>0</v>
      </c>
      <c r="I74">
        <v>9</v>
      </c>
      <c r="J74">
        <v>11</v>
      </c>
      <c r="K74" t="str">
        <f t="shared" si="6"/>
        <v>BoliviaUruguay</v>
      </c>
      <c r="L74" t="str">
        <f t="shared" si="7"/>
        <v>UruguayBolivia</v>
      </c>
      <c r="M74">
        <f t="shared" si="8"/>
        <v>0</v>
      </c>
      <c r="N74">
        <f t="shared" si="9"/>
        <v>1</v>
      </c>
      <c r="O74">
        <f t="shared" si="10"/>
        <v>0</v>
      </c>
    </row>
    <row r="75" spans="1:15" hidden="1" x14ac:dyDescent="0.25">
      <c r="A75" s="1">
        <v>10175</v>
      </c>
      <c r="B75" t="s">
        <v>56</v>
      </c>
      <c r="C75" t="s">
        <v>11</v>
      </c>
      <c r="D75" s="2" t="s">
        <v>68</v>
      </c>
      <c r="E75" t="s">
        <v>70</v>
      </c>
      <c r="F75" t="s">
        <v>14</v>
      </c>
      <c r="G75" t="s">
        <v>64</v>
      </c>
      <c r="H75">
        <v>0</v>
      </c>
      <c r="I75">
        <v>9</v>
      </c>
      <c r="J75">
        <v>11</v>
      </c>
      <c r="K75" t="str">
        <f t="shared" si="6"/>
        <v>BoliviaUruguay</v>
      </c>
      <c r="L75" t="str">
        <f t="shared" si="7"/>
        <v>UruguayBolivia</v>
      </c>
      <c r="M75">
        <f t="shared" si="8"/>
        <v>0</v>
      </c>
      <c r="N75">
        <f t="shared" si="9"/>
        <v>1</v>
      </c>
      <c r="O75">
        <f t="shared" si="10"/>
        <v>0</v>
      </c>
    </row>
    <row r="76" spans="1:15" hidden="1" x14ac:dyDescent="0.25">
      <c r="A76" s="1">
        <v>10179</v>
      </c>
      <c r="B76" t="s">
        <v>56</v>
      </c>
      <c r="C76" t="s">
        <v>66</v>
      </c>
      <c r="D76" s="3">
        <v>42065</v>
      </c>
      <c r="E76" t="s">
        <v>69</v>
      </c>
      <c r="F76" t="s">
        <v>14</v>
      </c>
      <c r="G76" t="s">
        <v>71</v>
      </c>
      <c r="H76">
        <v>2</v>
      </c>
      <c r="I76">
        <v>3</v>
      </c>
      <c r="J76">
        <v>11</v>
      </c>
      <c r="K76" t="str">
        <f t="shared" si="6"/>
        <v>BoliviaPeru</v>
      </c>
      <c r="L76" t="str">
        <f t="shared" si="7"/>
        <v>PeruBolivia</v>
      </c>
      <c r="M76">
        <f t="shared" si="8"/>
        <v>0</v>
      </c>
      <c r="N76">
        <f t="shared" si="9"/>
        <v>1</v>
      </c>
      <c r="O76">
        <f t="shared" si="10"/>
        <v>0</v>
      </c>
    </row>
    <row r="77" spans="1:15" hidden="1" x14ac:dyDescent="0.25">
      <c r="A77" s="1">
        <v>10186</v>
      </c>
      <c r="B77" t="s">
        <v>16</v>
      </c>
      <c r="C77" t="s">
        <v>11</v>
      </c>
      <c r="D77" s="3">
        <v>42038</v>
      </c>
      <c r="E77" t="s">
        <v>65</v>
      </c>
      <c r="F77" t="s">
        <v>14</v>
      </c>
      <c r="G77" t="s">
        <v>26</v>
      </c>
      <c r="H77">
        <v>3</v>
      </c>
      <c r="I77">
        <v>2</v>
      </c>
      <c r="J77">
        <v>11</v>
      </c>
      <c r="K77" t="str">
        <f t="shared" si="6"/>
        <v>ArgentinaUruguay</v>
      </c>
      <c r="L77" t="str">
        <f t="shared" si="7"/>
        <v>UruguayArgentina</v>
      </c>
      <c r="M77">
        <f t="shared" si="8"/>
        <v>1</v>
      </c>
      <c r="N77">
        <f t="shared" si="9"/>
        <v>0</v>
      </c>
      <c r="O77">
        <f t="shared" si="10"/>
        <v>0</v>
      </c>
    </row>
    <row r="78" spans="1:15" hidden="1" x14ac:dyDescent="0.25">
      <c r="A78" s="1">
        <v>10193</v>
      </c>
      <c r="B78" t="s">
        <v>16</v>
      </c>
      <c r="C78" t="s">
        <v>66</v>
      </c>
      <c r="D78" s="3">
        <v>42009</v>
      </c>
      <c r="E78" t="s">
        <v>65</v>
      </c>
      <c r="F78" t="s">
        <v>14</v>
      </c>
      <c r="G78" t="s">
        <v>72</v>
      </c>
      <c r="H78">
        <v>5</v>
      </c>
      <c r="I78">
        <v>1</v>
      </c>
      <c r="J78">
        <v>11</v>
      </c>
      <c r="K78" t="str">
        <f t="shared" si="6"/>
        <v>ArgentinaPeru</v>
      </c>
      <c r="L78" t="str">
        <f t="shared" si="7"/>
        <v>PeruArgentina</v>
      </c>
      <c r="M78">
        <f t="shared" si="8"/>
        <v>1</v>
      </c>
      <c r="N78">
        <f t="shared" si="9"/>
        <v>0</v>
      </c>
      <c r="O78">
        <f t="shared" si="10"/>
        <v>0</v>
      </c>
    </row>
    <row r="79" spans="1:15" hidden="1" x14ac:dyDescent="0.25">
      <c r="A79" s="1">
        <v>10898</v>
      </c>
      <c r="B79" t="s">
        <v>43</v>
      </c>
      <c r="C79" t="s">
        <v>11</v>
      </c>
      <c r="D79" s="2" t="s">
        <v>47</v>
      </c>
      <c r="E79" t="s">
        <v>13</v>
      </c>
      <c r="F79" t="s">
        <v>14</v>
      </c>
      <c r="G79" t="s">
        <v>44</v>
      </c>
      <c r="H79">
        <v>3</v>
      </c>
      <c r="I79">
        <v>0</v>
      </c>
      <c r="J79">
        <v>12</v>
      </c>
      <c r="K79" t="str">
        <f t="shared" si="6"/>
        <v>ParaguayUruguay</v>
      </c>
      <c r="L79" t="str">
        <f t="shared" si="7"/>
        <v>UruguayParaguay</v>
      </c>
      <c r="M79">
        <f t="shared" si="8"/>
        <v>1</v>
      </c>
      <c r="N79">
        <f t="shared" si="9"/>
        <v>0</v>
      </c>
      <c r="O79">
        <f t="shared" si="10"/>
        <v>0</v>
      </c>
    </row>
    <row r="80" spans="1:15" hidden="1" x14ac:dyDescent="0.25">
      <c r="A80" s="1">
        <v>10900</v>
      </c>
      <c r="B80" t="s">
        <v>16</v>
      </c>
      <c r="C80" t="s">
        <v>66</v>
      </c>
      <c r="D80" s="2" t="s">
        <v>47</v>
      </c>
      <c r="E80" t="s">
        <v>17</v>
      </c>
      <c r="F80" t="s">
        <v>14</v>
      </c>
      <c r="G80" t="s">
        <v>72</v>
      </c>
      <c r="H80">
        <v>3</v>
      </c>
      <c r="I80">
        <v>0</v>
      </c>
      <c r="J80">
        <v>12</v>
      </c>
      <c r="K80" t="str">
        <f t="shared" si="6"/>
        <v>ArgentinaPeru</v>
      </c>
      <c r="L80" t="str">
        <f t="shared" si="7"/>
        <v>PeruArgentina</v>
      </c>
      <c r="M80">
        <f t="shared" si="8"/>
        <v>1</v>
      </c>
      <c r="N80">
        <f t="shared" si="9"/>
        <v>0</v>
      </c>
      <c r="O80">
        <f t="shared" si="10"/>
        <v>0</v>
      </c>
    </row>
    <row r="81" spans="1:15" hidden="1" x14ac:dyDescent="0.25">
      <c r="A81" s="1">
        <v>10907</v>
      </c>
      <c r="B81" t="s">
        <v>16</v>
      </c>
      <c r="C81" t="s">
        <v>43</v>
      </c>
      <c r="D81" s="3">
        <v>42008</v>
      </c>
      <c r="E81" t="s">
        <v>17</v>
      </c>
      <c r="F81" t="s">
        <v>14</v>
      </c>
      <c r="G81" t="s">
        <v>48</v>
      </c>
      <c r="H81">
        <v>4</v>
      </c>
      <c r="I81">
        <v>1</v>
      </c>
      <c r="J81">
        <v>12</v>
      </c>
      <c r="K81" t="str">
        <f t="shared" si="6"/>
        <v>ArgentinaParaguay</v>
      </c>
      <c r="L81" t="str">
        <f t="shared" si="7"/>
        <v>ParaguayArgentina</v>
      </c>
      <c r="M81">
        <f t="shared" si="8"/>
        <v>1</v>
      </c>
      <c r="N81">
        <f t="shared" si="9"/>
        <v>0</v>
      </c>
      <c r="O81">
        <f t="shared" si="10"/>
        <v>0</v>
      </c>
    </row>
    <row r="82" spans="1:15" hidden="1" x14ac:dyDescent="0.25">
      <c r="A82" s="1">
        <v>10908</v>
      </c>
      <c r="B82" t="s">
        <v>66</v>
      </c>
      <c r="C82" t="s">
        <v>11</v>
      </c>
      <c r="D82" s="3">
        <v>42095</v>
      </c>
      <c r="E82" t="s">
        <v>73</v>
      </c>
      <c r="F82" t="s">
        <v>14</v>
      </c>
      <c r="G82" t="s">
        <v>67</v>
      </c>
      <c r="H82">
        <v>1</v>
      </c>
      <c r="I82">
        <v>4</v>
      </c>
      <c r="J82">
        <v>12</v>
      </c>
      <c r="K82" t="str">
        <f t="shared" si="6"/>
        <v>PeruUruguay</v>
      </c>
      <c r="L82" t="str">
        <f t="shared" si="7"/>
        <v>UruguayPeru</v>
      </c>
      <c r="M82">
        <f t="shared" si="8"/>
        <v>0</v>
      </c>
      <c r="N82">
        <f t="shared" si="9"/>
        <v>1</v>
      </c>
      <c r="O82">
        <f t="shared" si="10"/>
        <v>0</v>
      </c>
    </row>
    <row r="83" spans="1:15" hidden="1" x14ac:dyDescent="0.25">
      <c r="A83" s="1">
        <v>10913</v>
      </c>
      <c r="B83" t="s">
        <v>43</v>
      </c>
      <c r="C83" t="s">
        <v>66</v>
      </c>
      <c r="D83" s="2" t="s">
        <v>59</v>
      </c>
      <c r="E83" t="s">
        <v>13</v>
      </c>
      <c r="F83" t="s">
        <v>14</v>
      </c>
      <c r="G83" t="s">
        <v>74</v>
      </c>
      <c r="H83">
        <v>5</v>
      </c>
      <c r="I83">
        <v>0</v>
      </c>
      <c r="J83">
        <v>12</v>
      </c>
      <c r="K83" t="str">
        <f t="shared" si="6"/>
        <v>ParaguayPeru</v>
      </c>
      <c r="L83" t="str">
        <f t="shared" si="7"/>
        <v>PeruParaguay</v>
      </c>
      <c r="M83">
        <f t="shared" si="8"/>
        <v>1</v>
      </c>
      <c r="N83">
        <f t="shared" si="9"/>
        <v>0</v>
      </c>
      <c r="O83">
        <f t="shared" si="10"/>
        <v>0</v>
      </c>
    </row>
    <row r="84" spans="1:15" hidden="1" x14ac:dyDescent="0.25">
      <c r="A84" s="1">
        <v>10914</v>
      </c>
      <c r="B84" t="s">
        <v>16</v>
      </c>
      <c r="C84" t="s">
        <v>11</v>
      </c>
      <c r="D84" s="2" t="s">
        <v>42</v>
      </c>
      <c r="E84" t="s">
        <v>17</v>
      </c>
      <c r="F84" t="s">
        <v>14</v>
      </c>
      <c r="G84" t="s">
        <v>26</v>
      </c>
      <c r="H84">
        <v>2</v>
      </c>
      <c r="I84">
        <v>0</v>
      </c>
      <c r="J84">
        <v>12</v>
      </c>
      <c r="K84" t="str">
        <f t="shared" si="6"/>
        <v>ArgentinaUruguay</v>
      </c>
      <c r="L84" t="str">
        <f t="shared" si="7"/>
        <v>UruguayArgentina</v>
      </c>
      <c r="M84">
        <f t="shared" si="8"/>
        <v>1</v>
      </c>
      <c r="N84">
        <f t="shared" si="9"/>
        <v>0</v>
      </c>
      <c r="O84">
        <f t="shared" si="10"/>
        <v>0</v>
      </c>
    </row>
    <row r="85" spans="1:15" hidden="1" x14ac:dyDescent="0.25">
      <c r="A85" t="s">
        <v>75</v>
      </c>
      <c r="B85" t="s">
        <v>16</v>
      </c>
      <c r="C85" t="s">
        <v>10</v>
      </c>
      <c r="D85" s="3">
        <v>42008</v>
      </c>
      <c r="E85" t="s">
        <v>65</v>
      </c>
      <c r="F85" t="s">
        <v>14</v>
      </c>
      <c r="G85" t="s">
        <v>18</v>
      </c>
      <c r="H85">
        <v>4</v>
      </c>
      <c r="I85">
        <v>1</v>
      </c>
      <c r="J85">
        <v>13</v>
      </c>
      <c r="K85" t="str">
        <f t="shared" si="6"/>
        <v>ArgentinaChile</v>
      </c>
      <c r="L85" t="str">
        <f t="shared" si="7"/>
        <v>ChileArgentina</v>
      </c>
      <c r="M85">
        <f t="shared" si="8"/>
        <v>1</v>
      </c>
      <c r="N85">
        <f t="shared" si="9"/>
        <v>0</v>
      </c>
      <c r="O85">
        <f t="shared" si="10"/>
        <v>0</v>
      </c>
    </row>
    <row r="86" spans="1:15" hidden="1" x14ac:dyDescent="0.25">
      <c r="A86" t="s">
        <v>76</v>
      </c>
      <c r="B86" t="s">
        <v>66</v>
      </c>
      <c r="C86" t="s">
        <v>11</v>
      </c>
      <c r="D86" s="2" t="s">
        <v>33</v>
      </c>
      <c r="E86" t="s">
        <v>65</v>
      </c>
      <c r="F86" t="s">
        <v>14</v>
      </c>
      <c r="G86" t="s">
        <v>67</v>
      </c>
      <c r="H86">
        <v>0</v>
      </c>
      <c r="I86">
        <v>1</v>
      </c>
      <c r="J86">
        <v>13</v>
      </c>
      <c r="K86" t="str">
        <f t="shared" si="6"/>
        <v>PeruUruguay</v>
      </c>
      <c r="L86" t="str">
        <f t="shared" si="7"/>
        <v>UruguayPeru</v>
      </c>
      <c r="M86">
        <f t="shared" si="8"/>
        <v>0</v>
      </c>
      <c r="N86">
        <f t="shared" si="9"/>
        <v>1</v>
      </c>
      <c r="O86">
        <f t="shared" si="10"/>
        <v>0</v>
      </c>
    </row>
    <row r="87" spans="1:15" hidden="1" x14ac:dyDescent="0.25">
      <c r="A87" t="s">
        <v>77</v>
      </c>
      <c r="B87" t="s">
        <v>10</v>
      </c>
      <c r="C87" t="s">
        <v>11</v>
      </c>
      <c r="D87" s="3">
        <v>42036</v>
      </c>
      <c r="E87" t="s">
        <v>69</v>
      </c>
      <c r="F87" t="s">
        <v>14</v>
      </c>
      <c r="G87" t="s">
        <v>15</v>
      </c>
      <c r="H87">
        <v>1</v>
      </c>
      <c r="I87">
        <v>2</v>
      </c>
      <c r="J87">
        <v>13</v>
      </c>
      <c r="K87" t="str">
        <f t="shared" si="6"/>
        <v>ChileUruguay</v>
      </c>
      <c r="L87" t="str">
        <f t="shared" si="7"/>
        <v>UruguayChile</v>
      </c>
      <c r="M87">
        <f t="shared" si="8"/>
        <v>0</v>
      </c>
      <c r="N87">
        <f t="shared" si="9"/>
        <v>1</v>
      </c>
      <c r="O87">
        <f t="shared" si="10"/>
        <v>0</v>
      </c>
    </row>
    <row r="88" spans="1:15" hidden="1" x14ac:dyDescent="0.25">
      <c r="A88" t="s">
        <v>78</v>
      </c>
      <c r="B88" t="s">
        <v>16</v>
      </c>
      <c r="C88" t="s">
        <v>66</v>
      </c>
      <c r="D88" s="3">
        <v>42008</v>
      </c>
      <c r="E88" t="s">
        <v>65</v>
      </c>
      <c r="F88" t="s">
        <v>14</v>
      </c>
      <c r="G88" t="s">
        <v>72</v>
      </c>
      <c r="H88">
        <v>4</v>
      </c>
      <c r="I88">
        <v>1</v>
      </c>
      <c r="J88">
        <v>13</v>
      </c>
      <c r="K88" t="str">
        <f t="shared" si="6"/>
        <v>ArgentinaPeru</v>
      </c>
      <c r="L88" t="str">
        <f t="shared" si="7"/>
        <v>PeruArgentina</v>
      </c>
      <c r="M88">
        <f t="shared" si="8"/>
        <v>1</v>
      </c>
      <c r="N88">
        <f t="shared" si="9"/>
        <v>0</v>
      </c>
      <c r="O88">
        <f t="shared" si="10"/>
        <v>0</v>
      </c>
    </row>
    <row r="89" spans="1:15" hidden="1" x14ac:dyDescent="0.25">
      <c r="A89" t="s">
        <v>79</v>
      </c>
      <c r="B89" t="s">
        <v>10</v>
      </c>
      <c r="C89" t="s">
        <v>66</v>
      </c>
      <c r="D89" s="2" t="s">
        <v>33</v>
      </c>
      <c r="E89" t="s">
        <v>69</v>
      </c>
      <c r="F89" t="s">
        <v>14</v>
      </c>
      <c r="G89" t="s">
        <v>80</v>
      </c>
      <c r="H89">
        <v>0</v>
      </c>
      <c r="I89">
        <v>1</v>
      </c>
      <c r="J89">
        <v>13</v>
      </c>
      <c r="K89" t="str">
        <f t="shared" si="6"/>
        <v>ChilePeru</v>
      </c>
      <c r="L89" t="str">
        <f t="shared" si="7"/>
        <v>PeruChile</v>
      </c>
      <c r="M89">
        <f t="shared" si="8"/>
        <v>0</v>
      </c>
      <c r="N89">
        <f t="shared" si="9"/>
        <v>1</v>
      </c>
      <c r="O89">
        <f t="shared" si="10"/>
        <v>0</v>
      </c>
    </row>
    <row r="90" spans="1:15" hidden="1" x14ac:dyDescent="0.25">
      <c r="A90" t="s">
        <v>81</v>
      </c>
      <c r="B90" t="s">
        <v>16</v>
      </c>
      <c r="C90" t="s">
        <v>11</v>
      </c>
      <c r="D90" s="2" t="s">
        <v>45</v>
      </c>
      <c r="E90" t="s">
        <v>65</v>
      </c>
      <c r="F90" t="s">
        <v>14</v>
      </c>
      <c r="G90" t="s">
        <v>26</v>
      </c>
      <c r="H90">
        <v>0</v>
      </c>
      <c r="I90">
        <v>3</v>
      </c>
      <c r="J90">
        <v>13</v>
      </c>
      <c r="K90" t="str">
        <f t="shared" si="6"/>
        <v>ArgentinaUruguay</v>
      </c>
      <c r="L90" t="str">
        <f t="shared" si="7"/>
        <v>UruguayArgentina</v>
      </c>
      <c r="M90">
        <f t="shared" si="8"/>
        <v>0</v>
      </c>
      <c r="N90">
        <f t="shared" si="9"/>
        <v>1</v>
      </c>
      <c r="O90">
        <f t="shared" si="10"/>
        <v>0</v>
      </c>
    </row>
    <row r="91" spans="1:15" hidden="1" x14ac:dyDescent="0.25">
      <c r="A91" t="s">
        <v>82</v>
      </c>
      <c r="B91" t="s">
        <v>66</v>
      </c>
      <c r="C91" t="s">
        <v>19</v>
      </c>
      <c r="D91" s="3">
        <v>42065</v>
      </c>
      <c r="E91" t="s">
        <v>73</v>
      </c>
      <c r="F91" t="s">
        <v>14</v>
      </c>
      <c r="G91" t="s">
        <v>83</v>
      </c>
      <c r="H91">
        <v>2</v>
      </c>
      <c r="I91">
        <v>3</v>
      </c>
      <c r="J91">
        <v>14</v>
      </c>
      <c r="K91" t="str">
        <f t="shared" si="6"/>
        <v>PeruBrazil</v>
      </c>
      <c r="L91" t="str">
        <f t="shared" si="7"/>
        <v>BrazilPeru</v>
      </c>
      <c r="M91">
        <f t="shared" si="8"/>
        <v>0</v>
      </c>
      <c r="N91">
        <f t="shared" si="9"/>
        <v>1</v>
      </c>
      <c r="O91">
        <f t="shared" si="10"/>
        <v>0</v>
      </c>
    </row>
    <row r="92" spans="1:15" hidden="1" x14ac:dyDescent="0.25">
      <c r="A92" t="s">
        <v>84</v>
      </c>
      <c r="B92" t="s">
        <v>16</v>
      </c>
      <c r="C92" t="s">
        <v>10</v>
      </c>
      <c r="D92" s="3">
        <v>42006</v>
      </c>
      <c r="E92" t="s">
        <v>17</v>
      </c>
      <c r="F92" t="s">
        <v>14</v>
      </c>
      <c r="G92" t="s">
        <v>18</v>
      </c>
      <c r="H92">
        <v>2</v>
      </c>
      <c r="I92">
        <v>1</v>
      </c>
      <c r="J92">
        <v>14</v>
      </c>
      <c r="K92" t="str">
        <f t="shared" si="6"/>
        <v>ArgentinaChile</v>
      </c>
      <c r="L92" t="str">
        <f t="shared" si="7"/>
        <v>ChileArgentina</v>
      </c>
      <c r="M92">
        <f t="shared" si="8"/>
        <v>1</v>
      </c>
      <c r="N92">
        <f t="shared" si="9"/>
        <v>0</v>
      </c>
      <c r="O92">
        <f t="shared" si="10"/>
        <v>0</v>
      </c>
    </row>
    <row r="93" spans="1:15" hidden="1" x14ac:dyDescent="0.25">
      <c r="A93" t="s">
        <v>85</v>
      </c>
      <c r="B93" t="s">
        <v>43</v>
      </c>
      <c r="C93" t="s">
        <v>11</v>
      </c>
      <c r="D93" s="3">
        <v>42039</v>
      </c>
      <c r="E93" t="s">
        <v>13</v>
      </c>
      <c r="F93" t="s">
        <v>14</v>
      </c>
      <c r="G93" t="s">
        <v>44</v>
      </c>
      <c r="H93">
        <v>4</v>
      </c>
      <c r="I93">
        <v>2</v>
      </c>
      <c r="J93">
        <v>14</v>
      </c>
      <c r="K93" t="str">
        <f t="shared" si="6"/>
        <v>ParaguayUruguay</v>
      </c>
      <c r="L93" t="str">
        <f t="shared" si="7"/>
        <v>UruguayParaguay</v>
      </c>
      <c r="M93">
        <f t="shared" si="8"/>
        <v>1</v>
      </c>
      <c r="N93">
        <f t="shared" si="9"/>
        <v>0</v>
      </c>
      <c r="O93">
        <f t="shared" si="10"/>
        <v>0</v>
      </c>
    </row>
    <row r="94" spans="1:15" hidden="1" x14ac:dyDescent="0.25">
      <c r="A94" t="s">
        <v>86</v>
      </c>
      <c r="B94" t="s">
        <v>10</v>
      </c>
      <c r="C94" t="s">
        <v>19</v>
      </c>
      <c r="D94" s="3">
        <v>42159</v>
      </c>
      <c r="E94" t="s">
        <v>13</v>
      </c>
      <c r="F94" t="s">
        <v>14</v>
      </c>
      <c r="G94" t="s">
        <v>20</v>
      </c>
      <c r="H94">
        <v>4</v>
      </c>
      <c r="I94">
        <v>6</v>
      </c>
      <c r="J94">
        <v>14</v>
      </c>
      <c r="K94" t="str">
        <f t="shared" si="6"/>
        <v>ChileBrazil</v>
      </c>
      <c r="L94" t="str">
        <f t="shared" si="7"/>
        <v>BrazilChile</v>
      </c>
      <c r="M94">
        <f t="shared" si="8"/>
        <v>0</v>
      </c>
      <c r="N94">
        <f t="shared" si="9"/>
        <v>1</v>
      </c>
      <c r="O94">
        <f t="shared" si="10"/>
        <v>0</v>
      </c>
    </row>
    <row r="95" spans="1:15" hidden="1" x14ac:dyDescent="0.25">
      <c r="A95" t="s">
        <v>87</v>
      </c>
      <c r="B95" t="s">
        <v>66</v>
      </c>
      <c r="C95" t="s">
        <v>11</v>
      </c>
      <c r="D95" s="3">
        <v>42096</v>
      </c>
      <c r="E95" t="s">
        <v>73</v>
      </c>
      <c r="F95" t="s">
        <v>14</v>
      </c>
      <c r="G95" t="s">
        <v>67</v>
      </c>
      <c r="H95">
        <v>2</v>
      </c>
      <c r="I95">
        <v>4</v>
      </c>
      <c r="J95">
        <v>14</v>
      </c>
      <c r="K95" t="str">
        <f t="shared" si="6"/>
        <v>PeruUruguay</v>
      </c>
      <c r="L95" t="str">
        <f t="shared" si="7"/>
        <v>UruguayPeru</v>
      </c>
      <c r="M95">
        <f t="shared" si="8"/>
        <v>0</v>
      </c>
      <c r="N95">
        <f t="shared" si="9"/>
        <v>1</v>
      </c>
      <c r="O95">
        <f t="shared" si="10"/>
        <v>0</v>
      </c>
    </row>
    <row r="96" spans="1:15" hidden="1" x14ac:dyDescent="0.25">
      <c r="A96" t="s">
        <v>88</v>
      </c>
      <c r="B96" t="s">
        <v>16</v>
      </c>
      <c r="C96" t="s">
        <v>43</v>
      </c>
      <c r="D96" s="3">
        <v>42010</v>
      </c>
      <c r="E96" t="s">
        <v>17</v>
      </c>
      <c r="F96" t="s">
        <v>14</v>
      </c>
      <c r="G96" t="s">
        <v>48</v>
      </c>
      <c r="H96">
        <v>6</v>
      </c>
      <c r="I96">
        <v>1</v>
      </c>
      <c r="J96">
        <v>14</v>
      </c>
      <c r="K96" t="str">
        <f t="shared" si="6"/>
        <v>ArgentinaParaguay</v>
      </c>
      <c r="L96" t="str">
        <f t="shared" si="7"/>
        <v>ParaguayArgentina</v>
      </c>
      <c r="M96">
        <f t="shared" si="8"/>
        <v>1</v>
      </c>
      <c r="N96">
        <f t="shared" si="9"/>
        <v>0</v>
      </c>
      <c r="O96">
        <f t="shared" si="10"/>
        <v>0</v>
      </c>
    </row>
    <row r="97" spans="1:15" hidden="1" x14ac:dyDescent="0.25">
      <c r="A97" t="s">
        <v>89</v>
      </c>
      <c r="B97" t="s">
        <v>10</v>
      </c>
      <c r="C97" t="s">
        <v>11</v>
      </c>
      <c r="D97" s="2" t="s">
        <v>47</v>
      </c>
      <c r="E97" t="s">
        <v>13</v>
      </c>
      <c r="F97" t="s">
        <v>14</v>
      </c>
      <c r="G97" t="s">
        <v>15</v>
      </c>
      <c r="H97">
        <v>3</v>
      </c>
      <c r="I97">
        <v>0</v>
      </c>
      <c r="J97">
        <v>14</v>
      </c>
      <c r="K97" t="str">
        <f t="shared" si="6"/>
        <v>ChileUruguay</v>
      </c>
      <c r="L97" t="str">
        <f t="shared" si="7"/>
        <v>UruguayChile</v>
      </c>
      <c r="M97">
        <f t="shared" si="8"/>
        <v>1</v>
      </c>
      <c r="N97">
        <f t="shared" si="9"/>
        <v>0</v>
      </c>
      <c r="O97">
        <f t="shared" si="10"/>
        <v>0</v>
      </c>
    </row>
    <row r="98" spans="1:15" hidden="1" x14ac:dyDescent="0.25">
      <c r="A98" t="s">
        <v>90</v>
      </c>
      <c r="B98" t="s">
        <v>43</v>
      </c>
      <c r="C98" t="s">
        <v>19</v>
      </c>
      <c r="D98" s="2" t="s">
        <v>32</v>
      </c>
      <c r="E98" t="s">
        <v>13</v>
      </c>
      <c r="F98" t="s">
        <v>14</v>
      </c>
      <c r="G98" t="s">
        <v>46</v>
      </c>
      <c r="H98">
        <v>0</v>
      </c>
      <c r="I98">
        <v>5</v>
      </c>
      <c r="J98">
        <v>14</v>
      </c>
      <c r="K98" t="str">
        <f t="shared" si="6"/>
        <v>ParaguayBrazil</v>
      </c>
      <c r="L98" t="str">
        <f t="shared" si="7"/>
        <v>BrazilParaguay</v>
      </c>
      <c r="M98">
        <f t="shared" si="8"/>
        <v>0</v>
      </c>
      <c r="N98">
        <f t="shared" si="9"/>
        <v>1</v>
      </c>
      <c r="O98">
        <f t="shared" si="10"/>
        <v>0</v>
      </c>
    </row>
    <row r="99" spans="1:15" hidden="1" x14ac:dyDescent="0.25">
      <c r="A99" t="s">
        <v>91</v>
      </c>
      <c r="B99" t="s">
        <v>16</v>
      </c>
      <c r="C99" t="s">
        <v>66</v>
      </c>
      <c r="D99" s="2" t="s">
        <v>29</v>
      </c>
      <c r="E99" t="s">
        <v>17</v>
      </c>
      <c r="F99" t="s">
        <v>14</v>
      </c>
      <c r="G99" t="s">
        <v>72</v>
      </c>
      <c r="H99">
        <v>1</v>
      </c>
      <c r="I99">
        <v>0</v>
      </c>
      <c r="J99">
        <v>14</v>
      </c>
      <c r="K99" t="str">
        <f t="shared" si="6"/>
        <v>ArgentinaPeru</v>
      </c>
      <c r="L99" t="str">
        <f t="shared" si="7"/>
        <v>PeruArgentina</v>
      </c>
      <c r="M99">
        <f t="shared" si="8"/>
        <v>1</v>
      </c>
      <c r="N99">
        <f t="shared" si="9"/>
        <v>0</v>
      </c>
      <c r="O99">
        <f t="shared" si="10"/>
        <v>0</v>
      </c>
    </row>
    <row r="100" spans="1:15" hidden="1" x14ac:dyDescent="0.25">
      <c r="A100" t="s">
        <v>92</v>
      </c>
      <c r="B100" t="s">
        <v>10</v>
      </c>
      <c r="C100" t="s">
        <v>43</v>
      </c>
      <c r="D100" s="3">
        <v>42065</v>
      </c>
      <c r="E100" t="s">
        <v>13</v>
      </c>
      <c r="F100" t="s">
        <v>14</v>
      </c>
      <c r="G100" t="s">
        <v>49</v>
      </c>
      <c r="H100">
        <v>2</v>
      </c>
      <c r="I100">
        <v>3</v>
      </c>
      <c r="J100">
        <v>14</v>
      </c>
      <c r="K100" t="str">
        <f t="shared" si="6"/>
        <v>ChileParaguay</v>
      </c>
      <c r="L100" t="str">
        <f t="shared" si="7"/>
        <v>ParaguayChile</v>
      </c>
      <c r="M100">
        <f t="shared" si="8"/>
        <v>0</v>
      </c>
      <c r="N100">
        <f t="shared" si="9"/>
        <v>1</v>
      </c>
      <c r="O100">
        <f t="shared" si="10"/>
        <v>0</v>
      </c>
    </row>
    <row r="101" spans="1:15" x14ac:dyDescent="0.25">
      <c r="A101" t="s">
        <v>93</v>
      </c>
      <c r="B101" t="s">
        <v>11</v>
      </c>
      <c r="C101" t="s">
        <v>19</v>
      </c>
      <c r="D101" s="3">
        <v>42065</v>
      </c>
      <c r="E101" t="s">
        <v>22</v>
      </c>
      <c r="F101" t="s">
        <v>14</v>
      </c>
      <c r="G101" t="s">
        <v>23</v>
      </c>
      <c r="H101">
        <v>2</v>
      </c>
      <c r="I101">
        <v>3</v>
      </c>
      <c r="J101">
        <v>14</v>
      </c>
      <c r="K101" t="str">
        <f t="shared" si="6"/>
        <v>UruguayBrazil</v>
      </c>
      <c r="L101" t="str">
        <f t="shared" si="7"/>
        <v>BrazilUruguay</v>
      </c>
      <c r="M101">
        <f t="shared" si="8"/>
        <v>0</v>
      </c>
      <c r="N101">
        <f t="shared" si="9"/>
        <v>1</v>
      </c>
      <c r="O101">
        <f t="shared" si="10"/>
        <v>0</v>
      </c>
    </row>
    <row r="102" spans="1:15" hidden="1" x14ac:dyDescent="0.25">
      <c r="A102" t="s">
        <v>94</v>
      </c>
      <c r="B102" t="s">
        <v>10</v>
      </c>
      <c r="C102" t="s">
        <v>66</v>
      </c>
      <c r="D102" s="3">
        <v>42037</v>
      </c>
      <c r="E102" t="s">
        <v>13</v>
      </c>
      <c r="F102" t="s">
        <v>14</v>
      </c>
      <c r="G102" t="s">
        <v>80</v>
      </c>
      <c r="H102">
        <v>2</v>
      </c>
      <c r="I102">
        <v>2</v>
      </c>
      <c r="J102">
        <v>14</v>
      </c>
      <c r="K102" t="str">
        <f t="shared" si="6"/>
        <v>ChilePeru</v>
      </c>
      <c r="L102" t="str">
        <f t="shared" si="7"/>
        <v>PeruChile</v>
      </c>
      <c r="M102">
        <f t="shared" si="8"/>
        <v>0</v>
      </c>
      <c r="N102">
        <f t="shared" si="9"/>
        <v>0</v>
      </c>
      <c r="O102">
        <f t="shared" si="10"/>
        <v>1</v>
      </c>
    </row>
    <row r="103" spans="1:15" hidden="1" x14ac:dyDescent="0.25">
      <c r="A103" t="s">
        <v>95</v>
      </c>
      <c r="B103" t="s">
        <v>16</v>
      </c>
      <c r="C103" t="s">
        <v>11</v>
      </c>
      <c r="D103" s="3">
        <v>42065</v>
      </c>
      <c r="E103" t="s">
        <v>17</v>
      </c>
      <c r="F103" t="s">
        <v>14</v>
      </c>
      <c r="G103" t="s">
        <v>26</v>
      </c>
      <c r="H103">
        <v>2</v>
      </c>
      <c r="I103">
        <v>3</v>
      </c>
      <c r="J103">
        <v>14</v>
      </c>
      <c r="K103" t="str">
        <f t="shared" si="6"/>
        <v>ArgentinaUruguay</v>
      </c>
      <c r="L103" t="str">
        <f t="shared" si="7"/>
        <v>UruguayArgentina</v>
      </c>
      <c r="M103">
        <f t="shared" si="8"/>
        <v>0</v>
      </c>
      <c r="N103">
        <f t="shared" si="9"/>
        <v>1</v>
      </c>
      <c r="O103">
        <f t="shared" si="10"/>
        <v>0</v>
      </c>
    </row>
    <row r="104" spans="1:15" hidden="1" x14ac:dyDescent="0.25">
      <c r="A104" t="s">
        <v>96</v>
      </c>
      <c r="B104" t="s">
        <v>43</v>
      </c>
      <c r="C104" t="s">
        <v>66</v>
      </c>
      <c r="D104" s="2" t="s">
        <v>33</v>
      </c>
      <c r="E104" t="s">
        <v>13</v>
      </c>
      <c r="F104" t="s">
        <v>14</v>
      </c>
      <c r="G104" t="s">
        <v>74</v>
      </c>
      <c r="H104">
        <v>0</v>
      </c>
      <c r="I104">
        <v>1</v>
      </c>
      <c r="J104">
        <v>14</v>
      </c>
      <c r="K104" t="str">
        <f t="shared" si="6"/>
        <v>ParaguayPeru</v>
      </c>
      <c r="L104" t="str">
        <f t="shared" si="7"/>
        <v>PeruParaguay</v>
      </c>
      <c r="M104">
        <f t="shared" si="8"/>
        <v>0</v>
      </c>
      <c r="N104">
        <f t="shared" si="9"/>
        <v>1</v>
      </c>
      <c r="O104">
        <f t="shared" si="10"/>
        <v>0</v>
      </c>
    </row>
    <row r="105" spans="1:15" hidden="1" x14ac:dyDescent="0.25">
      <c r="A105" t="s">
        <v>97</v>
      </c>
      <c r="B105" t="s">
        <v>16</v>
      </c>
      <c r="C105" t="s">
        <v>19</v>
      </c>
      <c r="D105" s="2" t="s">
        <v>29</v>
      </c>
      <c r="E105" t="s">
        <v>17</v>
      </c>
      <c r="F105" t="s">
        <v>14</v>
      </c>
      <c r="G105" t="s">
        <v>21</v>
      </c>
      <c r="H105">
        <v>1</v>
      </c>
      <c r="I105">
        <v>0</v>
      </c>
      <c r="J105">
        <v>14</v>
      </c>
      <c r="K105" t="str">
        <f t="shared" si="6"/>
        <v>ArgentinaBrazil</v>
      </c>
      <c r="L105" t="str">
        <f t="shared" si="7"/>
        <v>BrazilArgentina</v>
      </c>
      <c r="M105">
        <f t="shared" si="8"/>
        <v>1</v>
      </c>
      <c r="N105">
        <f t="shared" si="9"/>
        <v>0</v>
      </c>
      <c r="O105">
        <f t="shared" si="10"/>
        <v>0</v>
      </c>
    </row>
    <row r="106" spans="1:15" hidden="1" x14ac:dyDescent="0.25">
      <c r="A106" s="1">
        <v>13547</v>
      </c>
      <c r="B106" t="s">
        <v>16</v>
      </c>
      <c r="C106" t="s">
        <v>19</v>
      </c>
      <c r="D106" s="2" t="s">
        <v>42</v>
      </c>
      <c r="E106" t="s">
        <v>17</v>
      </c>
      <c r="F106" t="s">
        <v>14</v>
      </c>
      <c r="G106" t="s">
        <v>21</v>
      </c>
      <c r="H106">
        <v>2</v>
      </c>
      <c r="I106">
        <v>0</v>
      </c>
      <c r="J106">
        <v>14</v>
      </c>
      <c r="K106" t="str">
        <f t="shared" si="6"/>
        <v>ArgentinaBrazil</v>
      </c>
      <c r="L106" t="str">
        <f t="shared" si="7"/>
        <v>BrazilArgentina</v>
      </c>
      <c r="M106">
        <f t="shared" si="8"/>
        <v>1</v>
      </c>
      <c r="N106">
        <f t="shared" si="9"/>
        <v>0</v>
      </c>
      <c r="O106">
        <f t="shared" si="10"/>
        <v>0</v>
      </c>
    </row>
    <row r="107" spans="1:15" hidden="1" x14ac:dyDescent="0.25">
      <c r="A107" t="s">
        <v>98</v>
      </c>
      <c r="B107" t="s">
        <v>99</v>
      </c>
      <c r="C107" t="s">
        <v>66</v>
      </c>
      <c r="D107" s="3">
        <v>42126</v>
      </c>
      <c r="E107" t="s">
        <v>69</v>
      </c>
      <c r="F107" t="s">
        <v>14</v>
      </c>
      <c r="G107" t="s">
        <v>100</v>
      </c>
      <c r="H107">
        <v>2</v>
      </c>
      <c r="I107">
        <v>5</v>
      </c>
      <c r="J107">
        <v>15</v>
      </c>
      <c r="K107" t="str">
        <f t="shared" si="6"/>
        <v>EcuadorPeru</v>
      </c>
      <c r="L107" t="str">
        <f t="shared" si="7"/>
        <v>PeruEcuador</v>
      </c>
      <c r="M107">
        <f t="shared" si="8"/>
        <v>0</v>
      </c>
      <c r="N107">
        <f t="shared" si="9"/>
        <v>1</v>
      </c>
      <c r="O107">
        <f t="shared" si="10"/>
        <v>0</v>
      </c>
    </row>
    <row r="108" spans="1:15" hidden="1" x14ac:dyDescent="0.25">
      <c r="A108" t="s">
        <v>98</v>
      </c>
      <c r="B108" t="s">
        <v>10</v>
      </c>
      <c r="C108" t="s">
        <v>43</v>
      </c>
      <c r="D108" s="3">
        <v>42125</v>
      </c>
      <c r="E108" t="s">
        <v>69</v>
      </c>
      <c r="F108" t="s">
        <v>14</v>
      </c>
      <c r="G108" t="s">
        <v>49</v>
      </c>
      <c r="H108">
        <v>1</v>
      </c>
      <c r="I108">
        <v>5</v>
      </c>
      <c r="J108">
        <v>15</v>
      </c>
      <c r="K108" t="str">
        <f t="shared" si="6"/>
        <v>ChileParaguay</v>
      </c>
      <c r="L108" t="str">
        <f t="shared" si="7"/>
        <v>ParaguayChile</v>
      </c>
      <c r="M108">
        <f t="shared" si="8"/>
        <v>0</v>
      </c>
      <c r="N108">
        <f t="shared" si="9"/>
        <v>1</v>
      </c>
      <c r="O108">
        <f t="shared" si="10"/>
        <v>0</v>
      </c>
    </row>
    <row r="109" spans="1:15" hidden="1" x14ac:dyDescent="0.25">
      <c r="A109" t="s">
        <v>101</v>
      </c>
      <c r="B109" t="s">
        <v>10</v>
      </c>
      <c r="C109" t="s">
        <v>66</v>
      </c>
      <c r="D109" s="3">
        <v>42064</v>
      </c>
      <c r="E109" t="s">
        <v>69</v>
      </c>
      <c r="F109" t="s">
        <v>14</v>
      </c>
      <c r="G109" t="s">
        <v>80</v>
      </c>
      <c r="H109">
        <v>1</v>
      </c>
      <c r="I109">
        <v>3</v>
      </c>
      <c r="J109">
        <v>15</v>
      </c>
      <c r="K109" t="str">
        <f t="shared" si="6"/>
        <v>ChilePeru</v>
      </c>
      <c r="L109" t="str">
        <f t="shared" si="7"/>
        <v>PeruChile</v>
      </c>
      <c r="M109">
        <f t="shared" si="8"/>
        <v>0</v>
      </c>
      <c r="N109">
        <f t="shared" si="9"/>
        <v>1</v>
      </c>
      <c r="O109">
        <f t="shared" si="10"/>
        <v>0</v>
      </c>
    </row>
    <row r="110" spans="1:15" hidden="1" x14ac:dyDescent="0.25">
      <c r="A110" t="s">
        <v>101</v>
      </c>
      <c r="B110" t="s">
        <v>99</v>
      </c>
      <c r="C110" t="s">
        <v>11</v>
      </c>
      <c r="D110" s="2" t="s">
        <v>34</v>
      </c>
      <c r="E110" t="s">
        <v>69</v>
      </c>
      <c r="F110" t="s">
        <v>14</v>
      </c>
      <c r="G110" t="s">
        <v>102</v>
      </c>
      <c r="H110">
        <v>0</v>
      </c>
      <c r="I110">
        <v>6</v>
      </c>
      <c r="J110">
        <v>15</v>
      </c>
      <c r="K110" t="str">
        <f t="shared" si="6"/>
        <v>EcuadorUruguay</v>
      </c>
      <c r="L110" t="str">
        <f t="shared" si="7"/>
        <v>UruguayEcuador</v>
      </c>
      <c r="M110">
        <f t="shared" si="8"/>
        <v>0</v>
      </c>
      <c r="N110">
        <f t="shared" si="9"/>
        <v>1</v>
      </c>
      <c r="O110">
        <f t="shared" si="10"/>
        <v>0</v>
      </c>
    </row>
    <row r="111" spans="1:15" hidden="1" x14ac:dyDescent="0.25">
      <c r="A111" t="s">
        <v>103</v>
      </c>
      <c r="B111" t="s">
        <v>10</v>
      </c>
      <c r="C111" t="s">
        <v>11</v>
      </c>
      <c r="D111" s="3">
        <v>42065</v>
      </c>
      <c r="E111" t="s">
        <v>69</v>
      </c>
      <c r="F111" t="s">
        <v>14</v>
      </c>
      <c r="G111" t="s">
        <v>15</v>
      </c>
      <c r="H111">
        <v>2</v>
      </c>
      <c r="I111">
        <v>3</v>
      </c>
      <c r="J111">
        <v>15</v>
      </c>
      <c r="K111" t="str">
        <f t="shared" si="6"/>
        <v>ChileUruguay</v>
      </c>
      <c r="L111" t="str">
        <f t="shared" si="7"/>
        <v>UruguayChile</v>
      </c>
      <c r="M111">
        <f t="shared" si="8"/>
        <v>0</v>
      </c>
      <c r="N111">
        <f t="shared" si="9"/>
        <v>1</v>
      </c>
      <c r="O111">
        <f t="shared" si="10"/>
        <v>0</v>
      </c>
    </row>
    <row r="112" spans="1:15" hidden="1" x14ac:dyDescent="0.25">
      <c r="A112" t="s">
        <v>103</v>
      </c>
      <c r="B112" t="s">
        <v>43</v>
      </c>
      <c r="C112" t="s">
        <v>66</v>
      </c>
      <c r="D112" s="2" t="s">
        <v>45</v>
      </c>
      <c r="E112" t="s">
        <v>69</v>
      </c>
      <c r="F112" t="s">
        <v>14</v>
      </c>
      <c r="G112" t="s">
        <v>74</v>
      </c>
      <c r="H112">
        <v>0</v>
      </c>
      <c r="I112">
        <v>3</v>
      </c>
      <c r="J112">
        <v>15</v>
      </c>
      <c r="K112" t="str">
        <f t="shared" si="6"/>
        <v>ParaguayPeru</v>
      </c>
      <c r="L112" t="str">
        <f t="shared" si="7"/>
        <v>PeruParaguay</v>
      </c>
      <c r="M112">
        <f t="shared" si="8"/>
        <v>0</v>
      </c>
      <c r="N112">
        <f t="shared" si="9"/>
        <v>1</v>
      </c>
      <c r="O112">
        <f t="shared" si="10"/>
        <v>0</v>
      </c>
    </row>
    <row r="113" spans="1:15" hidden="1" x14ac:dyDescent="0.25">
      <c r="A113" s="1">
        <v>14281</v>
      </c>
      <c r="B113" t="s">
        <v>10</v>
      </c>
      <c r="C113" t="s">
        <v>99</v>
      </c>
      <c r="D113" s="3">
        <v>42008</v>
      </c>
      <c r="E113" t="s">
        <v>69</v>
      </c>
      <c r="F113" t="s">
        <v>14</v>
      </c>
      <c r="G113" t="s">
        <v>104</v>
      </c>
      <c r="H113">
        <v>4</v>
      </c>
      <c r="I113">
        <v>1</v>
      </c>
      <c r="J113">
        <v>15</v>
      </c>
      <c r="K113" t="str">
        <f t="shared" si="6"/>
        <v>ChileEcuador</v>
      </c>
      <c r="L113" t="str">
        <f t="shared" si="7"/>
        <v>EcuadorChile</v>
      </c>
      <c r="M113">
        <f t="shared" si="8"/>
        <v>1</v>
      </c>
      <c r="N113">
        <f t="shared" si="9"/>
        <v>0</v>
      </c>
      <c r="O113">
        <f t="shared" si="10"/>
        <v>0</v>
      </c>
    </row>
    <row r="114" spans="1:15" hidden="1" x14ac:dyDescent="0.25">
      <c r="A114" s="1">
        <v>14281</v>
      </c>
      <c r="B114" t="s">
        <v>43</v>
      </c>
      <c r="C114" t="s">
        <v>11</v>
      </c>
      <c r="D114" s="3">
        <v>42064</v>
      </c>
      <c r="E114" t="s">
        <v>69</v>
      </c>
      <c r="F114" t="s">
        <v>14</v>
      </c>
      <c r="G114" t="s">
        <v>44</v>
      </c>
      <c r="H114">
        <v>1</v>
      </c>
      <c r="I114">
        <v>3</v>
      </c>
      <c r="J114">
        <v>15</v>
      </c>
      <c r="K114" t="str">
        <f t="shared" si="6"/>
        <v>ParaguayUruguay</v>
      </c>
      <c r="L114" t="str">
        <f t="shared" si="7"/>
        <v>UruguayParaguay</v>
      </c>
      <c r="M114">
        <f t="shared" si="8"/>
        <v>0</v>
      </c>
      <c r="N114">
        <f t="shared" si="9"/>
        <v>1</v>
      </c>
      <c r="O114">
        <f t="shared" si="10"/>
        <v>0</v>
      </c>
    </row>
    <row r="115" spans="1:15" hidden="1" x14ac:dyDescent="0.25">
      <c r="A115" s="1">
        <v>14288</v>
      </c>
      <c r="B115" t="s">
        <v>66</v>
      </c>
      <c r="C115" t="s">
        <v>11</v>
      </c>
      <c r="D115" s="3">
        <v>42006</v>
      </c>
      <c r="E115" t="s">
        <v>65</v>
      </c>
      <c r="F115" t="s">
        <v>14</v>
      </c>
      <c r="G115" t="s">
        <v>67</v>
      </c>
      <c r="H115">
        <v>2</v>
      </c>
      <c r="I115">
        <v>1</v>
      </c>
      <c r="J115">
        <v>15</v>
      </c>
      <c r="K115" t="str">
        <f t="shared" si="6"/>
        <v>PeruUruguay</v>
      </c>
      <c r="L115" t="str">
        <f t="shared" si="7"/>
        <v>UruguayPeru</v>
      </c>
      <c r="M115">
        <f t="shared" si="8"/>
        <v>1</v>
      </c>
      <c r="N115">
        <f t="shared" si="9"/>
        <v>0</v>
      </c>
      <c r="O115">
        <f t="shared" si="10"/>
        <v>0</v>
      </c>
    </row>
    <row r="116" spans="1:15" hidden="1" x14ac:dyDescent="0.25">
      <c r="A116" s="1">
        <v>14288</v>
      </c>
      <c r="B116" t="s">
        <v>99</v>
      </c>
      <c r="C116" t="s">
        <v>43</v>
      </c>
      <c r="D116" s="3">
        <v>42064</v>
      </c>
      <c r="E116" t="s">
        <v>69</v>
      </c>
      <c r="F116" t="s">
        <v>14</v>
      </c>
      <c r="G116" t="s">
        <v>105</v>
      </c>
      <c r="H116">
        <v>1</v>
      </c>
      <c r="I116">
        <v>3</v>
      </c>
      <c r="J116">
        <v>15</v>
      </c>
      <c r="K116" t="str">
        <f t="shared" si="6"/>
        <v>EcuadorParaguay</v>
      </c>
      <c r="L116" t="str">
        <f t="shared" si="7"/>
        <v>ParaguayEcuador</v>
      </c>
      <c r="M116">
        <f t="shared" si="8"/>
        <v>0</v>
      </c>
      <c r="N116">
        <f t="shared" si="9"/>
        <v>1</v>
      </c>
      <c r="O116">
        <f t="shared" si="10"/>
        <v>0</v>
      </c>
    </row>
    <row r="117" spans="1:15" hidden="1" x14ac:dyDescent="0.25">
      <c r="A117" s="1">
        <v>15009</v>
      </c>
      <c r="B117" t="s">
        <v>10</v>
      </c>
      <c r="C117" t="s">
        <v>99</v>
      </c>
      <c r="D117" s="2" t="s">
        <v>59</v>
      </c>
      <c r="E117" t="s">
        <v>60</v>
      </c>
      <c r="F117" t="s">
        <v>14</v>
      </c>
      <c r="G117" t="s">
        <v>104</v>
      </c>
      <c r="H117">
        <v>5</v>
      </c>
      <c r="I117">
        <v>0</v>
      </c>
      <c r="J117">
        <v>16</v>
      </c>
      <c r="K117" t="str">
        <f t="shared" si="6"/>
        <v>ChileEcuador</v>
      </c>
      <c r="L117" t="str">
        <f t="shared" si="7"/>
        <v>EcuadorChile</v>
      </c>
      <c r="M117">
        <f t="shared" si="8"/>
        <v>1</v>
      </c>
      <c r="N117">
        <f t="shared" si="9"/>
        <v>0</v>
      </c>
      <c r="O117">
        <f t="shared" si="10"/>
        <v>0</v>
      </c>
    </row>
    <row r="118" spans="1:15" hidden="1" x14ac:dyDescent="0.25">
      <c r="A118" s="1">
        <v>15016</v>
      </c>
      <c r="B118" t="s">
        <v>99</v>
      </c>
      <c r="C118" t="s">
        <v>11</v>
      </c>
      <c r="D118" s="2" t="s">
        <v>34</v>
      </c>
      <c r="E118" t="s">
        <v>57</v>
      </c>
      <c r="F118" t="s">
        <v>14</v>
      </c>
      <c r="G118" t="s">
        <v>102</v>
      </c>
      <c r="H118">
        <v>0</v>
      </c>
      <c r="I118">
        <v>6</v>
      </c>
      <c r="J118">
        <v>16</v>
      </c>
      <c r="K118" t="str">
        <f t="shared" si="6"/>
        <v>EcuadorUruguay</v>
      </c>
      <c r="L118" t="str">
        <f t="shared" si="7"/>
        <v>UruguayEcuador</v>
      </c>
      <c r="M118">
        <f t="shared" si="8"/>
        <v>0</v>
      </c>
      <c r="N118">
        <f t="shared" si="9"/>
        <v>1</v>
      </c>
      <c r="O118">
        <f t="shared" si="10"/>
        <v>0</v>
      </c>
    </row>
    <row r="119" spans="1:15" hidden="1" x14ac:dyDescent="0.25">
      <c r="A119" s="1">
        <v>15016</v>
      </c>
      <c r="B119" t="s">
        <v>10</v>
      </c>
      <c r="C119" t="s">
        <v>66</v>
      </c>
      <c r="D119" s="2" t="s">
        <v>29</v>
      </c>
      <c r="E119" t="s">
        <v>60</v>
      </c>
      <c r="F119" t="s">
        <v>14</v>
      </c>
      <c r="G119" t="s">
        <v>80</v>
      </c>
      <c r="H119">
        <v>1</v>
      </c>
      <c r="I119">
        <v>0</v>
      </c>
      <c r="J119">
        <v>16</v>
      </c>
      <c r="K119" t="str">
        <f t="shared" si="6"/>
        <v>ChilePeru</v>
      </c>
      <c r="L119" t="str">
        <f t="shared" si="7"/>
        <v>PeruChile</v>
      </c>
      <c r="M119">
        <f t="shared" si="8"/>
        <v>1</v>
      </c>
      <c r="N119">
        <f t="shared" si="9"/>
        <v>0</v>
      </c>
      <c r="O119">
        <f t="shared" si="10"/>
        <v>0</v>
      </c>
    </row>
    <row r="120" spans="1:15" hidden="1" x14ac:dyDescent="0.25">
      <c r="A120" s="1">
        <v>15019</v>
      </c>
      <c r="B120" t="s">
        <v>16</v>
      </c>
      <c r="C120" t="s">
        <v>66</v>
      </c>
      <c r="D120" s="3">
        <v>42006</v>
      </c>
      <c r="E120" t="s">
        <v>60</v>
      </c>
      <c r="F120" t="s">
        <v>14</v>
      </c>
      <c r="G120" t="s">
        <v>72</v>
      </c>
      <c r="H120">
        <v>2</v>
      </c>
      <c r="I120">
        <v>1</v>
      </c>
      <c r="J120">
        <v>16</v>
      </c>
      <c r="K120" t="str">
        <f t="shared" si="6"/>
        <v>ArgentinaPeru</v>
      </c>
      <c r="L120" t="str">
        <f t="shared" si="7"/>
        <v>PeruArgentina</v>
      </c>
      <c r="M120">
        <f t="shared" si="8"/>
        <v>1</v>
      </c>
      <c r="N120">
        <f t="shared" si="9"/>
        <v>0</v>
      </c>
      <c r="O120">
        <f t="shared" si="10"/>
        <v>0</v>
      </c>
    </row>
    <row r="121" spans="1:15" hidden="1" x14ac:dyDescent="0.25">
      <c r="A121" s="1">
        <v>15023</v>
      </c>
      <c r="B121" t="s">
        <v>16</v>
      </c>
      <c r="C121" t="s">
        <v>99</v>
      </c>
      <c r="D121" s="3">
        <v>42010</v>
      </c>
      <c r="E121" t="s">
        <v>60</v>
      </c>
      <c r="F121" t="s">
        <v>14</v>
      </c>
      <c r="G121" t="s">
        <v>106</v>
      </c>
      <c r="H121">
        <v>6</v>
      </c>
      <c r="I121">
        <v>1</v>
      </c>
      <c r="J121">
        <v>16</v>
      </c>
      <c r="K121" t="str">
        <f t="shared" si="6"/>
        <v>ArgentinaEcuador</v>
      </c>
      <c r="L121" t="str">
        <f t="shared" si="7"/>
        <v>EcuadorArgentina</v>
      </c>
      <c r="M121">
        <f t="shared" si="8"/>
        <v>1</v>
      </c>
      <c r="N121">
        <f t="shared" si="9"/>
        <v>0</v>
      </c>
      <c r="O121">
        <f t="shared" si="10"/>
        <v>0</v>
      </c>
    </row>
    <row r="122" spans="1:15" hidden="1" x14ac:dyDescent="0.25">
      <c r="A122" s="1">
        <v>15023</v>
      </c>
      <c r="B122" t="s">
        <v>10</v>
      </c>
      <c r="C122" t="s">
        <v>11</v>
      </c>
      <c r="D122" s="2" t="s">
        <v>37</v>
      </c>
      <c r="E122" t="s">
        <v>60</v>
      </c>
      <c r="F122" t="s">
        <v>14</v>
      </c>
      <c r="G122" t="s">
        <v>15</v>
      </c>
      <c r="H122">
        <v>0</v>
      </c>
      <c r="I122">
        <v>2</v>
      </c>
      <c r="J122">
        <v>16</v>
      </c>
      <c r="K122" t="str">
        <f t="shared" si="6"/>
        <v>ChileUruguay</v>
      </c>
      <c r="L122" t="str">
        <f t="shared" si="7"/>
        <v>UruguayChile</v>
      </c>
      <c r="M122">
        <f t="shared" si="8"/>
        <v>0</v>
      </c>
      <c r="N122">
        <f t="shared" si="9"/>
        <v>1</v>
      </c>
      <c r="O122">
        <f t="shared" si="10"/>
        <v>0</v>
      </c>
    </row>
    <row r="123" spans="1:15" hidden="1" x14ac:dyDescent="0.25">
      <c r="A123" s="1">
        <v>15030</v>
      </c>
      <c r="B123" t="s">
        <v>99</v>
      </c>
      <c r="C123" t="s">
        <v>66</v>
      </c>
      <c r="D123" s="2" t="s">
        <v>12</v>
      </c>
      <c r="E123" t="s">
        <v>57</v>
      </c>
      <c r="F123" t="s">
        <v>14</v>
      </c>
      <c r="G123" t="s">
        <v>100</v>
      </c>
      <c r="H123">
        <v>0</v>
      </c>
      <c r="I123">
        <v>4</v>
      </c>
      <c r="J123">
        <v>16</v>
      </c>
      <c r="K123" t="str">
        <f t="shared" si="6"/>
        <v>EcuadorPeru</v>
      </c>
      <c r="L123" t="str">
        <f t="shared" si="7"/>
        <v>PeruEcuador</v>
      </c>
      <c r="M123">
        <f t="shared" si="8"/>
        <v>0</v>
      </c>
      <c r="N123">
        <f t="shared" si="9"/>
        <v>1</v>
      </c>
      <c r="O123">
        <f t="shared" si="10"/>
        <v>0</v>
      </c>
    </row>
    <row r="124" spans="1:15" hidden="1" x14ac:dyDescent="0.25">
      <c r="A124" s="1">
        <v>15030</v>
      </c>
      <c r="B124" t="s">
        <v>16</v>
      </c>
      <c r="C124" t="s">
        <v>11</v>
      </c>
      <c r="D124" s="2" t="s">
        <v>29</v>
      </c>
      <c r="E124" t="s">
        <v>60</v>
      </c>
      <c r="F124" t="s">
        <v>14</v>
      </c>
      <c r="G124" t="s">
        <v>26</v>
      </c>
      <c r="H124">
        <v>1</v>
      </c>
      <c r="I124">
        <v>0</v>
      </c>
      <c r="J124">
        <v>16</v>
      </c>
      <c r="K124" t="str">
        <f t="shared" si="6"/>
        <v>ArgentinaUruguay</v>
      </c>
      <c r="L124" t="str">
        <f t="shared" si="7"/>
        <v>UruguayArgentina</v>
      </c>
      <c r="M124">
        <f t="shared" si="8"/>
        <v>1</v>
      </c>
      <c r="N124">
        <f t="shared" si="9"/>
        <v>0</v>
      </c>
      <c r="O124">
        <f t="shared" si="10"/>
        <v>0</v>
      </c>
    </row>
    <row r="125" spans="1:15" hidden="1" x14ac:dyDescent="0.25">
      <c r="A125" s="1">
        <v>15033</v>
      </c>
      <c r="B125" t="s">
        <v>66</v>
      </c>
      <c r="C125" t="s">
        <v>11</v>
      </c>
      <c r="D125" s="2" t="s">
        <v>37</v>
      </c>
      <c r="E125" t="s">
        <v>107</v>
      </c>
      <c r="F125" t="s">
        <v>14</v>
      </c>
      <c r="G125" t="s">
        <v>67</v>
      </c>
      <c r="H125">
        <v>0</v>
      </c>
      <c r="I125">
        <v>2</v>
      </c>
      <c r="J125">
        <v>16</v>
      </c>
      <c r="K125" t="str">
        <f t="shared" si="6"/>
        <v>PeruUruguay</v>
      </c>
      <c r="L125" t="str">
        <f t="shared" si="7"/>
        <v>UruguayPeru</v>
      </c>
      <c r="M125">
        <f t="shared" si="8"/>
        <v>0</v>
      </c>
      <c r="N125">
        <f t="shared" si="9"/>
        <v>1</v>
      </c>
      <c r="O125">
        <f t="shared" si="10"/>
        <v>0</v>
      </c>
    </row>
    <row r="126" spans="1:15" hidden="1" x14ac:dyDescent="0.25">
      <c r="A126" s="1">
        <v>15039</v>
      </c>
      <c r="B126" t="s">
        <v>16</v>
      </c>
      <c r="C126" t="s">
        <v>10</v>
      </c>
      <c r="D126" s="2" t="s">
        <v>29</v>
      </c>
      <c r="E126" t="s">
        <v>60</v>
      </c>
      <c r="F126" t="s">
        <v>14</v>
      </c>
      <c r="G126" t="s">
        <v>18</v>
      </c>
      <c r="H126">
        <v>1</v>
      </c>
      <c r="I126">
        <v>0</v>
      </c>
      <c r="J126">
        <v>16</v>
      </c>
      <c r="K126" t="str">
        <f t="shared" si="6"/>
        <v>ArgentinaChile</v>
      </c>
      <c r="L126" t="str">
        <f t="shared" si="7"/>
        <v>ChileArgentina</v>
      </c>
      <c r="M126">
        <f t="shared" si="8"/>
        <v>1</v>
      </c>
      <c r="N126">
        <f t="shared" si="9"/>
        <v>0</v>
      </c>
      <c r="O126">
        <f t="shared" si="10"/>
        <v>0</v>
      </c>
    </row>
    <row r="127" spans="1:15" hidden="1" x14ac:dyDescent="0.25">
      <c r="A127" t="s">
        <v>108</v>
      </c>
      <c r="B127" t="s">
        <v>10</v>
      </c>
      <c r="C127" t="s">
        <v>11</v>
      </c>
      <c r="D127" s="3">
        <v>42156</v>
      </c>
      <c r="E127" t="s">
        <v>27</v>
      </c>
      <c r="F127" t="s">
        <v>14</v>
      </c>
      <c r="G127" t="s">
        <v>15</v>
      </c>
      <c r="H127">
        <v>1</v>
      </c>
      <c r="I127">
        <v>6</v>
      </c>
      <c r="J127">
        <v>17</v>
      </c>
      <c r="K127" t="str">
        <f t="shared" si="6"/>
        <v>ChileUruguay</v>
      </c>
      <c r="L127" t="str">
        <f t="shared" si="7"/>
        <v>UruguayChile</v>
      </c>
      <c r="M127">
        <f t="shared" si="8"/>
        <v>0</v>
      </c>
      <c r="N127">
        <f t="shared" si="9"/>
        <v>1</v>
      </c>
      <c r="O127">
        <f t="shared" si="10"/>
        <v>0</v>
      </c>
    </row>
    <row r="128" spans="1:15" hidden="1" x14ac:dyDescent="0.25">
      <c r="A128" t="s">
        <v>109</v>
      </c>
      <c r="B128" t="s">
        <v>16</v>
      </c>
      <c r="C128" t="s">
        <v>43</v>
      </c>
      <c r="D128" s="3">
        <v>42067</v>
      </c>
      <c r="E128" t="s">
        <v>28</v>
      </c>
      <c r="F128" t="s">
        <v>14</v>
      </c>
      <c r="G128" t="s">
        <v>48</v>
      </c>
      <c r="H128">
        <v>4</v>
      </c>
      <c r="I128">
        <v>3</v>
      </c>
      <c r="J128">
        <v>17</v>
      </c>
      <c r="K128" t="str">
        <f t="shared" si="6"/>
        <v>ArgentinaParaguay</v>
      </c>
      <c r="L128" t="str">
        <f t="shared" si="7"/>
        <v>ParaguayArgentina</v>
      </c>
      <c r="M128">
        <f t="shared" si="8"/>
        <v>1</v>
      </c>
      <c r="N128">
        <f t="shared" si="9"/>
        <v>0</v>
      </c>
      <c r="O128">
        <f t="shared" si="10"/>
        <v>0</v>
      </c>
    </row>
    <row r="129" spans="1:15" hidden="1" x14ac:dyDescent="0.25">
      <c r="A129" t="s">
        <v>110</v>
      </c>
      <c r="B129" t="s">
        <v>10</v>
      </c>
      <c r="C129" t="s">
        <v>19</v>
      </c>
      <c r="D129" s="3">
        <v>42156</v>
      </c>
      <c r="E129" t="s">
        <v>27</v>
      </c>
      <c r="F129" t="s">
        <v>14</v>
      </c>
      <c r="G129" t="s">
        <v>20</v>
      </c>
      <c r="H129">
        <v>1</v>
      </c>
      <c r="I129">
        <v>6</v>
      </c>
      <c r="J129">
        <v>17</v>
      </c>
      <c r="K129" t="str">
        <f t="shared" si="6"/>
        <v>ChileBrazil</v>
      </c>
      <c r="L129" t="str">
        <f t="shared" si="7"/>
        <v>BrazilChile</v>
      </c>
      <c r="M129">
        <f t="shared" si="8"/>
        <v>0</v>
      </c>
      <c r="N129">
        <f t="shared" si="9"/>
        <v>1</v>
      </c>
      <c r="O129">
        <f t="shared" si="10"/>
        <v>0</v>
      </c>
    </row>
    <row r="130" spans="1:15" hidden="1" x14ac:dyDescent="0.25">
      <c r="A130" t="s">
        <v>111</v>
      </c>
      <c r="B130" t="s">
        <v>16</v>
      </c>
      <c r="C130" t="s">
        <v>19</v>
      </c>
      <c r="D130" s="3">
        <v>42006</v>
      </c>
      <c r="E130" t="s">
        <v>28</v>
      </c>
      <c r="F130" t="s">
        <v>14</v>
      </c>
      <c r="G130" t="s">
        <v>21</v>
      </c>
      <c r="H130">
        <v>2</v>
      </c>
      <c r="I130">
        <v>1</v>
      </c>
      <c r="J130">
        <v>17</v>
      </c>
      <c r="K130" t="str">
        <f t="shared" si="6"/>
        <v>ArgentinaBrazil</v>
      </c>
      <c r="L130" t="str">
        <f t="shared" si="7"/>
        <v>BrazilArgentina</v>
      </c>
      <c r="M130">
        <f t="shared" si="8"/>
        <v>1</v>
      </c>
      <c r="N130">
        <f t="shared" si="9"/>
        <v>0</v>
      </c>
      <c r="O130">
        <f t="shared" si="10"/>
        <v>0</v>
      </c>
    </row>
    <row r="131" spans="1:15" hidden="1" x14ac:dyDescent="0.25">
      <c r="A131" t="s">
        <v>112</v>
      </c>
      <c r="B131" t="s">
        <v>43</v>
      </c>
      <c r="C131" t="s">
        <v>66</v>
      </c>
      <c r="D131" s="3">
        <v>42005</v>
      </c>
      <c r="E131" t="s">
        <v>27</v>
      </c>
      <c r="F131" t="s">
        <v>14</v>
      </c>
      <c r="G131" t="s">
        <v>74</v>
      </c>
      <c r="H131">
        <v>1</v>
      </c>
      <c r="I131">
        <v>1</v>
      </c>
      <c r="J131">
        <v>17</v>
      </c>
      <c r="K131" t="str">
        <f t="shared" ref="K131:K194" si="11">CONCATENATE(B131,C131)</f>
        <v>ParaguayPeru</v>
      </c>
      <c r="L131" t="str">
        <f t="shared" ref="L131:L194" si="12">CONCATENATE(C131,B131)</f>
        <v>PeruParaguay</v>
      </c>
      <c r="M131">
        <f t="shared" ref="M131:M194" si="13">IF(H131&gt;I131,1,0)</f>
        <v>0</v>
      </c>
      <c r="N131">
        <f t="shared" ref="N131:N194" si="14">IF(I131&gt;H131,1,0)</f>
        <v>0</v>
      </c>
      <c r="O131">
        <f t="shared" ref="O131:O194" si="15">IF(I131=H131,1,0)</f>
        <v>1</v>
      </c>
    </row>
    <row r="132" spans="1:15" hidden="1" x14ac:dyDescent="0.25">
      <c r="A132" t="s">
        <v>112</v>
      </c>
      <c r="B132" t="s">
        <v>99</v>
      </c>
      <c r="C132" t="s">
        <v>11</v>
      </c>
      <c r="D132" s="2" t="s">
        <v>113</v>
      </c>
      <c r="E132" t="s">
        <v>27</v>
      </c>
      <c r="F132" t="s">
        <v>14</v>
      </c>
      <c r="G132" t="s">
        <v>102</v>
      </c>
      <c r="H132">
        <v>0</v>
      </c>
      <c r="I132">
        <v>7</v>
      </c>
      <c r="J132">
        <v>17</v>
      </c>
      <c r="K132" t="str">
        <f t="shared" si="11"/>
        <v>EcuadorUruguay</v>
      </c>
      <c r="L132" t="str">
        <f t="shared" si="12"/>
        <v>UruguayEcuador</v>
      </c>
      <c r="M132">
        <f t="shared" si="13"/>
        <v>0</v>
      </c>
      <c r="N132">
        <f t="shared" si="14"/>
        <v>1</v>
      </c>
      <c r="O132">
        <f t="shared" si="15"/>
        <v>0</v>
      </c>
    </row>
    <row r="133" spans="1:15" hidden="1" x14ac:dyDescent="0.25">
      <c r="A133" t="s">
        <v>114</v>
      </c>
      <c r="B133" t="s">
        <v>66</v>
      </c>
      <c r="C133" t="s">
        <v>19</v>
      </c>
      <c r="D133" s="3">
        <v>42036</v>
      </c>
      <c r="E133" t="s">
        <v>28</v>
      </c>
      <c r="F133" t="s">
        <v>14</v>
      </c>
      <c r="G133" t="s">
        <v>83</v>
      </c>
      <c r="H133">
        <v>1</v>
      </c>
      <c r="I133">
        <v>2</v>
      </c>
      <c r="J133">
        <v>17</v>
      </c>
      <c r="K133" t="str">
        <f t="shared" si="11"/>
        <v>PeruBrazil</v>
      </c>
      <c r="L133" t="str">
        <f t="shared" si="12"/>
        <v>BrazilPeru</v>
      </c>
      <c r="M133">
        <f t="shared" si="13"/>
        <v>0</v>
      </c>
      <c r="N133">
        <f t="shared" si="14"/>
        <v>1</v>
      </c>
      <c r="O133">
        <f t="shared" si="15"/>
        <v>0</v>
      </c>
    </row>
    <row r="134" spans="1:15" hidden="1" x14ac:dyDescent="0.25">
      <c r="A134" t="s">
        <v>115</v>
      </c>
      <c r="B134" t="s">
        <v>10</v>
      </c>
      <c r="C134" t="s">
        <v>43</v>
      </c>
      <c r="D134" s="2" t="s">
        <v>37</v>
      </c>
      <c r="E134" t="s">
        <v>27</v>
      </c>
      <c r="F134" t="s">
        <v>14</v>
      </c>
      <c r="G134" t="s">
        <v>49</v>
      </c>
      <c r="H134">
        <v>0</v>
      </c>
      <c r="I134">
        <v>2</v>
      </c>
      <c r="J134">
        <v>17</v>
      </c>
      <c r="K134" t="str">
        <f t="shared" si="11"/>
        <v>ChileParaguay</v>
      </c>
      <c r="L134" t="str">
        <f t="shared" si="12"/>
        <v>ParaguayChile</v>
      </c>
      <c r="M134">
        <f t="shared" si="13"/>
        <v>0</v>
      </c>
      <c r="N134">
        <f t="shared" si="14"/>
        <v>1</v>
      </c>
      <c r="O134">
        <f t="shared" si="15"/>
        <v>0</v>
      </c>
    </row>
    <row r="135" spans="1:15" hidden="1" x14ac:dyDescent="0.25">
      <c r="A135" t="s">
        <v>115</v>
      </c>
      <c r="B135" t="s">
        <v>16</v>
      </c>
      <c r="C135" t="s">
        <v>99</v>
      </c>
      <c r="D135" s="2" t="s">
        <v>116</v>
      </c>
      <c r="E135" t="s">
        <v>28</v>
      </c>
      <c r="F135" t="s">
        <v>14</v>
      </c>
      <c r="G135" t="s">
        <v>106</v>
      </c>
      <c r="H135">
        <v>12</v>
      </c>
      <c r="I135">
        <v>0</v>
      </c>
      <c r="J135">
        <v>17</v>
      </c>
      <c r="K135" t="str">
        <f t="shared" si="11"/>
        <v>ArgentinaEcuador</v>
      </c>
      <c r="L135" t="str">
        <f t="shared" si="12"/>
        <v>EcuadorArgentina</v>
      </c>
      <c r="M135">
        <f t="shared" si="13"/>
        <v>1</v>
      </c>
      <c r="N135">
        <f t="shared" si="14"/>
        <v>0</v>
      </c>
      <c r="O135">
        <f t="shared" si="15"/>
        <v>0</v>
      </c>
    </row>
    <row r="136" spans="1:15" x14ac:dyDescent="0.25">
      <c r="A136" t="s">
        <v>117</v>
      </c>
      <c r="B136" t="s">
        <v>11</v>
      </c>
      <c r="C136" t="s">
        <v>19</v>
      </c>
      <c r="D136" s="2" t="s">
        <v>29</v>
      </c>
      <c r="E136" t="s">
        <v>31</v>
      </c>
      <c r="F136" t="s">
        <v>14</v>
      </c>
      <c r="G136" t="s">
        <v>23</v>
      </c>
      <c r="H136">
        <v>1</v>
      </c>
      <c r="I136">
        <v>0</v>
      </c>
      <c r="J136">
        <v>17</v>
      </c>
      <c r="K136" t="str">
        <f t="shared" si="11"/>
        <v>UruguayBrazil</v>
      </c>
      <c r="L136" t="str">
        <f t="shared" si="12"/>
        <v>BrazilUruguay</v>
      </c>
      <c r="M136">
        <f t="shared" si="13"/>
        <v>1</v>
      </c>
      <c r="N136">
        <f t="shared" si="14"/>
        <v>0</v>
      </c>
      <c r="O136">
        <f t="shared" si="15"/>
        <v>0</v>
      </c>
    </row>
    <row r="137" spans="1:15" hidden="1" x14ac:dyDescent="0.25">
      <c r="A137" t="s">
        <v>118</v>
      </c>
      <c r="B137" t="s">
        <v>99</v>
      </c>
      <c r="C137" t="s">
        <v>43</v>
      </c>
      <c r="D137" s="3">
        <v>42064</v>
      </c>
      <c r="E137" t="s">
        <v>27</v>
      </c>
      <c r="F137" t="s">
        <v>14</v>
      </c>
      <c r="G137" t="s">
        <v>105</v>
      </c>
      <c r="H137">
        <v>1</v>
      </c>
      <c r="I137">
        <v>3</v>
      </c>
      <c r="J137">
        <v>17</v>
      </c>
      <c r="K137" t="str">
        <f t="shared" si="11"/>
        <v>EcuadorParaguay</v>
      </c>
      <c r="L137" t="str">
        <f t="shared" si="12"/>
        <v>ParaguayEcuador</v>
      </c>
      <c r="M137">
        <f t="shared" si="13"/>
        <v>0</v>
      </c>
      <c r="N137">
        <f t="shared" si="14"/>
        <v>1</v>
      </c>
      <c r="O137">
        <f t="shared" si="15"/>
        <v>0</v>
      </c>
    </row>
    <row r="138" spans="1:15" hidden="1" x14ac:dyDescent="0.25">
      <c r="A138" t="s">
        <v>118</v>
      </c>
      <c r="B138" t="s">
        <v>16</v>
      </c>
      <c r="C138" t="s">
        <v>66</v>
      </c>
      <c r="D138" s="3">
        <v>42007</v>
      </c>
      <c r="E138" t="s">
        <v>28</v>
      </c>
      <c r="F138" t="s">
        <v>14</v>
      </c>
      <c r="G138" t="s">
        <v>72</v>
      </c>
      <c r="H138">
        <v>3</v>
      </c>
      <c r="I138">
        <v>1</v>
      </c>
      <c r="J138">
        <v>17</v>
      </c>
      <c r="K138" t="str">
        <f t="shared" si="11"/>
        <v>ArgentinaPeru</v>
      </c>
      <c r="L138" t="str">
        <f t="shared" si="12"/>
        <v>PeruArgentina</v>
      </c>
      <c r="M138">
        <f t="shared" si="13"/>
        <v>1</v>
      </c>
      <c r="N138">
        <f t="shared" si="14"/>
        <v>0</v>
      </c>
      <c r="O138">
        <f t="shared" si="15"/>
        <v>0</v>
      </c>
    </row>
    <row r="139" spans="1:15" hidden="1" x14ac:dyDescent="0.25">
      <c r="A139" t="s">
        <v>119</v>
      </c>
      <c r="B139" t="s">
        <v>43</v>
      </c>
      <c r="C139" t="s">
        <v>11</v>
      </c>
      <c r="D139" s="3">
        <v>42064</v>
      </c>
      <c r="E139" t="s">
        <v>27</v>
      </c>
      <c r="F139" t="s">
        <v>14</v>
      </c>
      <c r="G139" t="s">
        <v>44</v>
      </c>
      <c r="H139">
        <v>1</v>
      </c>
      <c r="I139">
        <v>3</v>
      </c>
      <c r="J139">
        <v>17</v>
      </c>
      <c r="K139" t="str">
        <f t="shared" si="11"/>
        <v>ParaguayUruguay</v>
      </c>
      <c r="L139" t="str">
        <f t="shared" si="12"/>
        <v>UruguayParaguay</v>
      </c>
      <c r="M139">
        <f t="shared" si="13"/>
        <v>0</v>
      </c>
      <c r="N139">
        <f t="shared" si="14"/>
        <v>1</v>
      </c>
      <c r="O139">
        <f t="shared" si="15"/>
        <v>0</v>
      </c>
    </row>
    <row r="140" spans="1:15" hidden="1" x14ac:dyDescent="0.25">
      <c r="A140" t="s">
        <v>119</v>
      </c>
      <c r="B140" t="s">
        <v>99</v>
      </c>
      <c r="C140" t="s">
        <v>66</v>
      </c>
      <c r="D140" s="3">
        <v>42036</v>
      </c>
      <c r="E140" t="s">
        <v>27</v>
      </c>
      <c r="F140" t="s">
        <v>14</v>
      </c>
      <c r="G140" t="s">
        <v>100</v>
      </c>
      <c r="H140">
        <v>1</v>
      </c>
      <c r="I140">
        <v>2</v>
      </c>
      <c r="J140">
        <v>17</v>
      </c>
      <c r="K140" t="str">
        <f t="shared" si="11"/>
        <v>EcuadorPeru</v>
      </c>
      <c r="L140" t="str">
        <f t="shared" si="12"/>
        <v>PeruEcuador</v>
      </c>
      <c r="M140">
        <f t="shared" si="13"/>
        <v>0</v>
      </c>
      <c r="N140">
        <f t="shared" si="14"/>
        <v>1</v>
      </c>
      <c r="O140">
        <f t="shared" si="15"/>
        <v>0</v>
      </c>
    </row>
    <row r="141" spans="1:15" hidden="1" x14ac:dyDescent="0.25">
      <c r="A141" t="s">
        <v>120</v>
      </c>
      <c r="B141" t="s">
        <v>16</v>
      </c>
      <c r="C141" t="s">
        <v>10</v>
      </c>
      <c r="D141" s="2" t="s">
        <v>24</v>
      </c>
      <c r="E141" t="s">
        <v>28</v>
      </c>
      <c r="F141" t="s">
        <v>14</v>
      </c>
      <c r="G141" t="s">
        <v>18</v>
      </c>
      <c r="H141">
        <v>0</v>
      </c>
      <c r="I141">
        <v>0</v>
      </c>
      <c r="J141">
        <v>17</v>
      </c>
      <c r="K141" t="str">
        <f t="shared" si="11"/>
        <v>ArgentinaChile</v>
      </c>
      <c r="L141" t="str">
        <f t="shared" si="12"/>
        <v>ChileArgentina</v>
      </c>
      <c r="M141">
        <f t="shared" si="13"/>
        <v>0</v>
      </c>
      <c r="N141">
        <f t="shared" si="14"/>
        <v>0</v>
      </c>
      <c r="O141">
        <f t="shared" si="15"/>
        <v>1</v>
      </c>
    </row>
    <row r="142" spans="1:15" hidden="1" x14ac:dyDescent="0.25">
      <c r="A142" s="1">
        <v>15373</v>
      </c>
      <c r="B142" t="s">
        <v>99</v>
      </c>
      <c r="C142" t="s">
        <v>19</v>
      </c>
      <c r="D142" s="3">
        <v>42125</v>
      </c>
      <c r="E142" t="s">
        <v>27</v>
      </c>
      <c r="F142" t="s">
        <v>14</v>
      </c>
      <c r="G142" t="s">
        <v>121</v>
      </c>
      <c r="H142">
        <v>1</v>
      </c>
      <c r="I142">
        <v>5</v>
      </c>
      <c r="J142">
        <v>17</v>
      </c>
      <c r="K142" t="str">
        <f t="shared" si="11"/>
        <v>EcuadorBrazil</v>
      </c>
      <c r="L142" t="str">
        <f t="shared" si="12"/>
        <v>BrazilEcuador</v>
      </c>
      <c r="M142">
        <f t="shared" si="13"/>
        <v>0</v>
      </c>
      <c r="N142">
        <f t="shared" si="14"/>
        <v>1</v>
      </c>
      <c r="O142">
        <f t="shared" si="15"/>
        <v>0</v>
      </c>
    </row>
    <row r="143" spans="1:15" hidden="1" x14ac:dyDescent="0.25">
      <c r="A143" s="1">
        <v>15373</v>
      </c>
      <c r="B143" t="s">
        <v>66</v>
      </c>
      <c r="C143" t="s">
        <v>11</v>
      </c>
      <c r="D143" s="2" t="s">
        <v>45</v>
      </c>
      <c r="E143" t="s">
        <v>28</v>
      </c>
      <c r="F143" t="s">
        <v>14</v>
      </c>
      <c r="G143" t="s">
        <v>67</v>
      </c>
      <c r="H143">
        <v>0</v>
      </c>
      <c r="I143">
        <v>3</v>
      </c>
      <c r="J143">
        <v>17</v>
      </c>
      <c r="K143" t="str">
        <f t="shared" si="11"/>
        <v>PeruUruguay</v>
      </c>
      <c r="L143" t="str">
        <f t="shared" si="12"/>
        <v>UruguayPeru</v>
      </c>
      <c r="M143">
        <f t="shared" si="13"/>
        <v>0</v>
      </c>
      <c r="N143">
        <f t="shared" si="14"/>
        <v>1</v>
      </c>
      <c r="O143">
        <f t="shared" si="15"/>
        <v>0</v>
      </c>
    </row>
    <row r="144" spans="1:15" hidden="1" x14ac:dyDescent="0.25">
      <c r="A144" s="1">
        <v>15377</v>
      </c>
      <c r="B144" t="s">
        <v>43</v>
      </c>
      <c r="C144" t="s">
        <v>19</v>
      </c>
      <c r="D144" s="3">
        <v>42005</v>
      </c>
      <c r="E144" t="s">
        <v>27</v>
      </c>
      <c r="F144" t="s">
        <v>14</v>
      </c>
      <c r="G144" t="s">
        <v>46</v>
      </c>
      <c r="H144">
        <v>1</v>
      </c>
      <c r="I144">
        <v>1</v>
      </c>
      <c r="J144">
        <v>17</v>
      </c>
      <c r="K144" t="str">
        <f t="shared" si="11"/>
        <v>ParaguayBrazil</v>
      </c>
      <c r="L144" t="str">
        <f t="shared" si="12"/>
        <v>BrazilParaguay</v>
      </c>
      <c r="M144">
        <f t="shared" si="13"/>
        <v>0</v>
      </c>
      <c r="N144">
        <f t="shared" si="14"/>
        <v>0</v>
      </c>
      <c r="O144">
        <f t="shared" si="15"/>
        <v>1</v>
      </c>
    </row>
    <row r="145" spans="1:15" hidden="1" x14ac:dyDescent="0.25">
      <c r="A145" s="1">
        <v>15377</v>
      </c>
      <c r="B145" t="s">
        <v>10</v>
      </c>
      <c r="C145" t="s">
        <v>99</v>
      </c>
      <c r="D145" s="3">
        <v>42006</v>
      </c>
      <c r="E145" t="s">
        <v>27</v>
      </c>
      <c r="F145" t="s">
        <v>14</v>
      </c>
      <c r="G145" t="s">
        <v>104</v>
      </c>
      <c r="H145">
        <v>2</v>
      </c>
      <c r="I145">
        <v>1</v>
      </c>
      <c r="J145">
        <v>17</v>
      </c>
      <c r="K145" t="str">
        <f t="shared" si="11"/>
        <v>ChileEcuador</v>
      </c>
      <c r="L145" t="str">
        <f t="shared" si="12"/>
        <v>EcuadorChile</v>
      </c>
      <c r="M145">
        <f t="shared" si="13"/>
        <v>1</v>
      </c>
      <c r="N145">
        <f t="shared" si="14"/>
        <v>0</v>
      </c>
      <c r="O145">
        <f t="shared" si="15"/>
        <v>0</v>
      </c>
    </row>
    <row r="146" spans="1:15" hidden="1" x14ac:dyDescent="0.25">
      <c r="A146" s="1">
        <v>15379</v>
      </c>
      <c r="B146" t="s">
        <v>16</v>
      </c>
      <c r="C146" t="s">
        <v>11</v>
      </c>
      <c r="D146" s="2" t="s">
        <v>33</v>
      </c>
      <c r="E146" t="s">
        <v>28</v>
      </c>
      <c r="F146" t="s">
        <v>14</v>
      </c>
      <c r="G146" t="s">
        <v>26</v>
      </c>
      <c r="H146">
        <v>0</v>
      </c>
      <c r="I146">
        <v>1</v>
      </c>
      <c r="J146">
        <v>17</v>
      </c>
      <c r="K146" t="str">
        <f t="shared" si="11"/>
        <v>ArgentinaUruguay</v>
      </c>
      <c r="L146" t="str">
        <f t="shared" si="12"/>
        <v>UruguayArgentina</v>
      </c>
      <c r="M146">
        <f t="shared" si="13"/>
        <v>0</v>
      </c>
      <c r="N146">
        <f t="shared" si="14"/>
        <v>1</v>
      </c>
      <c r="O146">
        <f t="shared" si="15"/>
        <v>0</v>
      </c>
    </row>
    <row r="147" spans="1:15" hidden="1" x14ac:dyDescent="0.25">
      <c r="A147" s="1">
        <v>15379</v>
      </c>
      <c r="B147" t="s">
        <v>10</v>
      </c>
      <c r="C147" t="s">
        <v>66</v>
      </c>
      <c r="D147" s="2" t="s">
        <v>24</v>
      </c>
      <c r="E147" t="s">
        <v>27</v>
      </c>
      <c r="F147" t="s">
        <v>14</v>
      </c>
      <c r="G147" t="s">
        <v>80</v>
      </c>
      <c r="H147">
        <v>0</v>
      </c>
      <c r="I147">
        <v>0</v>
      </c>
      <c r="J147">
        <v>17</v>
      </c>
      <c r="K147" t="str">
        <f t="shared" si="11"/>
        <v>ChilePeru</v>
      </c>
      <c r="L147" t="str">
        <f t="shared" si="12"/>
        <v>PeruChile</v>
      </c>
      <c r="M147">
        <f t="shared" si="13"/>
        <v>0</v>
      </c>
      <c r="N147">
        <f t="shared" si="14"/>
        <v>0</v>
      </c>
      <c r="O147">
        <f t="shared" si="15"/>
        <v>1</v>
      </c>
    </row>
    <row r="148" spans="1:15" hidden="1" x14ac:dyDescent="0.25">
      <c r="A148" t="s">
        <v>122</v>
      </c>
      <c r="B148" t="s">
        <v>10</v>
      </c>
      <c r="C148" t="s">
        <v>99</v>
      </c>
      <c r="D148" s="3">
        <v>42069</v>
      </c>
      <c r="E148" t="s">
        <v>60</v>
      </c>
      <c r="F148" t="s">
        <v>14</v>
      </c>
      <c r="G148" t="s">
        <v>104</v>
      </c>
      <c r="H148">
        <v>6</v>
      </c>
      <c r="I148">
        <v>3</v>
      </c>
      <c r="J148">
        <v>18</v>
      </c>
      <c r="K148" t="str">
        <f t="shared" si="11"/>
        <v>ChileEcuador</v>
      </c>
      <c r="L148" t="str">
        <f t="shared" si="12"/>
        <v>EcuadorChile</v>
      </c>
      <c r="M148">
        <f t="shared" si="13"/>
        <v>1</v>
      </c>
      <c r="N148">
        <f t="shared" si="14"/>
        <v>0</v>
      </c>
      <c r="O148">
        <f t="shared" si="15"/>
        <v>0</v>
      </c>
    </row>
    <row r="149" spans="1:15" hidden="1" x14ac:dyDescent="0.25">
      <c r="A149" t="s">
        <v>123</v>
      </c>
      <c r="B149" t="s">
        <v>16</v>
      </c>
      <c r="C149" t="s">
        <v>56</v>
      </c>
      <c r="D149" s="2" t="s">
        <v>30</v>
      </c>
      <c r="E149" t="s">
        <v>60</v>
      </c>
      <c r="F149" t="s">
        <v>14</v>
      </c>
      <c r="G149" t="s">
        <v>61</v>
      </c>
      <c r="H149">
        <v>4</v>
      </c>
      <c r="I149">
        <v>0</v>
      </c>
      <c r="J149">
        <v>18</v>
      </c>
      <c r="K149" t="str">
        <f t="shared" si="11"/>
        <v>ArgentinaBolivia</v>
      </c>
      <c r="L149" t="str">
        <f t="shared" si="12"/>
        <v>BoliviaArgentina</v>
      </c>
      <c r="M149">
        <f t="shared" si="13"/>
        <v>1</v>
      </c>
      <c r="N149">
        <f t="shared" si="14"/>
        <v>0</v>
      </c>
      <c r="O149">
        <f t="shared" si="15"/>
        <v>0</v>
      </c>
    </row>
    <row r="150" spans="1:15" hidden="1" x14ac:dyDescent="0.25">
      <c r="A150" t="s">
        <v>124</v>
      </c>
      <c r="B150" t="s">
        <v>125</v>
      </c>
      <c r="C150" t="s">
        <v>19</v>
      </c>
      <c r="D150" s="2" t="s">
        <v>45</v>
      </c>
      <c r="E150" t="s">
        <v>60</v>
      </c>
      <c r="F150" t="s">
        <v>14</v>
      </c>
      <c r="G150" t="s">
        <v>126</v>
      </c>
      <c r="H150">
        <v>0</v>
      </c>
      <c r="I150">
        <v>3</v>
      </c>
      <c r="J150">
        <v>18</v>
      </c>
      <c r="K150" t="str">
        <f t="shared" si="11"/>
        <v>ColombiaBrazil</v>
      </c>
      <c r="L150" t="str">
        <f t="shared" si="12"/>
        <v>BrazilColombia</v>
      </c>
      <c r="M150">
        <f t="shared" si="13"/>
        <v>0</v>
      </c>
      <c r="N150">
        <f t="shared" si="14"/>
        <v>1</v>
      </c>
      <c r="O150">
        <f t="shared" si="15"/>
        <v>0</v>
      </c>
    </row>
    <row r="151" spans="1:15" hidden="1" x14ac:dyDescent="0.25">
      <c r="A151" t="s">
        <v>127</v>
      </c>
      <c r="B151" t="s">
        <v>99</v>
      </c>
      <c r="C151" t="s">
        <v>11</v>
      </c>
      <c r="D151" s="3">
        <v>42125</v>
      </c>
      <c r="E151" t="s">
        <v>57</v>
      </c>
      <c r="F151" t="s">
        <v>14</v>
      </c>
      <c r="G151" t="s">
        <v>102</v>
      </c>
      <c r="H151">
        <v>1</v>
      </c>
      <c r="I151">
        <v>5</v>
      </c>
      <c r="J151">
        <v>18</v>
      </c>
      <c r="K151" t="str">
        <f t="shared" si="11"/>
        <v>EcuadorUruguay</v>
      </c>
      <c r="L151" t="str">
        <f t="shared" si="12"/>
        <v>UruguayEcuador</v>
      </c>
      <c r="M151">
        <f t="shared" si="13"/>
        <v>0</v>
      </c>
      <c r="N151">
        <f t="shared" si="14"/>
        <v>1</v>
      </c>
      <c r="O151">
        <f t="shared" si="15"/>
        <v>0</v>
      </c>
    </row>
    <row r="152" spans="1:15" hidden="1" x14ac:dyDescent="0.25">
      <c r="A152" t="s">
        <v>127</v>
      </c>
      <c r="B152" t="s">
        <v>56</v>
      </c>
      <c r="C152" t="s">
        <v>10</v>
      </c>
      <c r="D152" s="2" t="s">
        <v>32</v>
      </c>
      <c r="E152" t="s">
        <v>57</v>
      </c>
      <c r="F152" t="s">
        <v>14</v>
      </c>
      <c r="G152" t="s">
        <v>58</v>
      </c>
      <c r="H152">
        <v>0</v>
      </c>
      <c r="I152">
        <v>5</v>
      </c>
      <c r="J152">
        <v>18</v>
      </c>
      <c r="K152" t="str">
        <f t="shared" si="11"/>
        <v>BoliviaChile</v>
      </c>
      <c r="L152" t="str">
        <f t="shared" si="12"/>
        <v>ChileBolivia</v>
      </c>
      <c r="M152">
        <f t="shared" si="13"/>
        <v>0</v>
      </c>
      <c r="N152">
        <f t="shared" si="14"/>
        <v>1</v>
      </c>
      <c r="O152">
        <f t="shared" si="15"/>
        <v>0</v>
      </c>
    </row>
    <row r="153" spans="1:15" hidden="1" x14ac:dyDescent="0.25">
      <c r="A153" t="s">
        <v>128</v>
      </c>
      <c r="B153" t="s">
        <v>125</v>
      </c>
      <c r="C153" t="s">
        <v>11</v>
      </c>
      <c r="D153" s="2" t="s">
        <v>113</v>
      </c>
      <c r="E153" t="s">
        <v>60</v>
      </c>
      <c r="F153" t="s">
        <v>14</v>
      </c>
      <c r="G153" t="s">
        <v>129</v>
      </c>
      <c r="H153">
        <v>0</v>
      </c>
      <c r="I153">
        <v>7</v>
      </c>
      <c r="J153">
        <v>18</v>
      </c>
      <c r="K153" t="str">
        <f t="shared" si="11"/>
        <v>ColombiaUruguay</v>
      </c>
      <c r="L153" t="str">
        <f t="shared" si="12"/>
        <v>UruguayColombia</v>
      </c>
      <c r="M153">
        <f t="shared" si="13"/>
        <v>0</v>
      </c>
      <c r="N153">
        <f t="shared" si="14"/>
        <v>1</v>
      </c>
      <c r="O153">
        <f t="shared" si="15"/>
        <v>0</v>
      </c>
    </row>
    <row r="154" spans="1:15" hidden="1" x14ac:dyDescent="0.25">
      <c r="A154" t="s">
        <v>128</v>
      </c>
      <c r="B154" t="s">
        <v>56</v>
      </c>
      <c r="C154" t="s">
        <v>19</v>
      </c>
      <c r="D154" s="2" t="s">
        <v>37</v>
      </c>
      <c r="E154" t="s">
        <v>57</v>
      </c>
      <c r="F154" t="s">
        <v>14</v>
      </c>
      <c r="G154" t="s">
        <v>130</v>
      </c>
      <c r="H154">
        <v>0</v>
      </c>
      <c r="I154">
        <v>2</v>
      </c>
      <c r="J154">
        <v>18</v>
      </c>
      <c r="K154" t="str">
        <f t="shared" si="11"/>
        <v>BoliviaBrazil</v>
      </c>
      <c r="L154" t="str">
        <f t="shared" si="12"/>
        <v>BrazilBolivia</v>
      </c>
      <c r="M154">
        <f t="shared" si="13"/>
        <v>0</v>
      </c>
      <c r="N154">
        <f t="shared" si="14"/>
        <v>1</v>
      </c>
      <c r="O154">
        <f t="shared" si="15"/>
        <v>0</v>
      </c>
    </row>
    <row r="155" spans="1:15" hidden="1" x14ac:dyDescent="0.25">
      <c r="A155" t="s">
        <v>131</v>
      </c>
      <c r="B155" t="s">
        <v>16</v>
      </c>
      <c r="C155" t="s">
        <v>99</v>
      </c>
      <c r="D155" s="3">
        <v>42039</v>
      </c>
      <c r="E155" t="s">
        <v>60</v>
      </c>
      <c r="F155" t="s">
        <v>14</v>
      </c>
      <c r="G155" t="s">
        <v>106</v>
      </c>
      <c r="H155">
        <v>4</v>
      </c>
      <c r="I155">
        <v>2</v>
      </c>
      <c r="J155">
        <v>18</v>
      </c>
      <c r="K155" t="str">
        <f t="shared" si="11"/>
        <v>ArgentinaEcuador</v>
      </c>
      <c r="L155" t="str">
        <f t="shared" si="12"/>
        <v>EcuadorArgentina</v>
      </c>
      <c r="M155">
        <f t="shared" si="13"/>
        <v>1</v>
      </c>
      <c r="N155">
        <f t="shared" si="14"/>
        <v>0</v>
      </c>
      <c r="O155">
        <f t="shared" si="15"/>
        <v>0</v>
      </c>
    </row>
    <row r="156" spans="1:15" hidden="1" x14ac:dyDescent="0.25">
      <c r="A156" t="s">
        <v>131</v>
      </c>
      <c r="B156" t="s">
        <v>10</v>
      </c>
      <c r="C156" t="s">
        <v>125</v>
      </c>
      <c r="D156" s="2" t="s">
        <v>42</v>
      </c>
      <c r="E156" t="s">
        <v>60</v>
      </c>
      <c r="F156" t="s">
        <v>14</v>
      </c>
      <c r="G156" t="s">
        <v>132</v>
      </c>
      <c r="H156">
        <v>2</v>
      </c>
      <c r="I156">
        <v>0</v>
      </c>
      <c r="J156">
        <v>18</v>
      </c>
      <c r="K156" t="str">
        <f t="shared" si="11"/>
        <v>ChileColombia</v>
      </c>
      <c r="L156" t="str">
        <f t="shared" si="12"/>
        <v>ColombiaChile</v>
      </c>
      <c r="M156">
        <f t="shared" si="13"/>
        <v>1</v>
      </c>
      <c r="N156">
        <f t="shared" si="14"/>
        <v>0</v>
      </c>
      <c r="O156">
        <f t="shared" si="15"/>
        <v>0</v>
      </c>
    </row>
    <row r="157" spans="1:15" hidden="1" x14ac:dyDescent="0.25">
      <c r="A157" s="1">
        <v>16475</v>
      </c>
      <c r="B157" t="s">
        <v>16</v>
      </c>
      <c r="C157" t="s">
        <v>125</v>
      </c>
      <c r="D157" s="3">
        <v>42013</v>
      </c>
      <c r="E157" t="s">
        <v>60</v>
      </c>
      <c r="F157" t="s">
        <v>14</v>
      </c>
      <c r="G157" t="s">
        <v>133</v>
      </c>
      <c r="H157">
        <v>9</v>
      </c>
      <c r="I157">
        <v>1</v>
      </c>
      <c r="J157">
        <v>18</v>
      </c>
      <c r="K157" t="str">
        <f t="shared" si="11"/>
        <v>ArgentinaColombia</v>
      </c>
      <c r="L157" t="str">
        <f t="shared" si="12"/>
        <v>ColombiaArgentina</v>
      </c>
      <c r="M157">
        <f t="shared" si="13"/>
        <v>1</v>
      </c>
      <c r="N157">
        <f t="shared" si="14"/>
        <v>0</v>
      </c>
      <c r="O157">
        <f t="shared" si="15"/>
        <v>0</v>
      </c>
    </row>
    <row r="158" spans="1:15" x14ac:dyDescent="0.25">
      <c r="A158" s="1">
        <v>16475</v>
      </c>
      <c r="B158" t="s">
        <v>11</v>
      </c>
      <c r="C158" t="s">
        <v>19</v>
      </c>
      <c r="D158" s="2" t="s">
        <v>45</v>
      </c>
      <c r="E158" t="s">
        <v>134</v>
      </c>
      <c r="F158" t="s">
        <v>14</v>
      </c>
      <c r="G158" t="s">
        <v>23</v>
      </c>
      <c r="H158">
        <v>0</v>
      </c>
      <c r="I158">
        <v>3</v>
      </c>
      <c r="J158">
        <v>18</v>
      </c>
      <c r="K158" t="str">
        <f t="shared" si="11"/>
        <v>UruguayBrazil</v>
      </c>
      <c r="L158" t="str">
        <f t="shared" si="12"/>
        <v>BrazilUruguay</v>
      </c>
      <c r="M158">
        <f t="shared" si="13"/>
        <v>0</v>
      </c>
      <c r="N158">
        <f t="shared" si="14"/>
        <v>1</v>
      </c>
      <c r="O158">
        <f t="shared" si="15"/>
        <v>0</v>
      </c>
    </row>
    <row r="159" spans="1:15" hidden="1" x14ac:dyDescent="0.25">
      <c r="A159" s="1">
        <v>16479</v>
      </c>
      <c r="B159" t="s">
        <v>56</v>
      </c>
      <c r="C159" t="s">
        <v>99</v>
      </c>
      <c r="D159" s="2" t="s">
        <v>24</v>
      </c>
      <c r="E159" t="s">
        <v>57</v>
      </c>
      <c r="F159" t="s">
        <v>14</v>
      </c>
      <c r="G159" t="s">
        <v>135</v>
      </c>
      <c r="H159">
        <v>0</v>
      </c>
      <c r="I159">
        <v>0</v>
      </c>
      <c r="J159">
        <v>18</v>
      </c>
      <c r="K159" t="str">
        <f t="shared" si="11"/>
        <v>BoliviaEcuador</v>
      </c>
      <c r="L159" t="str">
        <f t="shared" si="12"/>
        <v>EcuadorBolivia</v>
      </c>
      <c r="M159">
        <f t="shared" si="13"/>
        <v>0</v>
      </c>
      <c r="N159">
        <f t="shared" si="14"/>
        <v>0</v>
      </c>
      <c r="O159">
        <f t="shared" si="15"/>
        <v>1</v>
      </c>
    </row>
    <row r="160" spans="1:15" hidden="1" x14ac:dyDescent="0.25">
      <c r="A160" s="1">
        <v>16479</v>
      </c>
      <c r="B160" t="s">
        <v>16</v>
      </c>
      <c r="C160" t="s">
        <v>10</v>
      </c>
      <c r="D160" s="3">
        <v>42005</v>
      </c>
      <c r="E160" t="s">
        <v>60</v>
      </c>
      <c r="F160" t="s">
        <v>14</v>
      </c>
      <c r="G160" t="s">
        <v>18</v>
      </c>
      <c r="H160">
        <v>1</v>
      </c>
      <c r="I160">
        <v>1</v>
      </c>
      <c r="J160">
        <v>18</v>
      </c>
      <c r="K160" t="str">
        <f t="shared" si="11"/>
        <v>ArgentinaChile</v>
      </c>
      <c r="L160" t="str">
        <f t="shared" si="12"/>
        <v>ChileArgentina</v>
      </c>
      <c r="M160">
        <f t="shared" si="13"/>
        <v>0</v>
      </c>
      <c r="N160">
        <f t="shared" si="14"/>
        <v>0</v>
      </c>
      <c r="O160">
        <f t="shared" si="15"/>
        <v>1</v>
      </c>
    </row>
    <row r="161" spans="1:15" hidden="1" x14ac:dyDescent="0.25">
      <c r="A161" s="1">
        <v>16483</v>
      </c>
      <c r="B161" t="s">
        <v>16</v>
      </c>
      <c r="C161" t="s">
        <v>19</v>
      </c>
      <c r="D161" s="3">
        <v>42007</v>
      </c>
      <c r="E161" t="s">
        <v>60</v>
      </c>
      <c r="F161" t="s">
        <v>14</v>
      </c>
      <c r="G161" t="s">
        <v>21</v>
      </c>
      <c r="H161">
        <v>3</v>
      </c>
      <c r="I161">
        <v>1</v>
      </c>
      <c r="J161">
        <v>18</v>
      </c>
      <c r="K161" t="str">
        <f t="shared" si="11"/>
        <v>ArgentinaBrazil</v>
      </c>
      <c r="L161" t="str">
        <f t="shared" si="12"/>
        <v>BrazilArgentina</v>
      </c>
      <c r="M161">
        <f t="shared" si="13"/>
        <v>1</v>
      </c>
      <c r="N161">
        <f t="shared" si="14"/>
        <v>0</v>
      </c>
      <c r="O161">
        <f t="shared" si="15"/>
        <v>0</v>
      </c>
    </row>
    <row r="162" spans="1:15" hidden="1" x14ac:dyDescent="0.25">
      <c r="A162" s="1">
        <v>16483</v>
      </c>
      <c r="B162" t="s">
        <v>56</v>
      </c>
      <c r="C162" t="s">
        <v>11</v>
      </c>
      <c r="D162" s="2" t="s">
        <v>37</v>
      </c>
      <c r="E162" t="s">
        <v>57</v>
      </c>
      <c r="F162" t="s">
        <v>14</v>
      </c>
      <c r="G162" t="s">
        <v>64</v>
      </c>
      <c r="H162">
        <v>0</v>
      </c>
      <c r="I162">
        <v>2</v>
      </c>
      <c r="J162">
        <v>18</v>
      </c>
      <c r="K162" t="str">
        <f t="shared" si="11"/>
        <v>BoliviaUruguay</v>
      </c>
      <c r="L162" t="str">
        <f t="shared" si="12"/>
        <v>UruguayBolivia</v>
      </c>
      <c r="M162">
        <f t="shared" si="13"/>
        <v>0</v>
      </c>
      <c r="N162">
        <f t="shared" si="14"/>
        <v>1</v>
      </c>
      <c r="O162">
        <f t="shared" si="15"/>
        <v>0</v>
      </c>
    </row>
    <row r="163" spans="1:15" hidden="1" x14ac:dyDescent="0.25">
      <c r="A163" s="1">
        <v>16486</v>
      </c>
      <c r="B163" t="s">
        <v>125</v>
      </c>
      <c r="C163" t="s">
        <v>99</v>
      </c>
      <c r="D163" s="3">
        <v>42007</v>
      </c>
      <c r="E163" t="s">
        <v>60</v>
      </c>
      <c r="F163" t="s">
        <v>14</v>
      </c>
      <c r="G163" t="s">
        <v>136</v>
      </c>
      <c r="H163">
        <v>3</v>
      </c>
      <c r="I163">
        <v>1</v>
      </c>
      <c r="J163">
        <v>18</v>
      </c>
      <c r="K163" t="str">
        <f t="shared" si="11"/>
        <v>ColombiaEcuador</v>
      </c>
      <c r="L163" t="str">
        <f t="shared" si="12"/>
        <v>EcuadorColombia</v>
      </c>
      <c r="M163">
        <f t="shared" si="13"/>
        <v>1</v>
      </c>
      <c r="N163">
        <f t="shared" si="14"/>
        <v>0</v>
      </c>
      <c r="O163">
        <f t="shared" si="15"/>
        <v>0</v>
      </c>
    </row>
    <row r="164" spans="1:15" hidden="1" x14ac:dyDescent="0.25">
      <c r="A164" s="1">
        <v>16486</v>
      </c>
      <c r="B164" t="s">
        <v>10</v>
      </c>
      <c r="C164" t="s">
        <v>11</v>
      </c>
      <c r="D164" s="2" t="s">
        <v>29</v>
      </c>
      <c r="E164" t="s">
        <v>60</v>
      </c>
      <c r="F164" t="s">
        <v>14</v>
      </c>
      <c r="G164" t="s">
        <v>15</v>
      </c>
      <c r="H164">
        <v>1</v>
      </c>
      <c r="I164">
        <v>0</v>
      </c>
      <c r="J164">
        <v>18</v>
      </c>
      <c r="K164" t="str">
        <f t="shared" si="11"/>
        <v>ChileUruguay</v>
      </c>
      <c r="L164" t="str">
        <f t="shared" si="12"/>
        <v>UruguayChile</v>
      </c>
      <c r="M164">
        <f t="shared" si="13"/>
        <v>1</v>
      </c>
      <c r="N164">
        <f t="shared" si="14"/>
        <v>0</v>
      </c>
      <c r="O164">
        <f t="shared" si="15"/>
        <v>0</v>
      </c>
    </row>
    <row r="165" spans="1:15" hidden="1" x14ac:dyDescent="0.25">
      <c r="A165" s="1">
        <v>16489</v>
      </c>
      <c r="B165" t="s">
        <v>56</v>
      </c>
      <c r="C165" t="s">
        <v>125</v>
      </c>
      <c r="D165" s="3">
        <v>42066</v>
      </c>
      <c r="E165" t="s">
        <v>57</v>
      </c>
      <c r="F165" t="s">
        <v>14</v>
      </c>
      <c r="G165" t="s">
        <v>137</v>
      </c>
      <c r="H165">
        <v>3</v>
      </c>
      <c r="I165">
        <v>3</v>
      </c>
      <c r="J165">
        <v>18</v>
      </c>
      <c r="K165" t="str">
        <f t="shared" si="11"/>
        <v>BoliviaColombia</v>
      </c>
      <c r="L165" t="str">
        <f t="shared" si="12"/>
        <v>ColombiaBolivia</v>
      </c>
      <c r="M165">
        <f t="shared" si="13"/>
        <v>0</v>
      </c>
      <c r="N165">
        <f t="shared" si="14"/>
        <v>0</v>
      </c>
      <c r="O165">
        <f t="shared" si="15"/>
        <v>1</v>
      </c>
    </row>
    <row r="166" spans="1:15" hidden="1" x14ac:dyDescent="0.25">
      <c r="A166" s="1">
        <v>16489</v>
      </c>
      <c r="B166" t="s">
        <v>99</v>
      </c>
      <c r="C166" t="s">
        <v>19</v>
      </c>
      <c r="D166" s="3">
        <v>42249</v>
      </c>
      <c r="E166" t="s">
        <v>57</v>
      </c>
      <c r="F166" t="s">
        <v>14</v>
      </c>
      <c r="G166" t="s">
        <v>121</v>
      </c>
      <c r="H166">
        <v>2</v>
      </c>
      <c r="I166">
        <v>9</v>
      </c>
      <c r="J166">
        <v>18</v>
      </c>
      <c r="K166" t="str">
        <f t="shared" si="11"/>
        <v>EcuadorBrazil</v>
      </c>
      <c r="L166" t="str">
        <f t="shared" si="12"/>
        <v>BrazilEcuador</v>
      </c>
      <c r="M166">
        <f t="shared" si="13"/>
        <v>0</v>
      </c>
      <c r="N166">
        <f t="shared" si="14"/>
        <v>1</v>
      </c>
      <c r="O166">
        <f t="shared" si="15"/>
        <v>0</v>
      </c>
    </row>
    <row r="167" spans="1:15" hidden="1" x14ac:dyDescent="0.25">
      <c r="A167" s="1">
        <v>16493</v>
      </c>
      <c r="B167" t="s">
        <v>16</v>
      </c>
      <c r="C167" t="s">
        <v>11</v>
      </c>
      <c r="D167" s="2" t="s">
        <v>29</v>
      </c>
      <c r="E167" t="s">
        <v>60</v>
      </c>
      <c r="F167" t="s">
        <v>14</v>
      </c>
      <c r="G167" t="s">
        <v>26</v>
      </c>
      <c r="H167">
        <v>1</v>
      </c>
      <c r="I167">
        <v>0</v>
      </c>
      <c r="J167">
        <v>18</v>
      </c>
      <c r="K167" t="str">
        <f t="shared" si="11"/>
        <v>ArgentinaUruguay</v>
      </c>
      <c r="L167" t="str">
        <f t="shared" si="12"/>
        <v>UruguayArgentina</v>
      </c>
      <c r="M167">
        <f t="shared" si="13"/>
        <v>1</v>
      </c>
      <c r="N167">
        <f t="shared" si="14"/>
        <v>0</v>
      </c>
      <c r="O167">
        <f t="shared" si="15"/>
        <v>0</v>
      </c>
    </row>
    <row r="168" spans="1:15" hidden="1" x14ac:dyDescent="0.25">
      <c r="A168" s="1">
        <v>16496</v>
      </c>
      <c r="B168" t="s">
        <v>10</v>
      </c>
      <c r="C168" t="s">
        <v>19</v>
      </c>
      <c r="D168" s="2" t="s">
        <v>33</v>
      </c>
      <c r="E168" t="s">
        <v>60</v>
      </c>
      <c r="F168" t="s">
        <v>14</v>
      </c>
      <c r="G168" t="s">
        <v>20</v>
      </c>
      <c r="H168">
        <v>0</v>
      </c>
      <c r="I168">
        <v>1</v>
      </c>
      <c r="J168">
        <v>18</v>
      </c>
      <c r="K168" t="str">
        <f t="shared" si="11"/>
        <v>ChileBrazil</v>
      </c>
      <c r="L168" t="str">
        <f t="shared" si="12"/>
        <v>BrazilChile</v>
      </c>
      <c r="M168">
        <f t="shared" si="13"/>
        <v>0</v>
      </c>
      <c r="N168">
        <f t="shared" si="14"/>
        <v>1</v>
      </c>
      <c r="O168">
        <f t="shared" si="15"/>
        <v>0</v>
      </c>
    </row>
    <row r="169" spans="1:15" hidden="1" x14ac:dyDescent="0.25">
      <c r="A169" t="s">
        <v>138</v>
      </c>
      <c r="B169" t="s">
        <v>16</v>
      </c>
      <c r="C169" t="s">
        <v>43</v>
      </c>
      <c r="D169" s="2" t="s">
        <v>42</v>
      </c>
      <c r="E169" t="s">
        <v>17</v>
      </c>
      <c r="F169" t="s">
        <v>14</v>
      </c>
      <c r="G169" t="s">
        <v>48</v>
      </c>
      <c r="H169">
        <v>2</v>
      </c>
      <c r="I169">
        <v>0</v>
      </c>
      <c r="J169">
        <v>19</v>
      </c>
      <c r="K169" t="str">
        <f t="shared" si="11"/>
        <v>ArgentinaParaguay</v>
      </c>
      <c r="L169" t="str">
        <f t="shared" si="12"/>
        <v>ParaguayArgentina</v>
      </c>
      <c r="M169">
        <f t="shared" si="13"/>
        <v>1</v>
      </c>
      <c r="N169">
        <f t="shared" si="14"/>
        <v>0</v>
      </c>
      <c r="O169">
        <f t="shared" si="15"/>
        <v>0</v>
      </c>
    </row>
    <row r="170" spans="1:15" hidden="1" x14ac:dyDescent="0.25">
      <c r="A170" t="s">
        <v>139</v>
      </c>
      <c r="B170" t="s">
        <v>56</v>
      </c>
      <c r="C170" t="s">
        <v>19</v>
      </c>
      <c r="D170" s="2" t="s">
        <v>45</v>
      </c>
      <c r="E170" t="s">
        <v>13</v>
      </c>
      <c r="F170" t="s">
        <v>14</v>
      </c>
      <c r="G170" t="s">
        <v>130</v>
      </c>
      <c r="H170">
        <v>0</v>
      </c>
      <c r="I170">
        <v>3</v>
      </c>
      <c r="J170">
        <v>19</v>
      </c>
      <c r="K170" t="str">
        <f t="shared" si="11"/>
        <v>BoliviaBrazil</v>
      </c>
      <c r="L170" t="str">
        <f t="shared" si="12"/>
        <v>BrazilBolivia</v>
      </c>
      <c r="M170">
        <f t="shared" si="13"/>
        <v>0</v>
      </c>
      <c r="N170">
        <f t="shared" si="14"/>
        <v>1</v>
      </c>
      <c r="O170">
        <f t="shared" si="15"/>
        <v>0</v>
      </c>
    </row>
    <row r="171" spans="1:15" hidden="1" x14ac:dyDescent="0.25">
      <c r="A171" t="s">
        <v>139</v>
      </c>
      <c r="B171" t="s">
        <v>10</v>
      </c>
      <c r="C171" t="s">
        <v>11</v>
      </c>
      <c r="D171" s="2" t="s">
        <v>33</v>
      </c>
      <c r="E171" t="s">
        <v>13</v>
      </c>
      <c r="F171" t="s">
        <v>14</v>
      </c>
      <c r="G171" t="s">
        <v>15</v>
      </c>
      <c r="H171">
        <v>0</v>
      </c>
      <c r="I171">
        <v>1</v>
      </c>
      <c r="J171">
        <v>19</v>
      </c>
      <c r="K171" t="str">
        <f t="shared" si="11"/>
        <v>ChileUruguay</v>
      </c>
      <c r="L171" t="str">
        <f t="shared" si="12"/>
        <v>UruguayChile</v>
      </c>
      <c r="M171">
        <f t="shared" si="13"/>
        <v>0</v>
      </c>
      <c r="N171">
        <f t="shared" si="14"/>
        <v>1</v>
      </c>
      <c r="O171">
        <f t="shared" si="15"/>
        <v>0</v>
      </c>
    </row>
    <row r="172" spans="1:15" hidden="1" x14ac:dyDescent="0.25">
      <c r="A172" t="s">
        <v>140</v>
      </c>
      <c r="B172" t="s">
        <v>16</v>
      </c>
      <c r="C172" t="s">
        <v>56</v>
      </c>
      <c r="D172" s="3">
        <v>42011</v>
      </c>
      <c r="E172" t="s">
        <v>17</v>
      </c>
      <c r="F172" t="s">
        <v>14</v>
      </c>
      <c r="G172" t="s">
        <v>61</v>
      </c>
      <c r="H172">
        <v>7</v>
      </c>
      <c r="I172">
        <v>1</v>
      </c>
      <c r="J172">
        <v>19</v>
      </c>
      <c r="K172" t="str">
        <f t="shared" si="11"/>
        <v>ArgentinaBolivia</v>
      </c>
      <c r="L172" t="str">
        <f t="shared" si="12"/>
        <v>BoliviaArgentina</v>
      </c>
      <c r="M172">
        <f t="shared" si="13"/>
        <v>1</v>
      </c>
      <c r="N172">
        <f t="shared" si="14"/>
        <v>0</v>
      </c>
      <c r="O172">
        <f t="shared" si="15"/>
        <v>0</v>
      </c>
    </row>
    <row r="173" spans="1:15" hidden="1" x14ac:dyDescent="0.25">
      <c r="A173" t="s">
        <v>140</v>
      </c>
      <c r="B173" t="s">
        <v>10</v>
      </c>
      <c r="C173" t="s">
        <v>43</v>
      </c>
      <c r="D173" s="3">
        <v>42006</v>
      </c>
      <c r="E173" t="s">
        <v>13</v>
      </c>
      <c r="F173" t="s">
        <v>14</v>
      </c>
      <c r="G173" t="s">
        <v>49</v>
      </c>
      <c r="H173">
        <v>2</v>
      </c>
      <c r="I173">
        <v>1</v>
      </c>
      <c r="J173">
        <v>19</v>
      </c>
      <c r="K173" t="str">
        <f t="shared" si="11"/>
        <v>ChileParaguay</v>
      </c>
      <c r="L173" t="str">
        <f t="shared" si="12"/>
        <v>ParaguayChile</v>
      </c>
      <c r="M173">
        <f t="shared" si="13"/>
        <v>1</v>
      </c>
      <c r="N173">
        <f t="shared" si="14"/>
        <v>0</v>
      </c>
      <c r="O173">
        <f t="shared" si="15"/>
        <v>0</v>
      </c>
    </row>
    <row r="174" spans="1:15" x14ac:dyDescent="0.25">
      <c r="A174" t="s">
        <v>141</v>
      </c>
      <c r="B174" t="s">
        <v>11</v>
      </c>
      <c r="C174" t="s">
        <v>19</v>
      </c>
      <c r="D174" s="3">
        <v>42097</v>
      </c>
      <c r="E174" t="s">
        <v>22</v>
      </c>
      <c r="F174" t="s">
        <v>14</v>
      </c>
      <c r="G174" t="s">
        <v>23</v>
      </c>
      <c r="H174">
        <v>3</v>
      </c>
      <c r="I174">
        <v>4</v>
      </c>
      <c r="J174">
        <v>19</v>
      </c>
      <c r="K174" t="str">
        <f t="shared" si="11"/>
        <v>UruguayBrazil</v>
      </c>
      <c r="L174" t="str">
        <f t="shared" si="12"/>
        <v>BrazilUruguay</v>
      </c>
      <c r="M174">
        <f t="shared" si="13"/>
        <v>0</v>
      </c>
      <c r="N174">
        <f t="shared" si="14"/>
        <v>1</v>
      </c>
      <c r="O174">
        <f t="shared" si="15"/>
        <v>0</v>
      </c>
    </row>
    <row r="175" spans="1:15" hidden="1" x14ac:dyDescent="0.25">
      <c r="A175" t="s">
        <v>142</v>
      </c>
      <c r="B175" t="s">
        <v>16</v>
      </c>
      <c r="C175" t="s">
        <v>10</v>
      </c>
      <c r="D175" s="3">
        <v>42007</v>
      </c>
      <c r="E175" t="s">
        <v>17</v>
      </c>
      <c r="F175" t="s">
        <v>14</v>
      </c>
      <c r="G175" t="s">
        <v>18</v>
      </c>
      <c r="H175">
        <v>3</v>
      </c>
      <c r="I175">
        <v>1</v>
      </c>
      <c r="J175">
        <v>19</v>
      </c>
      <c r="K175" t="str">
        <f t="shared" si="11"/>
        <v>ArgentinaChile</v>
      </c>
      <c r="L175" t="str">
        <f t="shared" si="12"/>
        <v>ChileArgentina</v>
      </c>
      <c r="M175">
        <f t="shared" si="13"/>
        <v>1</v>
      </c>
      <c r="N175">
        <f t="shared" si="14"/>
        <v>0</v>
      </c>
      <c r="O175">
        <f t="shared" si="15"/>
        <v>0</v>
      </c>
    </row>
    <row r="176" spans="1:15" hidden="1" x14ac:dyDescent="0.25">
      <c r="A176" t="s">
        <v>142</v>
      </c>
      <c r="B176" t="s">
        <v>56</v>
      </c>
      <c r="C176" t="s">
        <v>43</v>
      </c>
      <c r="D176" s="3">
        <v>42096</v>
      </c>
      <c r="E176" t="s">
        <v>13</v>
      </c>
      <c r="F176" t="s">
        <v>14</v>
      </c>
      <c r="G176" t="s">
        <v>63</v>
      </c>
      <c r="H176">
        <v>2</v>
      </c>
      <c r="I176">
        <v>4</v>
      </c>
      <c r="J176">
        <v>19</v>
      </c>
      <c r="K176" t="str">
        <f t="shared" si="11"/>
        <v>BoliviaParaguay</v>
      </c>
      <c r="L176" t="str">
        <f t="shared" si="12"/>
        <v>ParaguayBolivia</v>
      </c>
      <c r="M176">
        <f t="shared" si="13"/>
        <v>0</v>
      </c>
      <c r="N176">
        <f t="shared" si="14"/>
        <v>1</v>
      </c>
      <c r="O176">
        <f t="shared" si="15"/>
        <v>0</v>
      </c>
    </row>
    <row r="177" spans="1:15" hidden="1" x14ac:dyDescent="0.25">
      <c r="A177" t="s">
        <v>143</v>
      </c>
      <c r="B177" t="s">
        <v>56</v>
      </c>
      <c r="C177" t="s">
        <v>11</v>
      </c>
      <c r="D177" s="2" t="s">
        <v>32</v>
      </c>
      <c r="E177" t="s">
        <v>13</v>
      </c>
      <c r="F177" t="s">
        <v>14</v>
      </c>
      <c r="G177" t="s">
        <v>64</v>
      </c>
      <c r="H177">
        <v>0</v>
      </c>
      <c r="I177">
        <v>5</v>
      </c>
      <c r="J177">
        <v>19</v>
      </c>
      <c r="K177" t="str">
        <f t="shared" si="11"/>
        <v>BoliviaUruguay</v>
      </c>
      <c r="L177" t="str">
        <f t="shared" si="12"/>
        <v>UruguayBolivia</v>
      </c>
      <c r="M177">
        <f t="shared" si="13"/>
        <v>0</v>
      </c>
      <c r="N177">
        <f t="shared" si="14"/>
        <v>1</v>
      </c>
      <c r="O177">
        <f t="shared" si="15"/>
        <v>0</v>
      </c>
    </row>
    <row r="178" spans="1:15" hidden="1" x14ac:dyDescent="0.25">
      <c r="A178" t="s">
        <v>143</v>
      </c>
      <c r="B178" t="s">
        <v>43</v>
      </c>
      <c r="C178" t="s">
        <v>19</v>
      </c>
      <c r="D178" s="3">
        <v>42005</v>
      </c>
      <c r="E178" t="s">
        <v>13</v>
      </c>
      <c r="F178" t="s">
        <v>14</v>
      </c>
      <c r="G178" t="s">
        <v>46</v>
      </c>
      <c r="H178">
        <v>1</v>
      </c>
      <c r="I178">
        <v>1</v>
      </c>
      <c r="J178">
        <v>19</v>
      </c>
      <c r="K178" t="str">
        <f t="shared" si="11"/>
        <v>ParaguayBrazil</v>
      </c>
      <c r="L178" t="str">
        <f t="shared" si="12"/>
        <v>BrazilParaguay</v>
      </c>
      <c r="M178">
        <f t="shared" si="13"/>
        <v>0</v>
      </c>
      <c r="N178">
        <f t="shared" si="14"/>
        <v>0</v>
      </c>
      <c r="O178">
        <f t="shared" si="15"/>
        <v>1</v>
      </c>
    </row>
    <row r="179" spans="1:15" hidden="1" x14ac:dyDescent="0.25">
      <c r="A179" s="1">
        <v>16835</v>
      </c>
      <c r="B179" t="s">
        <v>16</v>
      </c>
      <c r="C179" t="s">
        <v>11</v>
      </c>
      <c r="D179" s="3">
        <v>42007</v>
      </c>
      <c r="E179" t="s">
        <v>17</v>
      </c>
      <c r="F179" t="s">
        <v>14</v>
      </c>
      <c r="G179" t="s">
        <v>26</v>
      </c>
      <c r="H179">
        <v>3</v>
      </c>
      <c r="I179">
        <v>1</v>
      </c>
      <c r="J179">
        <v>19</v>
      </c>
      <c r="K179" t="str">
        <f t="shared" si="11"/>
        <v>ArgentinaUruguay</v>
      </c>
      <c r="L179" t="str">
        <f t="shared" si="12"/>
        <v>UruguayArgentina</v>
      </c>
      <c r="M179">
        <f t="shared" si="13"/>
        <v>1</v>
      </c>
      <c r="N179">
        <f t="shared" si="14"/>
        <v>0</v>
      </c>
      <c r="O179">
        <f t="shared" si="15"/>
        <v>0</v>
      </c>
    </row>
    <row r="180" spans="1:15" hidden="1" x14ac:dyDescent="0.25">
      <c r="A180" s="1">
        <v>16836</v>
      </c>
      <c r="B180" t="s">
        <v>10</v>
      </c>
      <c r="C180" t="s">
        <v>19</v>
      </c>
      <c r="D180" s="3">
        <v>42125</v>
      </c>
      <c r="E180" t="s">
        <v>13</v>
      </c>
      <c r="F180" t="s">
        <v>14</v>
      </c>
      <c r="G180" t="s">
        <v>20</v>
      </c>
      <c r="H180">
        <v>1</v>
      </c>
      <c r="I180">
        <v>5</v>
      </c>
      <c r="J180">
        <v>19</v>
      </c>
      <c r="K180" t="str">
        <f t="shared" si="11"/>
        <v>ChileBrazil</v>
      </c>
      <c r="L180" t="str">
        <f t="shared" si="12"/>
        <v>BrazilChile</v>
      </c>
      <c r="M180">
        <f t="shared" si="13"/>
        <v>0</v>
      </c>
      <c r="N180">
        <f t="shared" si="14"/>
        <v>1</v>
      </c>
      <c r="O180">
        <f t="shared" si="15"/>
        <v>0</v>
      </c>
    </row>
    <row r="181" spans="1:15" hidden="1" x14ac:dyDescent="0.25">
      <c r="A181" s="1">
        <v>16841</v>
      </c>
      <c r="B181" t="s">
        <v>56</v>
      </c>
      <c r="C181" t="s">
        <v>10</v>
      </c>
      <c r="D181" s="3">
        <v>42095</v>
      </c>
      <c r="E181" t="s">
        <v>13</v>
      </c>
      <c r="F181" t="s">
        <v>14</v>
      </c>
      <c r="G181" t="s">
        <v>58</v>
      </c>
      <c r="H181">
        <v>1</v>
      </c>
      <c r="I181">
        <v>4</v>
      </c>
      <c r="J181">
        <v>19</v>
      </c>
      <c r="K181" t="str">
        <f t="shared" si="11"/>
        <v>BoliviaChile</v>
      </c>
      <c r="L181" t="str">
        <f t="shared" si="12"/>
        <v>ChileBolivia</v>
      </c>
      <c r="M181">
        <f t="shared" si="13"/>
        <v>0</v>
      </c>
      <c r="N181">
        <f t="shared" si="14"/>
        <v>1</v>
      </c>
      <c r="O181">
        <f t="shared" si="15"/>
        <v>0</v>
      </c>
    </row>
    <row r="182" spans="1:15" hidden="1" x14ac:dyDescent="0.25">
      <c r="A182" s="1">
        <v>16841</v>
      </c>
      <c r="B182" t="s">
        <v>43</v>
      </c>
      <c r="C182" t="s">
        <v>11</v>
      </c>
      <c r="D182" s="3">
        <v>42006</v>
      </c>
      <c r="E182" t="s">
        <v>13</v>
      </c>
      <c r="F182" t="s">
        <v>14</v>
      </c>
      <c r="G182" t="s">
        <v>44</v>
      </c>
      <c r="H182">
        <v>2</v>
      </c>
      <c r="I182">
        <v>1</v>
      </c>
      <c r="J182">
        <v>19</v>
      </c>
      <c r="K182" t="str">
        <f t="shared" si="11"/>
        <v>ParaguayUruguay</v>
      </c>
      <c r="L182" t="str">
        <f t="shared" si="12"/>
        <v>UruguayParaguay</v>
      </c>
      <c r="M182">
        <f t="shared" si="13"/>
        <v>1</v>
      </c>
      <c r="N182">
        <f t="shared" si="14"/>
        <v>0</v>
      </c>
      <c r="O182">
        <f t="shared" si="15"/>
        <v>0</v>
      </c>
    </row>
    <row r="183" spans="1:15" hidden="1" x14ac:dyDescent="0.25">
      <c r="A183" s="1">
        <v>16843</v>
      </c>
      <c r="B183" t="s">
        <v>16</v>
      </c>
      <c r="C183" t="s">
        <v>19</v>
      </c>
      <c r="D183" s="2" t="s">
        <v>42</v>
      </c>
      <c r="E183" t="s">
        <v>17</v>
      </c>
      <c r="F183" t="s">
        <v>14</v>
      </c>
      <c r="G183" t="s">
        <v>21</v>
      </c>
      <c r="H183">
        <v>2</v>
      </c>
      <c r="I183">
        <v>0</v>
      </c>
      <c r="J183">
        <v>19</v>
      </c>
      <c r="K183" t="str">
        <f t="shared" si="11"/>
        <v>ArgentinaBrazil</v>
      </c>
      <c r="L183" t="str">
        <f t="shared" si="12"/>
        <v>BrazilArgentina</v>
      </c>
      <c r="M183">
        <f t="shared" si="13"/>
        <v>1</v>
      </c>
      <c r="N183">
        <f t="shared" si="14"/>
        <v>0</v>
      </c>
      <c r="O183">
        <f t="shared" si="15"/>
        <v>0</v>
      </c>
    </row>
    <row r="184" spans="1:15" hidden="1" x14ac:dyDescent="0.25">
      <c r="A184" s="1">
        <v>17501</v>
      </c>
      <c r="B184" t="s">
        <v>56</v>
      </c>
      <c r="C184" t="s">
        <v>99</v>
      </c>
      <c r="D184" s="3">
        <v>42037</v>
      </c>
      <c r="E184" t="s">
        <v>144</v>
      </c>
      <c r="F184" t="s">
        <v>14</v>
      </c>
      <c r="G184" t="s">
        <v>135</v>
      </c>
      <c r="H184">
        <v>2</v>
      </c>
      <c r="I184">
        <v>2</v>
      </c>
      <c r="J184">
        <v>20</v>
      </c>
      <c r="K184" t="str">
        <f t="shared" si="11"/>
        <v>BoliviaEcuador</v>
      </c>
      <c r="L184" t="str">
        <f t="shared" si="12"/>
        <v>EcuadorBolivia</v>
      </c>
      <c r="M184">
        <f t="shared" si="13"/>
        <v>0</v>
      </c>
      <c r="N184">
        <f t="shared" si="14"/>
        <v>0</v>
      </c>
      <c r="O184">
        <f t="shared" si="15"/>
        <v>1</v>
      </c>
    </row>
    <row r="185" spans="1:15" hidden="1" x14ac:dyDescent="0.25">
      <c r="A185" t="s">
        <v>145</v>
      </c>
      <c r="B185" t="s">
        <v>16</v>
      </c>
      <c r="C185" t="s">
        <v>43</v>
      </c>
      <c r="D185" s="2" t="s">
        <v>40</v>
      </c>
      <c r="E185" t="s">
        <v>146</v>
      </c>
      <c r="F185" t="s">
        <v>14</v>
      </c>
      <c r="G185" t="s">
        <v>48</v>
      </c>
      <c r="H185">
        <v>6</v>
      </c>
      <c r="I185">
        <v>0</v>
      </c>
      <c r="J185">
        <v>20</v>
      </c>
      <c r="K185" t="str">
        <f t="shared" si="11"/>
        <v>ArgentinaParaguay</v>
      </c>
      <c r="L185" t="str">
        <f t="shared" si="12"/>
        <v>ParaguayArgentina</v>
      </c>
      <c r="M185">
        <f t="shared" si="13"/>
        <v>1</v>
      </c>
      <c r="N185">
        <f t="shared" si="14"/>
        <v>0</v>
      </c>
      <c r="O185">
        <f t="shared" si="15"/>
        <v>0</v>
      </c>
    </row>
    <row r="186" spans="1:15" hidden="1" x14ac:dyDescent="0.25">
      <c r="A186" t="s">
        <v>145</v>
      </c>
      <c r="B186" t="s">
        <v>125</v>
      </c>
      <c r="C186" t="s">
        <v>11</v>
      </c>
      <c r="D186" s="2" t="s">
        <v>37</v>
      </c>
      <c r="E186" t="s">
        <v>146</v>
      </c>
      <c r="F186" t="s">
        <v>14</v>
      </c>
      <c r="G186" t="s">
        <v>129</v>
      </c>
      <c r="H186">
        <v>0</v>
      </c>
      <c r="I186">
        <v>2</v>
      </c>
      <c r="J186">
        <v>20</v>
      </c>
      <c r="K186" t="str">
        <f t="shared" si="11"/>
        <v>ColombiaUruguay</v>
      </c>
      <c r="L186" t="str">
        <f t="shared" si="12"/>
        <v>UruguayColombia</v>
      </c>
      <c r="M186">
        <f t="shared" si="13"/>
        <v>0</v>
      </c>
      <c r="N186">
        <f t="shared" si="14"/>
        <v>1</v>
      </c>
      <c r="O186">
        <f t="shared" si="15"/>
        <v>0</v>
      </c>
    </row>
    <row r="187" spans="1:15" hidden="1" x14ac:dyDescent="0.25">
      <c r="A187" t="s">
        <v>147</v>
      </c>
      <c r="B187" t="s">
        <v>125</v>
      </c>
      <c r="C187" t="s">
        <v>99</v>
      </c>
      <c r="D187" s="2" t="s">
        <v>24</v>
      </c>
      <c r="E187" t="s">
        <v>146</v>
      </c>
      <c r="F187" t="s">
        <v>14</v>
      </c>
      <c r="G187" t="s">
        <v>136</v>
      </c>
      <c r="H187">
        <v>0</v>
      </c>
      <c r="I187">
        <v>0</v>
      </c>
      <c r="J187">
        <v>20</v>
      </c>
      <c r="K187" t="str">
        <f t="shared" si="11"/>
        <v>ColombiaEcuador</v>
      </c>
      <c r="L187" t="str">
        <f t="shared" si="12"/>
        <v>EcuadorColombia</v>
      </c>
      <c r="M187">
        <f t="shared" si="13"/>
        <v>0</v>
      </c>
      <c r="N187">
        <f t="shared" si="14"/>
        <v>0</v>
      </c>
      <c r="O187">
        <f t="shared" si="15"/>
        <v>1</v>
      </c>
    </row>
    <row r="188" spans="1:15" hidden="1" x14ac:dyDescent="0.25">
      <c r="A188" t="s">
        <v>147</v>
      </c>
      <c r="B188" t="s">
        <v>16</v>
      </c>
      <c r="C188" t="s">
        <v>56</v>
      </c>
      <c r="D188" s="2" t="s">
        <v>148</v>
      </c>
      <c r="E188" t="s">
        <v>146</v>
      </c>
      <c r="F188" t="s">
        <v>14</v>
      </c>
      <c r="G188" t="s">
        <v>61</v>
      </c>
      <c r="H188">
        <v>7</v>
      </c>
      <c r="I188">
        <v>0</v>
      </c>
      <c r="J188">
        <v>20</v>
      </c>
      <c r="K188" t="str">
        <f t="shared" si="11"/>
        <v>ArgentinaBolivia</v>
      </c>
      <c r="L188" t="str">
        <f t="shared" si="12"/>
        <v>BoliviaArgentina</v>
      </c>
      <c r="M188">
        <f t="shared" si="13"/>
        <v>1</v>
      </c>
      <c r="N188">
        <f t="shared" si="14"/>
        <v>0</v>
      </c>
      <c r="O188">
        <f t="shared" si="15"/>
        <v>0</v>
      </c>
    </row>
    <row r="189" spans="1:15" hidden="1" x14ac:dyDescent="0.25">
      <c r="A189" t="s">
        <v>149</v>
      </c>
      <c r="B189" t="s">
        <v>10</v>
      </c>
      <c r="C189" t="s">
        <v>11</v>
      </c>
      <c r="D189" s="2" t="s">
        <v>34</v>
      </c>
      <c r="E189" t="s">
        <v>144</v>
      </c>
      <c r="F189" t="s">
        <v>14</v>
      </c>
      <c r="G189" t="s">
        <v>15</v>
      </c>
      <c r="H189">
        <v>0</v>
      </c>
      <c r="I189">
        <v>6</v>
      </c>
      <c r="J189">
        <v>20</v>
      </c>
      <c r="K189" t="str">
        <f t="shared" si="11"/>
        <v>ChileUruguay</v>
      </c>
      <c r="L189" t="str">
        <f t="shared" si="12"/>
        <v>UruguayChile</v>
      </c>
      <c r="M189">
        <f t="shared" si="13"/>
        <v>0</v>
      </c>
      <c r="N189">
        <f t="shared" si="14"/>
        <v>1</v>
      </c>
      <c r="O189">
        <f t="shared" si="15"/>
        <v>0</v>
      </c>
    </row>
    <row r="190" spans="1:15" hidden="1" x14ac:dyDescent="0.25">
      <c r="A190" t="s">
        <v>149</v>
      </c>
      <c r="B190" t="s">
        <v>43</v>
      </c>
      <c r="C190" t="s">
        <v>66</v>
      </c>
      <c r="D190" s="3">
        <v>42037</v>
      </c>
      <c r="E190" t="s">
        <v>144</v>
      </c>
      <c r="F190" t="s">
        <v>14</v>
      </c>
      <c r="G190" t="s">
        <v>74</v>
      </c>
      <c r="H190">
        <v>2</v>
      </c>
      <c r="I190">
        <v>2</v>
      </c>
      <c r="J190">
        <v>20</v>
      </c>
      <c r="K190" t="str">
        <f t="shared" si="11"/>
        <v>ParaguayPeru</v>
      </c>
      <c r="L190" t="str">
        <f t="shared" si="12"/>
        <v>PeruParaguay</v>
      </c>
      <c r="M190">
        <f t="shared" si="13"/>
        <v>0</v>
      </c>
      <c r="N190">
        <f t="shared" si="14"/>
        <v>0</v>
      </c>
      <c r="O190">
        <f t="shared" si="15"/>
        <v>1</v>
      </c>
    </row>
    <row r="191" spans="1:15" hidden="1" x14ac:dyDescent="0.25">
      <c r="A191" t="s">
        <v>150</v>
      </c>
      <c r="B191" t="s">
        <v>10</v>
      </c>
      <c r="C191" t="s">
        <v>66</v>
      </c>
      <c r="D191" s="3">
        <v>42006</v>
      </c>
      <c r="E191" t="s">
        <v>144</v>
      </c>
      <c r="F191" t="s">
        <v>14</v>
      </c>
      <c r="G191" t="s">
        <v>80</v>
      </c>
      <c r="H191">
        <v>2</v>
      </c>
      <c r="I191">
        <v>1</v>
      </c>
      <c r="J191">
        <v>20</v>
      </c>
      <c r="K191" t="str">
        <f t="shared" si="11"/>
        <v>ChilePeru</v>
      </c>
      <c r="L191" t="str">
        <f t="shared" si="12"/>
        <v>PeruChile</v>
      </c>
      <c r="M191">
        <f t="shared" si="13"/>
        <v>1</v>
      </c>
      <c r="N191">
        <f t="shared" si="14"/>
        <v>0</v>
      </c>
      <c r="O191">
        <f t="shared" si="15"/>
        <v>0</v>
      </c>
    </row>
    <row r="192" spans="1:15" hidden="1" x14ac:dyDescent="0.25">
      <c r="A192" t="s">
        <v>150</v>
      </c>
      <c r="B192" t="s">
        <v>56</v>
      </c>
      <c r="C192" t="s">
        <v>11</v>
      </c>
      <c r="D192" s="2" t="s">
        <v>45</v>
      </c>
      <c r="E192" t="s">
        <v>144</v>
      </c>
      <c r="F192" t="s">
        <v>14</v>
      </c>
      <c r="G192" t="s">
        <v>64</v>
      </c>
      <c r="H192">
        <v>0</v>
      </c>
      <c r="I192">
        <v>3</v>
      </c>
      <c r="J192">
        <v>20</v>
      </c>
      <c r="K192" t="str">
        <f t="shared" si="11"/>
        <v>BoliviaUruguay</v>
      </c>
      <c r="L192" t="str">
        <f t="shared" si="12"/>
        <v>UruguayBolivia</v>
      </c>
      <c r="M192">
        <f t="shared" si="13"/>
        <v>0</v>
      </c>
      <c r="N192">
        <f t="shared" si="14"/>
        <v>1</v>
      </c>
      <c r="O192">
        <f t="shared" si="15"/>
        <v>0</v>
      </c>
    </row>
    <row r="193" spans="1:15" hidden="1" x14ac:dyDescent="0.25">
      <c r="A193" t="s">
        <v>151</v>
      </c>
      <c r="B193" t="s">
        <v>10</v>
      </c>
      <c r="C193" t="s">
        <v>99</v>
      </c>
      <c r="D193" s="2" t="s">
        <v>47</v>
      </c>
      <c r="E193" t="s">
        <v>144</v>
      </c>
      <c r="F193" t="s">
        <v>14</v>
      </c>
      <c r="G193" t="s">
        <v>104</v>
      </c>
      <c r="H193">
        <v>3</v>
      </c>
      <c r="I193">
        <v>0</v>
      </c>
      <c r="J193">
        <v>20</v>
      </c>
      <c r="K193" t="str">
        <f t="shared" si="11"/>
        <v>ChileEcuador</v>
      </c>
      <c r="L193" t="str">
        <f t="shared" si="12"/>
        <v>EcuadorChile</v>
      </c>
      <c r="M193">
        <f t="shared" si="13"/>
        <v>1</v>
      </c>
      <c r="N193">
        <f t="shared" si="14"/>
        <v>0</v>
      </c>
      <c r="O193">
        <f t="shared" si="15"/>
        <v>0</v>
      </c>
    </row>
    <row r="194" spans="1:15" hidden="1" x14ac:dyDescent="0.25">
      <c r="A194" t="s">
        <v>151</v>
      </c>
      <c r="B194" t="s">
        <v>16</v>
      </c>
      <c r="C194" t="s">
        <v>66</v>
      </c>
      <c r="D194" s="3">
        <v>42038</v>
      </c>
      <c r="E194" t="s">
        <v>146</v>
      </c>
      <c r="F194" t="s">
        <v>14</v>
      </c>
      <c r="G194" t="s">
        <v>72</v>
      </c>
      <c r="H194">
        <v>3</v>
      </c>
      <c r="I194">
        <v>2</v>
      </c>
      <c r="J194">
        <v>20</v>
      </c>
      <c r="K194" t="str">
        <f t="shared" si="11"/>
        <v>ArgentinaPeru</v>
      </c>
      <c r="L194" t="str">
        <f t="shared" si="12"/>
        <v>PeruArgentina</v>
      </c>
      <c r="M194">
        <f t="shared" si="13"/>
        <v>1</v>
      </c>
      <c r="N194">
        <f t="shared" si="14"/>
        <v>0</v>
      </c>
      <c r="O194">
        <f t="shared" si="15"/>
        <v>0</v>
      </c>
    </row>
    <row r="195" spans="1:15" hidden="1" x14ac:dyDescent="0.25">
      <c r="A195" t="s">
        <v>152</v>
      </c>
      <c r="B195" t="s">
        <v>56</v>
      </c>
      <c r="C195" t="s">
        <v>125</v>
      </c>
      <c r="D195" s="2" t="s">
        <v>24</v>
      </c>
      <c r="E195" t="s">
        <v>144</v>
      </c>
      <c r="F195" t="s">
        <v>14</v>
      </c>
      <c r="G195" t="s">
        <v>137</v>
      </c>
      <c r="H195">
        <v>0</v>
      </c>
      <c r="I195">
        <v>0</v>
      </c>
      <c r="J195">
        <v>20</v>
      </c>
      <c r="K195" t="str">
        <f t="shared" ref="K195:K258" si="16">CONCATENATE(B195,C195)</f>
        <v>BoliviaColombia</v>
      </c>
      <c r="L195" t="str">
        <f t="shared" ref="L195:L258" si="17">CONCATENATE(C195,B195)</f>
        <v>ColombiaBolivia</v>
      </c>
      <c r="M195">
        <f t="shared" ref="M195:M258" si="18">IF(H195&gt;I195,1,0)</f>
        <v>0</v>
      </c>
      <c r="N195">
        <f t="shared" ref="N195:N258" si="19">IF(I195&gt;H195,1,0)</f>
        <v>0</v>
      </c>
      <c r="O195">
        <f t="shared" ref="O195:O258" si="20">IF(I195=H195,1,0)</f>
        <v>1</v>
      </c>
    </row>
    <row r="196" spans="1:15" hidden="1" x14ac:dyDescent="0.25">
      <c r="A196" t="s">
        <v>152</v>
      </c>
      <c r="B196" t="s">
        <v>43</v>
      </c>
      <c r="C196" t="s">
        <v>11</v>
      </c>
      <c r="D196" s="3">
        <v>42039</v>
      </c>
      <c r="E196" t="s">
        <v>144</v>
      </c>
      <c r="F196" t="s">
        <v>14</v>
      </c>
      <c r="G196" t="s">
        <v>44</v>
      </c>
      <c r="H196">
        <v>4</v>
      </c>
      <c r="I196">
        <v>2</v>
      </c>
      <c r="J196">
        <v>20</v>
      </c>
      <c r="K196" t="str">
        <f t="shared" si="16"/>
        <v>ParaguayUruguay</v>
      </c>
      <c r="L196" t="str">
        <f t="shared" si="17"/>
        <v>UruguayParaguay</v>
      </c>
      <c r="M196">
        <f t="shared" si="18"/>
        <v>1</v>
      </c>
      <c r="N196">
        <f t="shared" si="19"/>
        <v>0</v>
      </c>
      <c r="O196">
        <f t="shared" si="20"/>
        <v>0</v>
      </c>
    </row>
    <row r="197" spans="1:15" hidden="1" x14ac:dyDescent="0.25">
      <c r="A197" t="s">
        <v>153</v>
      </c>
      <c r="B197" t="s">
        <v>16</v>
      </c>
      <c r="C197" t="s">
        <v>10</v>
      </c>
      <c r="D197" s="3">
        <v>42005</v>
      </c>
      <c r="E197" t="s">
        <v>146</v>
      </c>
      <c r="F197" t="s">
        <v>14</v>
      </c>
      <c r="G197" t="s">
        <v>18</v>
      </c>
      <c r="H197">
        <v>1</v>
      </c>
      <c r="I197">
        <v>1</v>
      </c>
      <c r="J197">
        <v>20</v>
      </c>
      <c r="K197" t="str">
        <f t="shared" si="16"/>
        <v>ArgentinaChile</v>
      </c>
      <c r="L197" t="str">
        <f t="shared" si="17"/>
        <v>ChileArgentina</v>
      </c>
      <c r="M197">
        <f t="shared" si="18"/>
        <v>0</v>
      </c>
      <c r="N197">
        <f t="shared" si="19"/>
        <v>0</v>
      </c>
      <c r="O197">
        <f t="shared" si="20"/>
        <v>1</v>
      </c>
    </row>
    <row r="198" spans="1:15" hidden="1" x14ac:dyDescent="0.25">
      <c r="A198" t="s">
        <v>153</v>
      </c>
      <c r="B198" t="s">
        <v>99</v>
      </c>
      <c r="C198" t="s">
        <v>11</v>
      </c>
      <c r="D198" s="3">
        <v>42156</v>
      </c>
      <c r="E198" t="s">
        <v>146</v>
      </c>
      <c r="F198" t="s">
        <v>14</v>
      </c>
      <c r="G198" t="s">
        <v>102</v>
      </c>
      <c r="H198">
        <v>1</v>
      </c>
      <c r="I198">
        <v>6</v>
      </c>
      <c r="J198">
        <v>20</v>
      </c>
      <c r="K198" t="str">
        <f t="shared" si="16"/>
        <v>EcuadorUruguay</v>
      </c>
      <c r="L198" t="str">
        <f t="shared" si="17"/>
        <v>UruguayEcuador</v>
      </c>
      <c r="M198">
        <f t="shared" si="18"/>
        <v>0</v>
      </c>
      <c r="N198">
        <f t="shared" si="19"/>
        <v>1</v>
      </c>
      <c r="O198">
        <f t="shared" si="20"/>
        <v>0</v>
      </c>
    </row>
    <row r="199" spans="1:15" hidden="1" x14ac:dyDescent="0.25">
      <c r="A199" t="s">
        <v>154</v>
      </c>
      <c r="B199" t="s">
        <v>56</v>
      </c>
      <c r="C199" t="s">
        <v>43</v>
      </c>
      <c r="D199" s="3">
        <v>42064</v>
      </c>
      <c r="E199" t="s">
        <v>144</v>
      </c>
      <c r="F199" t="s">
        <v>14</v>
      </c>
      <c r="G199" t="s">
        <v>63</v>
      </c>
      <c r="H199">
        <v>1</v>
      </c>
      <c r="I199">
        <v>3</v>
      </c>
      <c r="J199">
        <v>20</v>
      </c>
      <c r="K199" t="str">
        <f t="shared" si="16"/>
        <v>BoliviaParaguay</v>
      </c>
      <c r="L199" t="str">
        <f t="shared" si="17"/>
        <v>ParaguayBolivia</v>
      </c>
      <c r="M199">
        <f t="shared" si="18"/>
        <v>0</v>
      </c>
      <c r="N199">
        <f t="shared" si="19"/>
        <v>1</v>
      </c>
      <c r="O199">
        <f t="shared" si="20"/>
        <v>0</v>
      </c>
    </row>
    <row r="200" spans="1:15" hidden="1" x14ac:dyDescent="0.25">
      <c r="A200" t="s">
        <v>154</v>
      </c>
      <c r="B200" t="s">
        <v>16</v>
      </c>
      <c r="C200" t="s">
        <v>125</v>
      </c>
      <c r="D200" s="2" t="s">
        <v>40</v>
      </c>
      <c r="E200" t="s">
        <v>146</v>
      </c>
      <c r="F200" t="s">
        <v>14</v>
      </c>
      <c r="G200" t="s">
        <v>133</v>
      </c>
      <c r="H200">
        <v>6</v>
      </c>
      <c r="I200">
        <v>0</v>
      </c>
      <c r="J200">
        <v>20</v>
      </c>
      <c r="K200" t="str">
        <f t="shared" si="16"/>
        <v>ArgentinaColombia</v>
      </c>
      <c r="L200" t="str">
        <f t="shared" si="17"/>
        <v>ColombiaArgentina</v>
      </c>
      <c r="M200">
        <f t="shared" si="18"/>
        <v>1</v>
      </c>
      <c r="N200">
        <f t="shared" si="19"/>
        <v>0</v>
      </c>
      <c r="O200">
        <f t="shared" si="20"/>
        <v>0</v>
      </c>
    </row>
    <row r="201" spans="1:15" hidden="1" x14ac:dyDescent="0.25">
      <c r="A201" t="s">
        <v>155</v>
      </c>
      <c r="B201" t="s">
        <v>125</v>
      </c>
      <c r="C201" t="s">
        <v>43</v>
      </c>
      <c r="D201" s="2" t="s">
        <v>37</v>
      </c>
      <c r="E201" t="s">
        <v>146</v>
      </c>
      <c r="F201" t="s">
        <v>14</v>
      </c>
      <c r="G201" t="s">
        <v>156</v>
      </c>
      <c r="H201">
        <v>0</v>
      </c>
      <c r="I201">
        <v>2</v>
      </c>
      <c r="J201">
        <v>20</v>
      </c>
      <c r="K201" t="str">
        <f t="shared" si="16"/>
        <v>ColombiaParaguay</v>
      </c>
      <c r="L201" t="str">
        <f t="shared" si="17"/>
        <v>ParaguayColombia</v>
      </c>
      <c r="M201">
        <f t="shared" si="18"/>
        <v>0</v>
      </c>
      <c r="N201">
        <f t="shared" si="19"/>
        <v>1</v>
      </c>
      <c r="O201">
        <f t="shared" si="20"/>
        <v>0</v>
      </c>
    </row>
    <row r="202" spans="1:15" hidden="1" x14ac:dyDescent="0.25">
      <c r="A202" t="s">
        <v>155</v>
      </c>
      <c r="B202" t="s">
        <v>99</v>
      </c>
      <c r="C202" t="s">
        <v>66</v>
      </c>
      <c r="D202" s="2" t="s">
        <v>24</v>
      </c>
      <c r="E202" t="s">
        <v>146</v>
      </c>
      <c r="F202" t="s">
        <v>14</v>
      </c>
      <c r="G202" t="s">
        <v>100</v>
      </c>
      <c r="H202">
        <v>0</v>
      </c>
      <c r="I202">
        <v>0</v>
      </c>
      <c r="J202">
        <v>20</v>
      </c>
      <c r="K202" t="str">
        <f t="shared" si="16"/>
        <v>EcuadorPeru</v>
      </c>
      <c r="L202" t="str">
        <f t="shared" si="17"/>
        <v>PeruEcuador</v>
      </c>
      <c r="M202">
        <f t="shared" si="18"/>
        <v>0</v>
      </c>
      <c r="N202">
        <f t="shared" si="19"/>
        <v>0</v>
      </c>
      <c r="O202">
        <f t="shared" si="20"/>
        <v>1</v>
      </c>
    </row>
    <row r="203" spans="1:15" hidden="1" x14ac:dyDescent="0.25">
      <c r="A203" t="s">
        <v>157</v>
      </c>
      <c r="B203" t="s">
        <v>10</v>
      </c>
      <c r="C203" t="s">
        <v>43</v>
      </c>
      <c r="D203" s="2" t="s">
        <v>33</v>
      </c>
      <c r="E203" t="s">
        <v>144</v>
      </c>
      <c r="F203" t="s">
        <v>14</v>
      </c>
      <c r="G203" t="s">
        <v>49</v>
      </c>
      <c r="H203">
        <v>0</v>
      </c>
      <c r="I203">
        <v>1</v>
      </c>
      <c r="J203">
        <v>20</v>
      </c>
      <c r="K203" t="str">
        <f t="shared" si="16"/>
        <v>ChileParaguay</v>
      </c>
      <c r="L203" t="str">
        <f t="shared" si="17"/>
        <v>ParaguayChile</v>
      </c>
      <c r="M203">
        <f t="shared" si="18"/>
        <v>0</v>
      </c>
      <c r="N203">
        <f t="shared" si="19"/>
        <v>1</v>
      </c>
      <c r="O203">
        <f t="shared" si="20"/>
        <v>0</v>
      </c>
    </row>
    <row r="204" spans="1:15" hidden="1" x14ac:dyDescent="0.25">
      <c r="A204" t="s">
        <v>157</v>
      </c>
      <c r="B204" t="s">
        <v>125</v>
      </c>
      <c r="C204" t="s">
        <v>66</v>
      </c>
      <c r="D204" s="3">
        <v>42125</v>
      </c>
      <c r="E204" t="s">
        <v>146</v>
      </c>
      <c r="F204" t="s">
        <v>14</v>
      </c>
      <c r="G204" t="s">
        <v>158</v>
      </c>
      <c r="H204">
        <v>1</v>
      </c>
      <c r="I204">
        <v>5</v>
      </c>
      <c r="J204">
        <v>20</v>
      </c>
      <c r="K204" t="str">
        <f t="shared" si="16"/>
        <v>ColombiaPeru</v>
      </c>
      <c r="L204" t="str">
        <f t="shared" si="17"/>
        <v>PeruColombia</v>
      </c>
      <c r="M204">
        <f t="shared" si="18"/>
        <v>0</v>
      </c>
      <c r="N204">
        <f t="shared" si="19"/>
        <v>1</v>
      </c>
      <c r="O204">
        <f t="shared" si="20"/>
        <v>0</v>
      </c>
    </row>
    <row r="205" spans="1:15" hidden="1" x14ac:dyDescent="0.25">
      <c r="A205" t="s">
        <v>159</v>
      </c>
      <c r="B205" t="s">
        <v>16</v>
      </c>
      <c r="C205" t="s">
        <v>99</v>
      </c>
      <c r="D205" s="2" t="s">
        <v>42</v>
      </c>
      <c r="E205" t="s">
        <v>146</v>
      </c>
      <c r="F205" t="s">
        <v>14</v>
      </c>
      <c r="G205" t="s">
        <v>106</v>
      </c>
      <c r="H205">
        <v>2</v>
      </c>
      <c r="I205">
        <v>0</v>
      </c>
      <c r="J205">
        <v>20</v>
      </c>
      <c r="K205" t="str">
        <f t="shared" si="16"/>
        <v>ArgentinaEcuador</v>
      </c>
      <c r="L205" t="str">
        <f t="shared" si="17"/>
        <v>EcuadorArgentina</v>
      </c>
      <c r="M205">
        <f t="shared" si="18"/>
        <v>1</v>
      </c>
      <c r="N205">
        <f t="shared" si="19"/>
        <v>0</v>
      </c>
      <c r="O205">
        <f t="shared" si="20"/>
        <v>0</v>
      </c>
    </row>
    <row r="206" spans="1:15" hidden="1" x14ac:dyDescent="0.25">
      <c r="A206" t="s">
        <v>160</v>
      </c>
      <c r="B206" t="s">
        <v>66</v>
      </c>
      <c r="C206" t="s">
        <v>11</v>
      </c>
      <c r="D206" s="2" t="s">
        <v>33</v>
      </c>
      <c r="E206" t="s">
        <v>146</v>
      </c>
      <c r="F206" t="s">
        <v>14</v>
      </c>
      <c r="G206" t="s">
        <v>67</v>
      </c>
      <c r="H206">
        <v>0</v>
      </c>
      <c r="I206">
        <v>1</v>
      </c>
      <c r="J206">
        <v>20</v>
      </c>
      <c r="K206" t="str">
        <f t="shared" si="16"/>
        <v>PeruUruguay</v>
      </c>
      <c r="L206" t="str">
        <f t="shared" si="17"/>
        <v>UruguayPeru</v>
      </c>
      <c r="M206">
        <f t="shared" si="18"/>
        <v>0</v>
      </c>
      <c r="N206">
        <f t="shared" si="19"/>
        <v>1</v>
      </c>
      <c r="O206">
        <f t="shared" si="20"/>
        <v>0</v>
      </c>
    </row>
    <row r="207" spans="1:15" hidden="1" x14ac:dyDescent="0.25">
      <c r="A207" t="s">
        <v>161</v>
      </c>
      <c r="B207" t="s">
        <v>56</v>
      </c>
      <c r="C207" t="s">
        <v>66</v>
      </c>
      <c r="D207" s="2" t="s">
        <v>37</v>
      </c>
      <c r="E207" t="s">
        <v>144</v>
      </c>
      <c r="F207" t="s">
        <v>14</v>
      </c>
      <c r="G207" t="s">
        <v>71</v>
      </c>
      <c r="H207">
        <v>0</v>
      </c>
      <c r="I207">
        <v>2</v>
      </c>
      <c r="J207">
        <v>20</v>
      </c>
      <c r="K207" t="str">
        <f t="shared" si="16"/>
        <v>BoliviaPeru</v>
      </c>
      <c r="L207" t="str">
        <f t="shared" si="17"/>
        <v>PeruBolivia</v>
      </c>
      <c r="M207">
        <f t="shared" si="18"/>
        <v>0</v>
      </c>
      <c r="N207">
        <f t="shared" si="19"/>
        <v>1</v>
      </c>
      <c r="O207">
        <f t="shared" si="20"/>
        <v>0</v>
      </c>
    </row>
    <row r="208" spans="1:15" hidden="1" x14ac:dyDescent="0.25">
      <c r="A208" t="s">
        <v>162</v>
      </c>
      <c r="B208" t="s">
        <v>16</v>
      </c>
      <c r="C208" t="s">
        <v>11</v>
      </c>
      <c r="D208" s="3">
        <v>42007</v>
      </c>
      <c r="E208" t="s">
        <v>146</v>
      </c>
      <c r="F208" t="s">
        <v>14</v>
      </c>
      <c r="G208" t="s">
        <v>26</v>
      </c>
      <c r="H208">
        <v>3</v>
      </c>
      <c r="I208">
        <v>1</v>
      </c>
      <c r="J208">
        <v>20</v>
      </c>
      <c r="K208" t="str">
        <f t="shared" si="16"/>
        <v>ArgentinaUruguay</v>
      </c>
      <c r="L208" t="str">
        <f t="shared" si="17"/>
        <v>UruguayArgentina</v>
      </c>
      <c r="M208">
        <f t="shared" si="18"/>
        <v>1</v>
      </c>
      <c r="N208">
        <f t="shared" si="19"/>
        <v>0</v>
      </c>
      <c r="O208">
        <f t="shared" si="20"/>
        <v>0</v>
      </c>
    </row>
    <row r="209" spans="1:15" hidden="1" x14ac:dyDescent="0.25">
      <c r="A209" t="s">
        <v>163</v>
      </c>
      <c r="B209" t="s">
        <v>10</v>
      </c>
      <c r="C209" t="s">
        <v>125</v>
      </c>
      <c r="D209" s="3">
        <v>42008</v>
      </c>
      <c r="E209" t="s">
        <v>144</v>
      </c>
      <c r="F209" t="s">
        <v>14</v>
      </c>
      <c r="G209" t="s">
        <v>132</v>
      </c>
      <c r="H209">
        <v>4</v>
      </c>
      <c r="I209">
        <v>1</v>
      </c>
      <c r="J209">
        <v>20</v>
      </c>
      <c r="K209" t="str">
        <f t="shared" si="16"/>
        <v>ChileColombia</v>
      </c>
      <c r="L209" t="str">
        <f t="shared" si="17"/>
        <v>ColombiaChile</v>
      </c>
      <c r="M209">
        <f t="shared" si="18"/>
        <v>1</v>
      </c>
      <c r="N209">
        <f t="shared" si="19"/>
        <v>0</v>
      </c>
      <c r="O209">
        <f t="shared" si="20"/>
        <v>0</v>
      </c>
    </row>
    <row r="210" spans="1:15" hidden="1" x14ac:dyDescent="0.25">
      <c r="A210" t="s">
        <v>163</v>
      </c>
      <c r="B210" t="s">
        <v>99</v>
      </c>
      <c r="C210" t="s">
        <v>43</v>
      </c>
      <c r="D210" s="2" t="s">
        <v>12</v>
      </c>
      <c r="E210" t="s">
        <v>146</v>
      </c>
      <c r="F210" t="s">
        <v>14</v>
      </c>
      <c r="G210" t="s">
        <v>105</v>
      </c>
      <c r="H210">
        <v>0</v>
      </c>
      <c r="I210">
        <v>4</v>
      </c>
      <c r="J210">
        <v>20</v>
      </c>
      <c r="K210" t="str">
        <f t="shared" si="16"/>
        <v>EcuadorParaguay</v>
      </c>
      <c r="L210" t="str">
        <f t="shared" si="17"/>
        <v>ParaguayEcuador</v>
      </c>
      <c r="M210">
        <f t="shared" si="18"/>
        <v>0</v>
      </c>
      <c r="N210">
        <f t="shared" si="19"/>
        <v>1</v>
      </c>
      <c r="O210">
        <f t="shared" si="20"/>
        <v>0</v>
      </c>
    </row>
    <row r="211" spans="1:15" hidden="1" x14ac:dyDescent="0.25">
      <c r="A211" t="s">
        <v>164</v>
      </c>
      <c r="B211" t="s">
        <v>56</v>
      </c>
      <c r="C211" t="s">
        <v>10</v>
      </c>
      <c r="D211" s="3">
        <v>42097</v>
      </c>
      <c r="E211" t="s">
        <v>144</v>
      </c>
      <c r="F211" t="s">
        <v>14</v>
      </c>
      <c r="G211" t="s">
        <v>58</v>
      </c>
      <c r="H211">
        <v>3</v>
      </c>
      <c r="I211">
        <v>4</v>
      </c>
      <c r="J211">
        <v>20</v>
      </c>
      <c r="K211" t="str">
        <f t="shared" si="16"/>
        <v>BoliviaChile</v>
      </c>
      <c r="L211" t="str">
        <f t="shared" si="17"/>
        <v>ChileBolivia</v>
      </c>
      <c r="M211">
        <f t="shared" si="18"/>
        <v>0</v>
      </c>
      <c r="N211">
        <f t="shared" si="19"/>
        <v>1</v>
      </c>
      <c r="O211">
        <f t="shared" si="20"/>
        <v>0</v>
      </c>
    </row>
    <row r="212" spans="1:15" hidden="1" x14ac:dyDescent="0.25">
      <c r="A212" t="s">
        <v>165</v>
      </c>
      <c r="B212" t="s">
        <v>99</v>
      </c>
      <c r="C212" t="s">
        <v>19</v>
      </c>
      <c r="D212" s="3">
        <v>42248</v>
      </c>
      <c r="E212" t="s">
        <v>35</v>
      </c>
      <c r="F212" t="s">
        <v>14</v>
      </c>
      <c r="G212" t="s">
        <v>121</v>
      </c>
      <c r="H212">
        <v>1</v>
      </c>
      <c r="I212">
        <v>9</v>
      </c>
      <c r="J212">
        <v>21</v>
      </c>
      <c r="K212" t="str">
        <f t="shared" si="16"/>
        <v>EcuadorBrazil</v>
      </c>
      <c r="L212" t="str">
        <f t="shared" si="17"/>
        <v>BrazilEcuador</v>
      </c>
      <c r="M212">
        <f t="shared" si="18"/>
        <v>0</v>
      </c>
      <c r="N212">
        <f t="shared" si="19"/>
        <v>1</v>
      </c>
      <c r="O212">
        <f t="shared" si="20"/>
        <v>0</v>
      </c>
    </row>
    <row r="213" spans="1:15" hidden="1" x14ac:dyDescent="0.25">
      <c r="A213" t="s">
        <v>166</v>
      </c>
      <c r="B213" t="s">
        <v>56</v>
      </c>
      <c r="C213" t="s">
        <v>10</v>
      </c>
      <c r="D213" s="3">
        <v>42038</v>
      </c>
      <c r="E213" t="s">
        <v>167</v>
      </c>
      <c r="F213" t="s">
        <v>14</v>
      </c>
      <c r="G213" t="s">
        <v>58</v>
      </c>
      <c r="H213">
        <v>3</v>
      </c>
      <c r="I213">
        <v>2</v>
      </c>
      <c r="J213">
        <v>21</v>
      </c>
      <c r="K213" t="str">
        <f t="shared" si="16"/>
        <v>BoliviaChile</v>
      </c>
      <c r="L213" t="str">
        <f t="shared" si="17"/>
        <v>ChileBolivia</v>
      </c>
      <c r="M213">
        <f t="shared" si="18"/>
        <v>1</v>
      </c>
      <c r="N213">
        <f t="shared" si="19"/>
        <v>0</v>
      </c>
      <c r="O213">
        <f t="shared" si="20"/>
        <v>0</v>
      </c>
    </row>
    <row r="214" spans="1:15" hidden="1" x14ac:dyDescent="0.25">
      <c r="A214" t="s">
        <v>166</v>
      </c>
      <c r="B214" t="s">
        <v>125</v>
      </c>
      <c r="C214" t="s">
        <v>43</v>
      </c>
      <c r="D214" s="2" t="s">
        <v>45</v>
      </c>
      <c r="E214" t="s">
        <v>168</v>
      </c>
      <c r="F214" t="s">
        <v>14</v>
      </c>
      <c r="G214" t="s">
        <v>156</v>
      </c>
      <c r="H214">
        <v>0</v>
      </c>
      <c r="I214">
        <v>3</v>
      </c>
      <c r="J214">
        <v>21</v>
      </c>
      <c r="K214" t="str">
        <f t="shared" si="16"/>
        <v>ColombiaParaguay</v>
      </c>
      <c r="L214" t="str">
        <f t="shared" si="17"/>
        <v>ParaguayColombia</v>
      </c>
      <c r="M214">
        <f t="shared" si="18"/>
        <v>0</v>
      </c>
      <c r="N214">
        <f t="shared" si="19"/>
        <v>1</v>
      </c>
      <c r="O214">
        <f t="shared" si="20"/>
        <v>0</v>
      </c>
    </row>
    <row r="215" spans="1:15" hidden="1" x14ac:dyDescent="0.25">
      <c r="A215" t="s">
        <v>169</v>
      </c>
      <c r="B215" t="s">
        <v>56</v>
      </c>
      <c r="C215" t="s">
        <v>19</v>
      </c>
      <c r="D215" s="3">
        <v>42278</v>
      </c>
      <c r="E215" t="s">
        <v>167</v>
      </c>
      <c r="F215" t="s">
        <v>14</v>
      </c>
      <c r="G215" t="s">
        <v>130</v>
      </c>
      <c r="H215">
        <v>1</v>
      </c>
      <c r="I215">
        <v>10</v>
      </c>
      <c r="J215">
        <v>21</v>
      </c>
      <c r="K215" t="str">
        <f t="shared" si="16"/>
        <v>BoliviaBrazil</v>
      </c>
      <c r="L215" t="str">
        <f t="shared" si="17"/>
        <v>BrazilBolivia</v>
      </c>
      <c r="M215">
        <f t="shared" si="18"/>
        <v>0</v>
      </c>
      <c r="N215">
        <f t="shared" si="19"/>
        <v>1</v>
      </c>
      <c r="O215">
        <f t="shared" si="20"/>
        <v>0</v>
      </c>
    </row>
    <row r="216" spans="1:15" hidden="1" x14ac:dyDescent="0.25">
      <c r="A216" t="s">
        <v>169</v>
      </c>
      <c r="B216" t="s">
        <v>125</v>
      </c>
      <c r="C216" t="s">
        <v>66</v>
      </c>
      <c r="D216" s="2" t="s">
        <v>12</v>
      </c>
      <c r="E216" t="s">
        <v>36</v>
      </c>
      <c r="F216" t="s">
        <v>14</v>
      </c>
      <c r="G216" t="s">
        <v>158</v>
      </c>
      <c r="H216">
        <v>0</v>
      </c>
      <c r="I216">
        <v>4</v>
      </c>
      <c r="J216">
        <v>21</v>
      </c>
      <c r="K216" t="str">
        <f t="shared" si="16"/>
        <v>ColombiaPeru</v>
      </c>
      <c r="L216" t="str">
        <f t="shared" si="17"/>
        <v>PeruColombia</v>
      </c>
      <c r="M216">
        <f t="shared" si="18"/>
        <v>0</v>
      </c>
      <c r="N216">
        <f t="shared" si="19"/>
        <v>1</v>
      </c>
      <c r="O216">
        <f t="shared" si="20"/>
        <v>0</v>
      </c>
    </row>
    <row r="217" spans="1:15" hidden="1" x14ac:dyDescent="0.25">
      <c r="A217" t="s">
        <v>169</v>
      </c>
      <c r="B217" t="s">
        <v>99</v>
      </c>
      <c r="C217" t="s">
        <v>43</v>
      </c>
      <c r="D217" s="2" t="s">
        <v>33</v>
      </c>
      <c r="E217" t="s">
        <v>35</v>
      </c>
      <c r="F217" t="s">
        <v>14</v>
      </c>
      <c r="G217" t="s">
        <v>105</v>
      </c>
      <c r="H217">
        <v>0</v>
      </c>
      <c r="I217">
        <v>1</v>
      </c>
      <c r="J217">
        <v>21</v>
      </c>
      <c r="K217" t="str">
        <f t="shared" si="16"/>
        <v>EcuadorParaguay</v>
      </c>
      <c r="L217" t="str">
        <f t="shared" si="17"/>
        <v>ParaguayEcuador</v>
      </c>
      <c r="M217">
        <f t="shared" si="18"/>
        <v>0</v>
      </c>
      <c r="N217">
        <f t="shared" si="19"/>
        <v>1</v>
      </c>
      <c r="O217">
        <f t="shared" si="20"/>
        <v>0</v>
      </c>
    </row>
    <row r="218" spans="1:15" hidden="1" x14ac:dyDescent="0.25">
      <c r="A218" t="s">
        <v>170</v>
      </c>
      <c r="B218" t="s">
        <v>43</v>
      </c>
      <c r="C218" t="s">
        <v>66</v>
      </c>
      <c r="D218" s="3">
        <v>42007</v>
      </c>
      <c r="E218" t="s">
        <v>35</v>
      </c>
      <c r="F218" t="s">
        <v>14</v>
      </c>
      <c r="G218" t="s">
        <v>74</v>
      </c>
      <c r="H218">
        <v>3</v>
      </c>
      <c r="I218">
        <v>1</v>
      </c>
      <c r="J218">
        <v>21</v>
      </c>
      <c r="K218" t="str">
        <f t="shared" si="16"/>
        <v>ParaguayPeru</v>
      </c>
      <c r="L218" t="str">
        <f t="shared" si="17"/>
        <v>PeruParaguay</v>
      </c>
      <c r="M218">
        <f t="shared" si="18"/>
        <v>1</v>
      </c>
      <c r="N218">
        <f t="shared" si="19"/>
        <v>0</v>
      </c>
      <c r="O218">
        <f t="shared" si="20"/>
        <v>0</v>
      </c>
    </row>
    <row r="219" spans="1:15" hidden="1" x14ac:dyDescent="0.25">
      <c r="A219" t="s">
        <v>170</v>
      </c>
      <c r="B219" t="s">
        <v>10</v>
      </c>
      <c r="C219" t="s">
        <v>19</v>
      </c>
      <c r="D219" s="3">
        <v>42036</v>
      </c>
      <c r="E219" t="s">
        <v>171</v>
      </c>
      <c r="F219" t="s">
        <v>14</v>
      </c>
      <c r="G219" t="s">
        <v>20</v>
      </c>
      <c r="H219">
        <v>1</v>
      </c>
      <c r="I219">
        <v>2</v>
      </c>
      <c r="J219">
        <v>21</v>
      </c>
      <c r="K219" t="str">
        <f t="shared" si="16"/>
        <v>ChileBrazil</v>
      </c>
      <c r="L219" t="str">
        <f t="shared" si="17"/>
        <v>BrazilChile</v>
      </c>
      <c r="M219">
        <f t="shared" si="18"/>
        <v>0</v>
      </c>
      <c r="N219">
        <f t="shared" si="19"/>
        <v>1</v>
      </c>
      <c r="O219">
        <f t="shared" si="20"/>
        <v>0</v>
      </c>
    </row>
    <row r="220" spans="1:15" hidden="1" x14ac:dyDescent="0.25">
      <c r="A220" t="s">
        <v>170</v>
      </c>
      <c r="B220" t="s">
        <v>99</v>
      </c>
      <c r="C220" t="s">
        <v>11</v>
      </c>
      <c r="D220" s="3">
        <v>42065</v>
      </c>
      <c r="E220" t="s">
        <v>35</v>
      </c>
      <c r="F220" t="s">
        <v>14</v>
      </c>
      <c r="G220" t="s">
        <v>102</v>
      </c>
      <c r="H220">
        <v>2</v>
      </c>
      <c r="I220">
        <v>3</v>
      </c>
      <c r="J220">
        <v>21</v>
      </c>
      <c r="K220" t="str">
        <f t="shared" si="16"/>
        <v>EcuadorUruguay</v>
      </c>
      <c r="L220" t="str">
        <f t="shared" si="17"/>
        <v>UruguayEcuador</v>
      </c>
      <c r="M220">
        <f t="shared" si="18"/>
        <v>0</v>
      </c>
      <c r="N220">
        <f t="shared" si="19"/>
        <v>1</v>
      </c>
      <c r="O220">
        <f t="shared" si="20"/>
        <v>0</v>
      </c>
    </row>
    <row r="221" spans="1:15" hidden="1" x14ac:dyDescent="0.25">
      <c r="A221" t="s">
        <v>172</v>
      </c>
      <c r="B221" t="s">
        <v>10</v>
      </c>
      <c r="C221" t="s">
        <v>99</v>
      </c>
      <c r="D221" s="2" t="s">
        <v>29</v>
      </c>
      <c r="E221" t="s">
        <v>35</v>
      </c>
      <c r="F221" t="s">
        <v>14</v>
      </c>
      <c r="G221" t="s">
        <v>104</v>
      </c>
      <c r="H221">
        <v>1</v>
      </c>
      <c r="I221">
        <v>0</v>
      </c>
      <c r="J221">
        <v>21</v>
      </c>
      <c r="K221" t="str">
        <f t="shared" si="16"/>
        <v>ChileEcuador</v>
      </c>
      <c r="L221" t="str">
        <f t="shared" si="17"/>
        <v>EcuadorChile</v>
      </c>
      <c r="M221">
        <f t="shared" si="18"/>
        <v>1</v>
      </c>
      <c r="N221">
        <f t="shared" si="19"/>
        <v>0</v>
      </c>
      <c r="O221">
        <f t="shared" si="20"/>
        <v>0</v>
      </c>
    </row>
    <row r="222" spans="1:15" hidden="1" x14ac:dyDescent="0.25">
      <c r="A222" t="s">
        <v>172</v>
      </c>
      <c r="B222" t="s">
        <v>125</v>
      </c>
      <c r="C222" t="s">
        <v>19</v>
      </c>
      <c r="D222" s="2" t="s">
        <v>32</v>
      </c>
      <c r="E222" t="s">
        <v>168</v>
      </c>
      <c r="F222" t="s">
        <v>14</v>
      </c>
      <c r="G222" t="s">
        <v>126</v>
      </c>
      <c r="H222">
        <v>0</v>
      </c>
      <c r="I222">
        <v>5</v>
      </c>
      <c r="J222">
        <v>21</v>
      </c>
      <c r="K222" t="str">
        <f t="shared" si="16"/>
        <v>ColombiaBrazil</v>
      </c>
      <c r="L222" t="str">
        <f t="shared" si="17"/>
        <v>BrazilColombia</v>
      </c>
      <c r="M222">
        <f t="shared" si="18"/>
        <v>0</v>
      </c>
      <c r="N222">
        <f t="shared" si="19"/>
        <v>1</v>
      </c>
      <c r="O222">
        <f t="shared" si="20"/>
        <v>0</v>
      </c>
    </row>
    <row r="223" spans="1:15" hidden="1" x14ac:dyDescent="0.25">
      <c r="A223" t="s">
        <v>172</v>
      </c>
      <c r="B223" t="s">
        <v>56</v>
      </c>
      <c r="C223" t="s">
        <v>11</v>
      </c>
      <c r="D223" s="3">
        <v>42038</v>
      </c>
      <c r="E223" t="s">
        <v>35</v>
      </c>
      <c r="F223" t="s">
        <v>14</v>
      </c>
      <c r="G223" t="s">
        <v>64</v>
      </c>
      <c r="H223">
        <v>3</v>
      </c>
      <c r="I223">
        <v>2</v>
      </c>
      <c r="J223">
        <v>21</v>
      </c>
      <c r="K223" t="str">
        <f t="shared" si="16"/>
        <v>BoliviaUruguay</v>
      </c>
      <c r="L223" t="str">
        <f t="shared" si="17"/>
        <v>UruguayBolivia</v>
      </c>
      <c r="M223">
        <f t="shared" si="18"/>
        <v>1</v>
      </c>
      <c r="N223">
        <f t="shared" si="19"/>
        <v>0</v>
      </c>
      <c r="O223">
        <f t="shared" si="20"/>
        <v>0</v>
      </c>
    </row>
    <row r="224" spans="1:15" hidden="1" x14ac:dyDescent="0.25">
      <c r="A224" t="s">
        <v>173</v>
      </c>
      <c r="B224" t="s">
        <v>10</v>
      </c>
      <c r="C224" t="s">
        <v>125</v>
      </c>
      <c r="D224" s="3">
        <v>42005</v>
      </c>
      <c r="E224" t="s">
        <v>35</v>
      </c>
      <c r="F224" t="s">
        <v>14</v>
      </c>
      <c r="G224" t="s">
        <v>132</v>
      </c>
      <c r="H224">
        <v>1</v>
      </c>
      <c r="I224">
        <v>1</v>
      </c>
      <c r="J224">
        <v>21</v>
      </c>
      <c r="K224" t="str">
        <f t="shared" si="16"/>
        <v>ChileColombia</v>
      </c>
      <c r="L224" t="str">
        <f t="shared" si="17"/>
        <v>ColombiaChile</v>
      </c>
      <c r="M224">
        <f t="shared" si="18"/>
        <v>0</v>
      </c>
      <c r="N224">
        <f t="shared" si="19"/>
        <v>0</v>
      </c>
      <c r="O224">
        <f t="shared" si="20"/>
        <v>1</v>
      </c>
    </row>
    <row r="225" spans="1:15" hidden="1" x14ac:dyDescent="0.25">
      <c r="A225" t="s">
        <v>173</v>
      </c>
      <c r="B225" t="s">
        <v>99</v>
      </c>
      <c r="C225" t="s">
        <v>66</v>
      </c>
      <c r="D225" s="2" t="s">
        <v>12</v>
      </c>
      <c r="E225" t="s">
        <v>35</v>
      </c>
      <c r="F225" t="s">
        <v>14</v>
      </c>
      <c r="G225" t="s">
        <v>100</v>
      </c>
      <c r="H225">
        <v>0</v>
      </c>
      <c r="I225">
        <v>4</v>
      </c>
      <c r="J225">
        <v>21</v>
      </c>
      <c r="K225" t="str">
        <f t="shared" si="16"/>
        <v>EcuadorPeru</v>
      </c>
      <c r="L225" t="str">
        <f t="shared" si="17"/>
        <v>PeruEcuador</v>
      </c>
      <c r="M225">
        <f t="shared" si="18"/>
        <v>0</v>
      </c>
      <c r="N225">
        <f t="shared" si="19"/>
        <v>1</v>
      </c>
      <c r="O225">
        <f t="shared" si="20"/>
        <v>0</v>
      </c>
    </row>
    <row r="226" spans="1:15" hidden="1" x14ac:dyDescent="0.25">
      <c r="A226" t="s">
        <v>173</v>
      </c>
      <c r="B226" t="s">
        <v>43</v>
      </c>
      <c r="C226" t="s">
        <v>11</v>
      </c>
      <c r="D226" s="3">
        <v>42036</v>
      </c>
      <c r="E226" t="s">
        <v>171</v>
      </c>
      <c r="F226" t="s">
        <v>14</v>
      </c>
      <c r="G226" t="s">
        <v>44</v>
      </c>
      <c r="H226">
        <v>1</v>
      </c>
      <c r="I226">
        <v>2</v>
      </c>
      <c r="J226">
        <v>21</v>
      </c>
      <c r="K226" t="str">
        <f t="shared" si="16"/>
        <v>ParaguayUruguay</v>
      </c>
      <c r="L226" t="str">
        <f t="shared" si="17"/>
        <v>UruguayParaguay</v>
      </c>
      <c r="M226">
        <f t="shared" si="18"/>
        <v>0</v>
      </c>
      <c r="N226">
        <f t="shared" si="19"/>
        <v>1</v>
      </c>
      <c r="O226">
        <f t="shared" si="20"/>
        <v>0</v>
      </c>
    </row>
    <row r="227" spans="1:15" hidden="1" x14ac:dyDescent="0.25">
      <c r="A227" t="s">
        <v>174</v>
      </c>
      <c r="B227" t="s">
        <v>56</v>
      </c>
      <c r="C227" t="s">
        <v>99</v>
      </c>
      <c r="D227" s="2" t="s">
        <v>42</v>
      </c>
      <c r="E227" t="s">
        <v>167</v>
      </c>
      <c r="F227" t="s">
        <v>14</v>
      </c>
      <c r="G227" t="s">
        <v>135</v>
      </c>
      <c r="H227">
        <v>2</v>
      </c>
      <c r="I227">
        <v>0</v>
      </c>
      <c r="J227">
        <v>21</v>
      </c>
      <c r="K227" t="str">
        <f t="shared" si="16"/>
        <v>BoliviaEcuador</v>
      </c>
      <c r="L227" t="str">
        <f t="shared" si="17"/>
        <v>EcuadorBolivia</v>
      </c>
      <c r="M227">
        <f t="shared" si="18"/>
        <v>1</v>
      </c>
      <c r="N227">
        <f t="shared" si="19"/>
        <v>0</v>
      </c>
      <c r="O227">
        <f t="shared" si="20"/>
        <v>0</v>
      </c>
    </row>
    <row r="228" spans="1:15" hidden="1" x14ac:dyDescent="0.25">
      <c r="A228" t="s">
        <v>174</v>
      </c>
      <c r="B228" t="s">
        <v>125</v>
      </c>
      <c r="C228" t="s">
        <v>11</v>
      </c>
      <c r="D228" s="3">
        <v>42037</v>
      </c>
      <c r="E228" t="s">
        <v>168</v>
      </c>
      <c r="F228" t="s">
        <v>14</v>
      </c>
      <c r="G228" t="s">
        <v>129</v>
      </c>
      <c r="H228">
        <v>2</v>
      </c>
      <c r="I228">
        <v>2</v>
      </c>
      <c r="J228">
        <v>21</v>
      </c>
      <c r="K228" t="str">
        <f t="shared" si="16"/>
        <v>ColombiaUruguay</v>
      </c>
      <c r="L228" t="str">
        <f t="shared" si="17"/>
        <v>UruguayColombia</v>
      </c>
      <c r="M228">
        <f t="shared" si="18"/>
        <v>0</v>
      </c>
      <c r="N228">
        <f t="shared" si="19"/>
        <v>0</v>
      </c>
      <c r="O228">
        <f t="shared" si="20"/>
        <v>1</v>
      </c>
    </row>
    <row r="229" spans="1:15" hidden="1" x14ac:dyDescent="0.25">
      <c r="A229" t="s">
        <v>174</v>
      </c>
      <c r="B229" t="s">
        <v>66</v>
      </c>
      <c r="C229" t="s">
        <v>19</v>
      </c>
      <c r="D229" s="3">
        <v>42186</v>
      </c>
      <c r="E229" t="s">
        <v>175</v>
      </c>
      <c r="F229" t="s">
        <v>14</v>
      </c>
      <c r="G229" t="s">
        <v>83</v>
      </c>
      <c r="H229">
        <v>1</v>
      </c>
      <c r="I229">
        <v>7</v>
      </c>
      <c r="J229">
        <v>21</v>
      </c>
      <c r="K229" t="str">
        <f t="shared" si="16"/>
        <v>PeruBrazil</v>
      </c>
      <c r="L229" t="str">
        <f t="shared" si="17"/>
        <v>BrazilPeru</v>
      </c>
      <c r="M229">
        <f t="shared" si="18"/>
        <v>0</v>
      </c>
      <c r="N229">
        <f t="shared" si="19"/>
        <v>1</v>
      </c>
      <c r="O229">
        <f t="shared" si="20"/>
        <v>0</v>
      </c>
    </row>
    <row r="230" spans="1:15" hidden="1" x14ac:dyDescent="0.25">
      <c r="A230" t="s">
        <v>176</v>
      </c>
      <c r="B230" t="s">
        <v>10</v>
      </c>
      <c r="C230" t="s">
        <v>43</v>
      </c>
      <c r="D230" s="3">
        <v>42096</v>
      </c>
      <c r="E230" t="s">
        <v>171</v>
      </c>
      <c r="F230" t="s">
        <v>14</v>
      </c>
      <c r="G230" t="s">
        <v>49</v>
      </c>
      <c r="H230">
        <v>2</v>
      </c>
      <c r="I230">
        <v>4</v>
      </c>
      <c r="J230">
        <v>21</v>
      </c>
      <c r="K230" t="str">
        <f t="shared" si="16"/>
        <v>ChileParaguay</v>
      </c>
      <c r="L230" t="str">
        <f t="shared" si="17"/>
        <v>ParaguayChile</v>
      </c>
      <c r="M230">
        <f t="shared" si="18"/>
        <v>0</v>
      </c>
      <c r="N230">
        <f t="shared" si="19"/>
        <v>1</v>
      </c>
      <c r="O230">
        <f t="shared" si="20"/>
        <v>0</v>
      </c>
    </row>
    <row r="231" spans="1:15" hidden="1" x14ac:dyDescent="0.25">
      <c r="A231" t="s">
        <v>176</v>
      </c>
      <c r="B231" t="s">
        <v>56</v>
      </c>
      <c r="C231" t="s">
        <v>66</v>
      </c>
      <c r="D231" s="2" t="s">
        <v>45</v>
      </c>
      <c r="E231" t="s">
        <v>177</v>
      </c>
      <c r="F231" t="s">
        <v>14</v>
      </c>
      <c r="G231" t="s">
        <v>71</v>
      </c>
      <c r="H231">
        <v>0</v>
      </c>
      <c r="I231">
        <v>3</v>
      </c>
      <c r="J231">
        <v>21</v>
      </c>
      <c r="K231" t="str">
        <f t="shared" si="16"/>
        <v>BoliviaPeru</v>
      </c>
      <c r="L231" t="str">
        <f t="shared" si="17"/>
        <v>PeruBolivia</v>
      </c>
      <c r="M231">
        <f t="shared" si="18"/>
        <v>0</v>
      </c>
      <c r="N231">
        <f t="shared" si="19"/>
        <v>1</v>
      </c>
      <c r="O231">
        <f t="shared" si="20"/>
        <v>0</v>
      </c>
    </row>
    <row r="232" spans="1:15" x14ac:dyDescent="0.25">
      <c r="A232" t="s">
        <v>178</v>
      </c>
      <c r="B232" t="s">
        <v>11</v>
      </c>
      <c r="C232" t="s">
        <v>19</v>
      </c>
      <c r="D232" s="3">
        <v>42125</v>
      </c>
      <c r="E232" t="s">
        <v>38</v>
      </c>
      <c r="F232" t="s">
        <v>14</v>
      </c>
      <c r="G232" t="s">
        <v>23</v>
      </c>
      <c r="H232">
        <v>1</v>
      </c>
      <c r="I232">
        <v>5</v>
      </c>
      <c r="J232">
        <v>21</v>
      </c>
      <c r="K232" t="str">
        <f t="shared" si="16"/>
        <v>UruguayBrazil</v>
      </c>
      <c r="L232" t="str">
        <f t="shared" si="17"/>
        <v>BrazilUruguay</v>
      </c>
      <c r="M232">
        <f t="shared" si="18"/>
        <v>0</v>
      </c>
      <c r="N232">
        <f t="shared" si="19"/>
        <v>1</v>
      </c>
      <c r="O232">
        <f t="shared" si="20"/>
        <v>0</v>
      </c>
    </row>
    <row r="233" spans="1:15" hidden="1" x14ac:dyDescent="0.25">
      <c r="A233" t="s">
        <v>178</v>
      </c>
      <c r="B233" t="s">
        <v>56</v>
      </c>
      <c r="C233" t="s">
        <v>43</v>
      </c>
      <c r="D233" s="2" t="s">
        <v>113</v>
      </c>
      <c r="E233" t="s">
        <v>35</v>
      </c>
      <c r="F233" t="s">
        <v>14</v>
      </c>
      <c r="G233" t="s">
        <v>63</v>
      </c>
      <c r="H233">
        <v>0</v>
      </c>
      <c r="I233">
        <v>7</v>
      </c>
      <c r="J233">
        <v>21</v>
      </c>
      <c r="K233" t="str">
        <f t="shared" si="16"/>
        <v>BoliviaParaguay</v>
      </c>
      <c r="L233" t="str">
        <f t="shared" si="17"/>
        <v>ParaguayBolivia</v>
      </c>
      <c r="M233">
        <f t="shared" si="18"/>
        <v>0</v>
      </c>
      <c r="N233">
        <f t="shared" si="19"/>
        <v>1</v>
      </c>
      <c r="O233">
        <f t="shared" si="20"/>
        <v>0</v>
      </c>
    </row>
    <row r="234" spans="1:15" hidden="1" x14ac:dyDescent="0.25">
      <c r="A234" t="s">
        <v>178</v>
      </c>
      <c r="B234" t="s">
        <v>10</v>
      </c>
      <c r="C234" t="s">
        <v>66</v>
      </c>
      <c r="D234" s="2" t="s">
        <v>45</v>
      </c>
      <c r="E234" t="s">
        <v>171</v>
      </c>
      <c r="F234" t="s">
        <v>14</v>
      </c>
      <c r="G234" t="s">
        <v>80</v>
      </c>
      <c r="H234">
        <v>0</v>
      </c>
      <c r="I234">
        <v>3</v>
      </c>
      <c r="J234">
        <v>21</v>
      </c>
      <c r="K234" t="str">
        <f t="shared" si="16"/>
        <v>ChilePeru</v>
      </c>
      <c r="L234" t="str">
        <f t="shared" si="17"/>
        <v>PeruChile</v>
      </c>
      <c r="M234">
        <f t="shared" si="18"/>
        <v>0</v>
      </c>
      <c r="N234">
        <f t="shared" si="19"/>
        <v>1</v>
      </c>
      <c r="O234">
        <f t="shared" si="20"/>
        <v>0</v>
      </c>
    </row>
    <row r="235" spans="1:15" hidden="1" x14ac:dyDescent="0.25">
      <c r="A235" s="1">
        <v>18021</v>
      </c>
      <c r="B235" t="s">
        <v>125</v>
      </c>
      <c r="C235" t="s">
        <v>99</v>
      </c>
      <c r="D235" s="3">
        <v>42095</v>
      </c>
      <c r="E235" t="s">
        <v>36</v>
      </c>
      <c r="F235" t="s">
        <v>14</v>
      </c>
      <c r="G235" t="s">
        <v>136</v>
      </c>
      <c r="H235">
        <v>1</v>
      </c>
      <c r="I235">
        <v>4</v>
      </c>
      <c r="J235">
        <v>21</v>
      </c>
      <c r="K235" t="str">
        <f t="shared" si="16"/>
        <v>ColombiaEcuador</v>
      </c>
      <c r="L235" t="str">
        <f t="shared" si="17"/>
        <v>EcuadorColombia</v>
      </c>
      <c r="M235">
        <f t="shared" si="18"/>
        <v>0</v>
      </c>
      <c r="N235">
        <f t="shared" si="19"/>
        <v>1</v>
      </c>
      <c r="O235">
        <f t="shared" si="20"/>
        <v>0</v>
      </c>
    </row>
    <row r="236" spans="1:15" hidden="1" x14ac:dyDescent="0.25">
      <c r="A236" s="1">
        <v>18022</v>
      </c>
      <c r="B236" t="s">
        <v>66</v>
      </c>
      <c r="C236" t="s">
        <v>11</v>
      </c>
      <c r="D236" s="3">
        <v>42067</v>
      </c>
      <c r="E236" t="s">
        <v>175</v>
      </c>
      <c r="F236" t="s">
        <v>14</v>
      </c>
      <c r="G236" t="s">
        <v>67</v>
      </c>
      <c r="H236">
        <v>4</v>
      </c>
      <c r="I236">
        <v>3</v>
      </c>
      <c r="J236">
        <v>21</v>
      </c>
      <c r="K236" t="str">
        <f t="shared" si="16"/>
        <v>PeruUruguay</v>
      </c>
      <c r="L236" t="str">
        <f t="shared" si="17"/>
        <v>UruguayPeru</v>
      </c>
      <c r="M236">
        <f t="shared" si="18"/>
        <v>1</v>
      </c>
      <c r="N236">
        <f t="shared" si="19"/>
        <v>0</v>
      </c>
      <c r="O236">
        <f t="shared" si="20"/>
        <v>0</v>
      </c>
    </row>
    <row r="237" spans="1:15" hidden="1" x14ac:dyDescent="0.25">
      <c r="A237" s="1">
        <v>18024</v>
      </c>
      <c r="B237" t="s">
        <v>56</v>
      </c>
      <c r="C237" t="s">
        <v>125</v>
      </c>
      <c r="D237" s="2" t="s">
        <v>30</v>
      </c>
      <c r="E237" t="s">
        <v>35</v>
      </c>
      <c r="F237" t="s">
        <v>14</v>
      </c>
      <c r="G237" t="s">
        <v>137</v>
      </c>
      <c r="H237">
        <v>4</v>
      </c>
      <c r="I237">
        <v>0</v>
      </c>
      <c r="J237">
        <v>21</v>
      </c>
      <c r="K237" t="str">
        <f t="shared" si="16"/>
        <v>BoliviaColombia</v>
      </c>
      <c r="L237" t="str">
        <f t="shared" si="17"/>
        <v>ColombiaBolivia</v>
      </c>
      <c r="M237">
        <f t="shared" si="18"/>
        <v>1</v>
      </c>
      <c r="N237">
        <f t="shared" si="19"/>
        <v>0</v>
      </c>
      <c r="O237">
        <f t="shared" si="20"/>
        <v>0</v>
      </c>
    </row>
    <row r="238" spans="1:15" hidden="1" x14ac:dyDescent="0.25">
      <c r="A238" s="1">
        <v>18026</v>
      </c>
      <c r="B238" t="s">
        <v>10</v>
      </c>
      <c r="C238" t="s">
        <v>11</v>
      </c>
      <c r="D238" s="3">
        <v>42007</v>
      </c>
      <c r="E238" t="s">
        <v>179</v>
      </c>
      <c r="F238" t="s">
        <v>14</v>
      </c>
      <c r="G238" t="s">
        <v>15</v>
      </c>
      <c r="H238">
        <v>3</v>
      </c>
      <c r="I238">
        <v>1</v>
      </c>
      <c r="J238">
        <v>21</v>
      </c>
      <c r="K238" t="str">
        <f t="shared" si="16"/>
        <v>ChileUruguay</v>
      </c>
      <c r="L238" t="str">
        <f t="shared" si="17"/>
        <v>UruguayChile</v>
      </c>
      <c r="M238">
        <f t="shared" si="18"/>
        <v>1</v>
      </c>
      <c r="N238">
        <f t="shared" si="19"/>
        <v>0</v>
      </c>
      <c r="O238">
        <f t="shared" si="20"/>
        <v>0</v>
      </c>
    </row>
    <row r="239" spans="1:15" hidden="1" x14ac:dyDescent="0.25">
      <c r="A239" s="1">
        <v>18026</v>
      </c>
      <c r="B239" t="s">
        <v>43</v>
      </c>
      <c r="C239" t="s">
        <v>19</v>
      </c>
      <c r="D239" s="3">
        <v>42006</v>
      </c>
      <c r="E239" t="s">
        <v>35</v>
      </c>
      <c r="F239" t="s">
        <v>14</v>
      </c>
      <c r="G239" t="s">
        <v>46</v>
      </c>
      <c r="H239">
        <v>2</v>
      </c>
      <c r="I239">
        <v>1</v>
      </c>
      <c r="J239">
        <v>21</v>
      </c>
      <c r="K239" t="str">
        <f t="shared" si="16"/>
        <v>ParaguayBrazil</v>
      </c>
      <c r="L239" t="str">
        <f t="shared" si="17"/>
        <v>BrazilParaguay</v>
      </c>
      <c r="M239">
        <f t="shared" si="18"/>
        <v>1</v>
      </c>
      <c r="N239">
        <f t="shared" si="19"/>
        <v>0</v>
      </c>
      <c r="O239">
        <f t="shared" si="20"/>
        <v>0</v>
      </c>
    </row>
    <row r="240" spans="1:15" hidden="1" x14ac:dyDescent="0.25">
      <c r="A240" s="1">
        <v>18029</v>
      </c>
      <c r="B240" t="s">
        <v>43</v>
      </c>
      <c r="C240" t="s">
        <v>19</v>
      </c>
      <c r="D240" s="2" t="s">
        <v>113</v>
      </c>
      <c r="E240" t="s">
        <v>35</v>
      </c>
      <c r="F240" t="s">
        <v>14</v>
      </c>
      <c r="G240" t="s">
        <v>46</v>
      </c>
      <c r="H240">
        <v>0</v>
      </c>
      <c r="I240">
        <v>7</v>
      </c>
      <c r="J240">
        <v>21</v>
      </c>
      <c r="K240" t="str">
        <f t="shared" si="16"/>
        <v>ParaguayBrazil</v>
      </c>
      <c r="L240" t="str">
        <f t="shared" si="17"/>
        <v>BrazilParaguay</v>
      </c>
      <c r="M240">
        <f t="shared" si="18"/>
        <v>0</v>
      </c>
      <c r="N240">
        <f t="shared" si="19"/>
        <v>1</v>
      </c>
      <c r="O240">
        <f t="shared" si="20"/>
        <v>0</v>
      </c>
    </row>
    <row r="241" spans="1:15" hidden="1" x14ac:dyDescent="0.25">
      <c r="A241" s="1">
        <v>19412</v>
      </c>
      <c r="B241" t="s">
        <v>56</v>
      </c>
      <c r="C241" t="s">
        <v>66</v>
      </c>
      <c r="D241" s="2" t="s">
        <v>29</v>
      </c>
      <c r="E241" t="s">
        <v>69</v>
      </c>
      <c r="F241" t="s">
        <v>14</v>
      </c>
      <c r="G241" t="s">
        <v>71</v>
      </c>
      <c r="H241">
        <v>1</v>
      </c>
      <c r="I241">
        <v>0</v>
      </c>
      <c r="J241">
        <v>22</v>
      </c>
      <c r="K241" t="str">
        <f t="shared" si="16"/>
        <v>BoliviaPeru</v>
      </c>
      <c r="L241" t="str">
        <f t="shared" si="17"/>
        <v>PeruBolivia</v>
      </c>
      <c r="M241">
        <f t="shared" si="18"/>
        <v>1</v>
      </c>
      <c r="N241">
        <f t="shared" si="19"/>
        <v>0</v>
      </c>
      <c r="O241">
        <f t="shared" si="20"/>
        <v>0</v>
      </c>
    </row>
    <row r="242" spans="1:15" hidden="1" x14ac:dyDescent="0.25">
      <c r="A242" s="1">
        <v>19415</v>
      </c>
      <c r="B242" t="s">
        <v>56</v>
      </c>
      <c r="C242" t="s">
        <v>11</v>
      </c>
      <c r="D242" s="2" t="s">
        <v>37</v>
      </c>
      <c r="E242" t="s">
        <v>69</v>
      </c>
      <c r="F242" t="s">
        <v>14</v>
      </c>
      <c r="G242" t="s">
        <v>64</v>
      </c>
      <c r="H242">
        <v>0</v>
      </c>
      <c r="I242">
        <v>2</v>
      </c>
      <c r="J242">
        <v>22</v>
      </c>
      <c r="K242" t="str">
        <f t="shared" si="16"/>
        <v>BoliviaUruguay</v>
      </c>
      <c r="L242" t="str">
        <f t="shared" si="17"/>
        <v>UruguayBolivia</v>
      </c>
      <c r="M242">
        <f t="shared" si="18"/>
        <v>0</v>
      </c>
      <c r="N242">
        <f t="shared" si="19"/>
        <v>1</v>
      </c>
      <c r="O242">
        <f t="shared" si="20"/>
        <v>0</v>
      </c>
    </row>
    <row r="243" spans="1:15" hidden="1" x14ac:dyDescent="0.25">
      <c r="A243" s="1">
        <v>19415</v>
      </c>
      <c r="B243" t="s">
        <v>10</v>
      </c>
      <c r="C243" t="s">
        <v>43</v>
      </c>
      <c r="D243" s="2" t="s">
        <v>45</v>
      </c>
      <c r="E243" t="s">
        <v>69</v>
      </c>
      <c r="F243" t="s">
        <v>14</v>
      </c>
      <c r="G243" t="s">
        <v>49</v>
      </c>
      <c r="H243">
        <v>0</v>
      </c>
      <c r="I243">
        <v>3</v>
      </c>
      <c r="J243">
        <v>22</v>
      </c>
      <c r="K243" t="str">
        <f t="shared" si="16"/>
        <v>ChileParaguay</v>
      </c>
      <c r="L243" t="str">
        <f t="shared" si="17"/>
        <v>ParaguayChile</v>
      </c>
      <c r="M243">
        <f t="shared" si="18"/>
        <v>0</v>
      </c>
      <c r="N243">
        <f t="shared" si="19"/>
        <v>1</v>
      </c>
      <c r="O243">
        <f t="shared" si="20"/>
        <v>0</v>
      </c>
    </row>
    <row r="244" spans="1:15" hidden="1" x14ac:dyDescent="0.25">
      <c r="A244" s="1">
        <v>19418</v>
      </c>
      <c r="B244" t="s">
        <v>99</v>
      </c>
      <c r="C244" t="s">
        <v>66</v>
      </c>
      <c r="D244" s="2" t="s">
        <v>33</v>
      </c>
      <c r="E244" t="s">
        <v>69</v>
      </c>
      <c r="F244" t="s">
        <v>14</v>
      </c>
      <c r="G244" t="s">
        <v>100</v>
      </c>
      <c r="H244">
        <v>0</v>
      </c>
      <c r="I244">
        <v>1</v>
      </c>
      <c r="J244">
        <v>22</v>
      </c>
      <c r="K244" t="str">
        <f t="shared" si="16"/>
        <v>EcuadorPeru</v>
      </c>
      <c r="L244" t="str">
        <f t="shared" si="17"/>
        <v>PeruEcuador</v>
      </c>
      <c r="M244">
        <f t="shared" si="18"/>
        <v>0</v>
      </c>
      <c r="N244">
        <f t="shared" si="19"/>
        <v>1</v>
      </c>
      <c r="O244">
        <f t="shared" si="20"/>
        <v>0</v>
      </c>
    </row>
    <row r="245" spans="1:15" hidden="1" x14ac:dyDescent="0.25">
      <c r="A245" s="1">
        <v>19419</v>
      </c>
      <c r="B245" t="s">
        <v>10</v>
      </c>
      <c r="C245" t="s">
        <v>11</v>
      </c>
      <c r="D245" s="3">
        <v>42038</v>
      </c>
      <c r="E245" t="s">
        <v>69</v>
      </c>
      <c r="F245" t="s">
        <v>14</v>
      </c>
      <c r="G245" t="s">
        <v>15</v>
      </c>
      <c r="H245">
        <v>3</v>
      </c>
      <c r="I245">
        <v>2</v>
      </c>
      <c r="J245">
        <v>22</v>
      </c>
      <c r="K245" t="str">
        <f t="shared" si="16"/>
        <v>ChileUruguay</v>
      </c>
      <c r="L245" t="str">
        <f t="shared" si="17"/>
        <v>UruguayChile</v>
      </c>
      <c r="M245">
        <f t="shared" si="18"/>
        <v>1</v>
      </c>
      <c r="N245">
        <f t="shared" si="19"/>
        <v>0</v>
      </c>
      <c r="O245">
        <f t="shared" si="20"/>
        <v>0</v>
      </c>
    </row>
    <row r="246" spans="1:15" hidden="1" x14ac:dyDescent="0.25">
      <c r="A246" s="1">
        <v>19419</v>
      </c>
      <c r="B246" t="s">
        <v>56</v>
      </c>
      <c r="C246" t="s">
        <v>19</v>
      </c>
      <c r="D246" s="3">
        <v>42217</v>
      </c>
      <c r="E246" t="s">
        <v>69</v>
      </c>
      <c r="F246" t="s">
        <v>14</v>
      </c>
      <c r="G246" t="s">
        <v>130</v>
      </c>
      <c r="H246">
        <v>1</v>
      </c>
      <c r="I246">
        <v>8</v>
      </c>
      <c r="J246">
        <v>22</v>
      </c>
      <c r="K246" t="str">
        <f t="shared" si="16"/>
        <v>BoliviaBrazil</v>
      </c>
      <c r="L246" t="str">
        <f t="shared" si="17"/>
        <v>BrazilBolivia</v>
      </c>
      <c r="M246">
        <f t="shared" si="18"/>
        <v>0</v>
      </c>
      <c r="N246">
        <f t="shared" si="19"/>
        <v>1</v>
      </c>
      <c r="O246">
        <f t="shared" si="20"/>
        <v>0</v>
      </c>
    </row>
    <row r="247" spans="1:15" hidden="1" x14ac:dyDescent="0.25">
      <c r="A247" s="1">
        <v>19422</v>
      </c>
      <c r="B247" t="s">
        <v>99</v>
      </c>
      <c r="C247" t="s">
        <v>43</v>
      </c>
      <c r="D247" s="2" t="s">
        <v>24</v>
      </c>
      <c r="E247" t="s">
        <v>69</v>
      </c>
      <c r="F247" t="s">
        <v>14</v>
      </c>
      <c r="G247" t="s">
        <v>105</v>
      </c>
      <c r="H247">
        <v>0</v>
      </c>
      <c r="I247">
        <v>0</v>
      </c>
      <c r="J247">
        <v>22</v>
      </c>
      <c r="K247" t="str">
        <f t="shared" si="16"/>
        <v>EcuadorParaguay</v>
      </c>
      <c r="L247" t="str">
        <f t="shared" si="17"/>
        <v>ParaguayEcuador</v>
      </c>
      <c r="M247">
        <f t="shared" si="18"/>
        <v>0</v>
      </c>
      <c r="N247">
        <f t="shared" si="19"/>
        <v>0</v>
      </c>
      <c r="O247">
        <f t="shared" si="20"/>
        <v>1</v>
      </c>
    </row>
    <row r="248" spans="1:15" hidden="1" x14ac:dyDescent="0.25">
      <c r="A248" s="1">
        <v>19422</v>
      </c>
      <c r="B248" t="s">
        <v>10</v>
      </c>
      <c r="C248" t="s">
        <v>66</v>
      </c>
      <c r="D248" s="2" t="s">
        <v>24</v>
      </c>
      <c r="E248" t="s">
        <v>69</v>
      </c>
      <c r="F248" t="s">
        <v>14</v>
      </c>
      <c r="G248" t="s">
        <v>80</v>
      </c>
      <c r="H248">
        <v>0</v>
      </c>
      <c r="I248">
        <v>0</v>
      </c>
      <c r="J248">
        <v>22</v>
      </c>
      <c r="K248" t="str">
        <f t="shared" si="16"/>
        <v>ChilePeru</v>
      </c>
      <c r="L248" t="str">
        <f t="shared" si="17"/>
        <v>PeruChile</v>
      </c>
      <c r="M248">
        <f t="shared" si="18"/>
        <v>0</v>
      </c>
      <c r="N248">
        <f t="shared" si="19"/>
        <v>0</v>
      </c>
      <c r="O248">
        <f t="shared" si="20"/>
        <v>1</v>
      </c>
    </row>
    <row r="249" spans="1:15" hidden="1" x14ac:dyDescent="0.25">
      <c r="A249" s="1">
        <v>19426</v>
      </c>
      <c r="B249" t="s">
        <v>43</v>
      </c>
      <c r="C249" t="s">
        <v>66</v>
      </c>
      <c r="D249" s="3">
        <v>42037</v>
      </c>
      <c r="E249" t="s">
        <v>69</v>
      </c>
      <c r="F249" t="s">
        <v>14</v>
      </c>
      <c r="G249" t="s">
        <v>74</v>
      </c>
      <c r="H249">
        <v>2</v>
      </c>
      <c r="I249">
        <v>2</v>
      </c>
      <c r="J249">
        <v>22</v>
      </c>
      <c r="K249" t="str">
        <f t="shared" si="16"/>
        <v>ParaguayPeru</v>
      </c>
      <c r="L249" t="str">
        <f t="shared" si="17"/>
        <v>PeruParaguay</v>
      </c>
      <c r="M249">
        <f t="shared" si="18"/>
        <v>0</v>
      </c>
      <c r="N249">
        <f t="shared" si="19"/>
        <v>0</v>
      </c>
      <c r="O249">
        <f t="shared" si="20"/>
        <v>1</v>
      </c>
    </row>
    <row r="250" spans="1:15" hidden="1" x14ac:dyDescent="0.25">
      <c r="A250" s="1">
        <v>19426</v>
      </c>
      <c r="B250" t="s">
        <v>56</v>
      </c>
      <c r="C250" t="s">
        <v>99</v>
      </c>
      <c r="D250" s="3">
        <v>42005</v>
      </c>
      <c r="E250" t="s">
        <v>69</v>
      </c>
      <c r="F250" t="s">
        <v>14</v>
      </c>
      <c r="G250" t="s">
        <v>135</v>
      </c>
      <c r="H250">
        <v>1</v>
      </c>
      <c r="I250">
        <v>1</v>
      </c>
      <c r="J250">
        <v>22</v>
      </c>
      <c r="K250" t="str">
        <f t="shared" si="16"/>
        <v>BoliviaEcuador</v>
      </c>
      <c r="L250" t="str">
        <f t="shared" si="17"/>
        <v>EcuadorBolivia</v>
      </c>
      <c r="M250">
        <f t="shared" si="18"/>
        <v>0</v>
      </c>
      <c r="N250">
        <f t="shared" si="19"/>
        <v>0</v>
      </c>
      <c r="O250">
        <f t="shared" si="20"/>
        <v>1</v>
      </c>
    </row>
    <row r="251" spans="1:15" hidden="1" x14ac:dyDescent="0.25">
      <c r="A251" s="1">
        <v>19430</v>
      </c>
      <c r="B251" t="s">
        <v>43</v>
      </c>
      <c r="C251" t="s">
        <v>11</v>
      </c>
      <c r="D251" s="3">
        <v>42037</v>
      </c>
      <c r="E251" t="s">
        <v>69</v>
      </c>
      <c r="F251" t="s">
        <v>14</v>
      </c>
      <c r="G251" t="s">
        <v>44</v>
      </c>
      <c r="H251">
        <v>2</v>
      </c>
      <c r="I251">
        <v>2</v>
      </c>
      <c r="J251">
        <v>22</v>
      </c>
      <c r="K251" t="str">
        <f t="shared" si="16"/>
        <v>ParaguayUruguay</v>
      </c>
      <c r="L251" t="str">
        <f t="shared" si="17"/>
        <v>UruguayParaguay</v>
      </c>
      <c r="M251">
        <f t="shared" si="18"/>
        <v>0</v>
      </c>
      <c r="N251">
        <f t="shared" si="19"/>
        <v>0</v>
      </c>
      <c r="O251">
        <f t="shared" si="20"/>
        <v>1</v>
      </c>
    </row>
    <row r="252" spans="1:15" hidden="1" x14ac:dyDescent="0.25">
      <c r="A252" s="1">
        <v>19430</v>
      </c>
      <c r="B252" t="s">
        <v>99</v>
      </c>
      <c r="C252" t="s">
        <v>19</v>
      </c>
      <c r="D252" s="2" t="s">
        <v>37</v>
      </c>
      <c r="E252" t="s">
        <v>69</v>
      </c>
      <c r="F252" t="s">
        <v>14</v>
      </c>
      <c r="G252" t="s">
        <v>121</v>
      </c>
      <c r="H252">
        <v>0</v>
      </c>
      <c r="I252">
        <v>2</v>
      </c>
      <c r="J252">
        <v>22</v>
      </c>
      <c r="K252" t="str">
        <f t="shared" si="16"/>
        <v>EcuadorBrazil</v>
      </c>
      <c r="L252" t="str">
        <f t="shared" si="17"/>
        <v>BrazilEcuador</v>
      </c>
      <c r="M252">
        <f t="shared" si="18"/>
        <v>0</v>
      </c>
      <c r="N252">
        <f t="shared" si="19"/>
        <v>1</v>
      </c>
      <c r="O252">
        <f t="shared" si="20"/>
        <v>0</v>
      </c>
    </row>
    <row r="253" spans="1:15" x14ac:dyDescent="0.25">
      <c r="A253" s="1">
        <v>19433</v>
      </c>
      <c r="B253" t="s">
        <v>11</v>
      </c>
      <c r="C253" t="s">
        <v>19</v>
      </c>
      <c r="D253" s="2" t="s">
        <v>33</v>
      </c>
      <c r="E253" t="s">
        <v>70</v>
      </c>
      <c r="F253" t="s">
        <v>14</v>
      </c>
      <c r="G253" t="s">
        <v>23</v>
      </c>
      <c r="H253">
        <v>0</v>
      </c>
      <c r="I253">
        <v>1</v>
      </c>
      <c r="J253">
        <v>22</v>
      </c>
      <c r="K253" t="str">
        <f t="shared" si="16"/>
        <v>UruguayBrazil</v>
      </c>
      <c r="L253" t="str">
        <f t="shared" si="17"/>
        <v>BrazilUruguay</v>
      </c>
      <c r="M253">
        <f t="shared" si="18"/>
        <v>0</v>
      </c>
      <c r="N253">
        <f t="shared" si="19"/>
        <v>1</v>
      </c>
      <c r="O253">
        <f t="shared" si="20"/>
        <v>0</v>
      </c>
    </row>
    <row r="254" spans="1:15" hidden="1" x14ac:dyDescent="0.25">
      <c r="A254" s="1">
        <v>19434</v>
      </c>
      <c r="B254" t="s">
        <v>56</v>
      </c>
      <c r="C254" t="s">
        <v>43</v>
      </c>
      <c r="D254" s="3">
        <v>42036</v>
      </c>
      <c r="E254" t="s">
        <v>69</v>
      </c>
      <c r="F254" t="s">
        <v>14</v>
      </c>
      <c r="G254" t="s">
        <v>63</v>
      </c>
      <c r="H254">
        <v>1</v>
      </c>
      <c r="I254">
        <v>2</v>
      </c>
      <c r="J254">
        <v>22</v>
      </c>
      <c r="K254" t="str">
        <f t="shared" si="16"/>
        <v>BoliviaParaguay</v>
      </c>
      <c r="L254" t="str">
        <f t="shared" si="17"/>
        <v>ParaguayBolivia</v>
      </c>
      <c r="M254">
        <f t="shared" si="18"/>
        <v>0</v>
      </c>
      <c r="N254">
        <f t="shared" si="19"/>
        <v>1</v>
      </c>
      <c r="O254">
        <f t="shared" si="20"/>
        <v>0</v>
      </c>
    </row>
    <row r="255" spans="1:15" hidden="1" x14ac:dyDescent="0.25">
      <c r="A255" s="1">
        <v>19437</v>
      </c>
      <c r="B255" t="s">
        <v>10</v>
      </c>
      <c r="C255" t="s">
        <v>99</v>
      </c>
      <c r="D255" s="2" t="s">
        <v>47</v>
      </c>
      <c r="E255" t="s">
        <v>69</v>
      </c>
      <c r="F255" t="s">
        <v>14</v>
      </c>
      <c r="G255" t="s">
        <v>104</v>
      </c>
      <c r="H255">
        <v>3</v>
      </c>
      <c r="I255">
        <v>0</v>
      </c>
      <c r="J255">
        <v>22</v>
      </c>
      <c r="K255" t="str">
        <f t="shared" si="16"/>
        <v>ChileEcuador</v>
      </c>
      <c r="L255" t="str">
        <f t="shared" si="17"/>
        <v>EcuadorChile</v>
      </c>
      <c r="M255">
        <f t="shared" si="18"/>
        <v>1</v>
      </c>
      <c r="N255">
        <f t="shared" si="19"/>
        <v>0</v>
      </c>
      <c r="O255">
        <f t="shared" si="20"/>
        <v>0</v>
      </c>
    </row>
    <row r="256" spans="1:15" hidden="1" x14ac:dyDescent="0.25">
      <c r="A256" s="1">
        <v>19437</v>
      </c>
      <c r="B256" t="s">
        <v>66</v>
      </c>
      <c r="C256" t="s">
        <v>19</v>
      </c>
      <c r="D256" s="2" t="s">
        <v>29</v>
      </c>
      <c r="E256" t="s">
        <v>65</v>
      </c>
      <c r="F256" t="s">
        <v>14</v>
      </c>
      <c r="G256" t="s">
        <v>83</v>
      </c>
      <c r="H256">
        <v>1</v>
      </c>
      <c r="I256">
        <v>0</v>
      </c>
      <c r="J256">
        <v>22</v>
      </c>
      <c r="K256" t="str">
        <f t="shared" si="16"/>
        <v>PeruBrazil</v>
      </c>
      <c r="L256" t="str">
        <f t="shared" si="17"/>
        <v>BrazilPeru</v>
      </c>
      <c r="M256">
        <f t="shared" si="18"/>
        <v>1</v>
      </c>
      <c r="N256">
        <f t="shared" si="19"/>
        <v>0</v>
      </c>
      <c r="O256">
        <f t="shared" si="20"/>
        <v>0</v>
      </c>
    </row>
    <row r="257" spans="1:15" hidden="1" x14ac:dyDescent="0.25">
      <c r="A257" s="1">
        <v>19441</v>
      </c>
      <c r="B257" t="s">
        <v>10</v>
      </c>
      <c r="C257" t="s">
        <v>19</v>
      </c>
      <c r="D257" s="3">
        <v>42065</v>
      </c>
      <c r="E257" t="s">
        <v>69</v>
      </c>
      <c r="F257" t="s">
        <v>14</v>
      </c>
      <c r="G257" t="s">
        <v>20</v>
      </c>
      <c r="H257">
        <v>2</v>
      </c>
      <c r="I257">
        <v>3</v>
      </c>
      <c r="J257">
        <v>22</v>
      </c>
      <c r="K257" t="str">
        <f t="shared" si="16"/>
        <v>ChileBrazil</v>
      </c>
      <c r="L257" t="str">
        <f t="shared" si="17"/>
        <v>BrazilChile</v>
      </c>
      <c r="M257">
        <f t="shared" si="18"/>
        <v>0</v>
      </c>
      <c r="N257">
        <f t="shared" si="19"/>
        <v>1</v>
      </c>
      <c r="O257">
        <f t="shared" si="20"/>
        <v>0</v>
      </c>
    </row>
    <row r="258" spans="1:15" hidden="1" x14ac:dyDescent="0.25">
      <c r="A258" s="1">
        <v>19441</v>
      </c>
      <c r="B258" t="s">
        <v>99</v>
      </c>
      <c r="C258" t="s">
        <v>11</v>
      </c>
      <c r="D258" s="2" t="s">
        <v>34</v>
      </c>
      <c r="E258" t="s">
        <v>69</v>
      </c>
      <c r="F258" t="s">
        <v>14</v>
      </c>
      <c r="G258" t="s">
        <v>102</v>
      </c>
      <c r="H258">
        <v>0</v>
      </c>
      <c r="I258">
        <v>6</v>
      </c>
      <c r="J258">
        <v>22</v>
      </c>
      <c r="K258" t="str">
        <f t="shared" si="16"/>
        <v>EcuadorUruguay</v>
      </c>
      <c r="L258" t="str">
        <f t="shared" si="17"/>
        <v>UruguayEcuador</v>
      </c>
      <c r="M258">
        <f t="shared" si="18"/>
        <v>0</v>
      </c>
      <c r="N258">
        <f t="shared" si="19"/>
        <v>1</v>
      </c>
      <c r="O258">
        <f t="shared" si="20"/>
        <v>0</v>
      </c>
    </row>
    <row r="259" spans="1:15" hidden="1" x14ac:dyDescent="0.25">
      <c r="A259" s="1">
        <v>19445</v>
      </c>
      <c r="B259" t="s">
        <v>43</v>
      </c>
      <c r="C259" t="s">
        <v>19</v>
      </c>
      <c r="D259" s="3">
        <v>42006</v>
      </c>
      <c r="E259" t="s">
        <v>69</v>
      </c>
      <c r="F259" t="s">
        <v>14</v>
      </c>
      <c r="G259" t="s">
        <v>46</v>
      </c>
      <c r="H259">
        <v>2</v>
      </c>
      <c r="I259">
        <v>1</v>
      </c>
      <c r="J259">
        <v>22</v>
      </c>
      <c r="K259" t="str">
        <f t="shared" ref="K259:K322" si="21">CONCATENATE(B259,C259)</f>
        <v>ParaguayBrazil</v>
      </c>
      <c r="L259" t="str">
        <f t="shared" ref="L259:L322" si="22">CONCATENATE(C259,B259)</f>
        <v>BrazilParaguay</v>
      </c>
      <c r="M259">
        <f t="shared" ref="M259:M322" si="23">IF(H259&gt;I259,1,0)</f>
        <v>1</v>
      </c>
      <c r="N259">
        <f t="shared" ref="N259:N322" si="24">IF(I259&gt;H259,1,0)</f>
        <v>0</v>
      </c>
      <c r="O259">
        <f t="shared" ref="O259:O322" si="25">IF(I259=H259,1,0)</f>
        <v>0</v>
      </c>
    </row>
    <row r="260" spans="1:15" hidden="1" x14ac:dyDescent="0.25">
      <c r="A260" s="1">
        <v>19446</v>
      </c>
      <c r="B260" t="s">
        <v>66</v>
      </c>
      <c r="C260" t="s">
        <v>11</v>
      </c>
      <c r="D260" s="2" t="s">
        <v>45</v>
      </c>
      <c r="E260" t="s">
        <v>65</v>
      </c>
      <c r="F260" t="s">
        <v>14</v>
      </c>
      <c r="G260" t="s">
        <v>67</v>
      </c>
      <c r="H260">
        <v>0</v>
      </c>
      <c r="I260">
        <v>3</v>
      </c>
      <c r="J260">
        <v>22</v>
      </c>
      <c r="K260" t="str">
        <f t="shared" si="21"/>
        <v>PeruUruguay</v>
      </c>
      <c r="L260" t="str">
        <f t="shared" si="22"/>
        <v>UruguayPeru</v>
      </c>
      <c r="M260">
        <f t="shared" si="23"/>
        <v>0</v>
      </c>
      <c r="N260">
        <f t="shared" si="24"/>
        <v>1</v>
      </c>
      <c r="O260">
        <f t="shared" si="25"/>
        <v>0</v>
      </c>
    </row>
    <row r="261" spans="1:15" hidden="1" x14ac:dyDescent="0.25">
      <c r="A261" s="1">
        <v>19446</v>
      </c>
      <c r="B261" t="s">
        <v>56</v>
      </c>
      <c r="C261" t="s">
        <v>10</v>
      </c>
      <c r="D261" s="3">
        <v>42037</v>
      </c>
      <c r="E261" t="s">
        <v>69</v>
      </c>
      <c r="F261" t="s">
        <v>14</v>
      </c>
      <c r="G261" t="s">
        <v>58</v>
      </c>
      <c r="H261">
        <v>2</v>
      </c>
      <c r="I261">
        <v>2</v>
      </c>
      <c r="J261">
        <v>22</v>
      </c>
      <c r="K261" t="str">
        <f t="shared" si="21"/>
        <v>BoliviaChile</v>
      </c>
      <c r="L261" t="str">
        <f t="shared" si="22"/>
        <v>ChileBolivia</v>
      </c>
      <c r="M261">
        <f t="shared" si="23"/>
        <v>0</v>
      </c>
      <c r="N261">
        <f t="shared" si="24"/>
        <v>0</v>
      </c>
      <c r="O261">
        <f t="shared" si="25"/>
        <v>1</v>
      </c>
    </row>
    <row r="262" spans="1:15" hidden="1" x14ac:dyDescent="0.25">
      <c r="A262" t="s">
        <v>180</v>
      </c>
      <c r="B262" t="s">
        <v>43</v>
      </c>
      <c r="C262" t="s">
        <v>19</v>
      </c>
      <c r="D262" s="3">
        <v>42038</v>
      </c>
      <c r="E262" t="s">
        <v>69</v>
      </c>
      <c r="F262" t="s">
        <v>14</v>
      </c>
      <c r="G262" t="s">
        <v>46</v>
      </c>
      <c r="H262">
        <v>3</v>
      </c>
      <c r="I262">
        <v>2</v>
      </c>
      <c r="J262">
        <v>22</v>
      </c>
      <c r="K262" t="str">
        <f t="shared" si="21"/>
        <v>ParaguayBrazil</v>
      </c>
      <c r="L262" t="str">
        <f t="shared" si="22"/>
        <v>BrazilParaguay</v>
      </c>
      <c r="M262">
        <f t="shared" si="23"/>
        <v>1</v>
      </c>
      <c r="N262">
        <f t="shared" si="24"/>
        <v>0</v>
      </c>
      <c r="O262">
        <f t="shared" si="25"/>
        <v>0</v>
      </c>
    </row>
    <row r="263" spans="1:15" hidden="1" x14ac:dyDescent="0.25">
      <c r="A263" s="1">
        <v>20147</v>
      </c>
      <c r="B263" t="s">
        <v>10</v>
      </c>
      <c r="C263" t="s">
        <v>99</v>
      </c>
      <c r="D263" s="3">
        <v>42011</v>
      </c>
      <c r="E263" t="s">
        <v>60</v>
      </c>
      <c r="F263" t="s">
        <v>14</v>
      </c>
      <c r="G263" t="s">
        <v>104</v>
      </c>
      <c r="H263">
        <v>7</v>
      </c>
      <c r="I263">
        <v>1</v>
      </c>
      <c r="J263">
        <v>23</v>
      </c>
      <c r="K263" t="str">
        <f t="shared" si="21"/>
        <v>ChileEcuador</v>
      </c>
      <c r="L263" t="str">
        <f t="shared" si="22"/>
        <v>EcuadorChile</v>
      </c>
      <c r="M263">
        <f t="shared" si="23"/>
        <v>1</v>
      </c>
      <c r="N263">
        <f t="shared" si="24"/>
        <v>0</v>
      </c>
      <c r="O263">
        <f t="shared" si="25"/>
        <v>0</v>
      </c>
    </row>
    <row r="264" spans="1:15" hidden="1" x14ac:dyDescent="0.25">
      <c r="A264" s="1">
        <v>20150</v>
      </c>
      <c r="B264" t="s">
        <v>16</v>
      </c>
      <c r="C264" t="s">
        <v>43</v>
      </c>
      <c r="D264" s="3">
        <v>42068</v>
      </c>
      <c r="E264" t="s">
        <v>60</v>
      </c>
      <c r="F264" t="s">
        <v>14</v>
      </c>
      <c r="G264" t="s">
        <v>48</v>
      </c>
      <c r="H264">
        <v>5</v>
      </c>
      <c r="I264">
        <v>3</v>
      </c>
      <c r="J264">
        <v>23</v>
      </c>
      <c r="K264" t="str">
        <f t="shared" si="21"/>
        <v>ArgentinaParaguay</v>
      </c>
      <c r="L264" t="str">
        <f t="shared" si="22"/>
        <v>ParaguayArgentina</v>
      </c>
      <c r="M264">
        <f t="shared" si="23"/>
        <v>1</v>
      </c>
      <c r="N264">
        <f t="shared" si="24"/>
        <v>0</v>
      </c>
      <c r="O264">
        <f t="shared" si="25"/>
        <v>0</v>
      </c>
    </row>
    <row r="265" spans="1:15" hidden="1" x14ac:dyDescent="0.25">
      <c r="A265" s="1">
        <v>20154</v>
      </c>
      <c r="B265" t="s">
        <v>10</v>
      </c>
      <c r="C265" t="s">
        <v>66</v>
      </c>
      <c r="D265" s="3">
        <v>42099</v>
      </c>
      <c r="E265" t="s">
        <v>60</v>
      </c>
      <c r="F265" t="s">
        <v>14</v>
      </c>
      <c r="G265" t="s">
        <v>80</v>
      </c>
      <c r="H265">
        <v>5</v>
      </c>
      <c r="I265">
        <v>4</v>
      </c>
      <c r="J265">
        <v>23</v>
      </c>
      <c r="K265" t="str">
        <f t="shared" si="21"/>
        <v>ChilePeru</v>
      </c>
      <c r="L265" t="str">
        <f t="shared" si="22"/>
        <v>PeruChile</v>
      </c>
      <c r="M265">
        <f t="shared" si="23"/>
        <v>1</v>
      </c>
      <c r="N265">
        <f t="shared" si="24"/>
        <v>0</v>
      </c>
      <c r="O265">
        <f t="shared" si="25"/>
        <v>0</v>
      </c>
    </row>
    <row r="266" spans="1:15" hidden="1" x14ac:dyDescent="0.25">
      <c r="A266" s="1">
        <v>20157</v>
      </c>
      <c r="B266" t="s">
        <v>43</v>
      </c>
      <c r="C266" t="s">
        <v>11</v>
      </c>
      <c r="D266" s="3">
        <v>42064</v>
      </c>
      <c r="E266" t="s">
        <v>57</v>
      </c>
      <c r="F266" t="s">
        <v>14</v>
      </c>
      <c r="G266" t="s">
        <v>44</v>
      </c>
      <c r="H266">
        <v>1</v>
      </c>
      <c r="I266">
        <v>3</v>
      </c>
      <c r="J266">
        <v>23</v>
      </c>
      <c r="K266" t="str">
        <f t="shared" si="21"/>
        <v>ParaguayUruguay</v>
      </c>
      <c r="L266" t="str">
        <f t="shared" si="22"/>
        <v>UruguayParaguay</v>
      </c>
      <c r="M266">
        <f t="shared" si="23"/>
        <v>0</v>
      </c>
      <c r="N266">
        <f t="shared" si="24"/>
        <v>1</v>
      </c>
      <c r="O266">
        <f t="shared" si="25"/>
        <v>0</v>
      </c>
    </row>
    <row r="267" spans="1:15" hidden="1" x14ac:dyDescent="0.25">
      <c r="A267" s="1">
        <v>20157</v>
      </c>
      <c r="B267" t="s">
        <v>16</v>
      </c>
      <c r="C267" t="s">
        <v>99</v>
      </c>
      <c r="D267" s="2" t="s">
        <v>30</v>
      </c>
      <c r="E267" t="s">
        <v>60</v>
      </c>
      <c r="F267" t="s">
        <v>14</v>
      </c>
      <c r="G267" t="s">
        <v>106</v>
      </c>
      <c r="H267">
        <v>4</v>
      </c>
      <c r="I267">
        <v>0</v>
      </c>
      <c r="J267">
        <v>23</v>
      </c>
      <c r="K267" t="str">
        <f t="shared" si="21"/>
        <v>ArgentinaEcuador</v>
      </c>
      <c r="L267" t="str">
        <f t="shared" si="22"/>
        <v>EcuadorArgentina</v>
      </c>
      <c r="M267">
        <f t="shared" si="23"/>
        <v>1</v>
      </c>
      <c r="N267">
        <f t="shared" si="24"/>
        <v>0</v>
      </c>
      <c r="O267">
        <f t="shared" si="25"/>
        <v>0</v>
      </c>
    </row>
    <row r="268" spans="1:15" hidden="1" x14ac:dyDescent="0.25">
      <c r="A268" s="1">
        <v>20161</v>
      </c>
      <c r="B268" t="s">
        <v>10</v>
      </c>
      <c r="C268" t="s">
        <v>11</v>
      </c>
      <c r="D268" s="3">
        <v>42037</v>
      </c>
      <c r="E268" t="s">
        <v>60</v>
      </c>
      <c r="F268" t="s">
        <v>14</v>
      </c>
      <c r="G268" t="s">
        <v>15</v>
      </c>
      <c r="H268">
        <v>2</v>
      </c>
      <c r="I268">
        <v>2</v>
      </c>
      <c r="J268">
        <v>23</v>
      </c>
      <c r="K268" t="str">
        <f t="shared" si="21"/>
        <v>ChileUruguay</v>
      </c>
      <c r="L268" t="str">
        <f t="shared" si="22"/>
        <v>UruguayChile</v>
      </c>
      <c r="M268">
        <f t="shared" si="23"/>
        <v>0</v>
      </c>
      <c r="N268">
        <f t="shared" si="24"/>
        <v>0</v>
      </c>
      <c r="O268">
        <f t="shared" si="25"/>
        <v>1</v>
      </c>
    </row>
    <row r="269" spans="1:15" hidden="1" x14ac:dyDescent="0.25">
      <c r="A269" s="1">
        <v>20161</v>
      </c>
      <c r="B269" t="s">
        <v>99</v>
      </c>
      <c r="C269" t="s">
        <v>66</v>
      </c>
      <c r="D269" s="3">
        <v>42096</v>
      </c>
      <c r="E269" t="s">
        <v>57</v>
      </c>
      <c r="F269" t="s">
        <v>14</v>
      </c>
      <c r="G269" t="s">
        <v>100</v>
      </c>
      <c r="H269">
        <v>2</v>
      </c>
      <c r="I269">
        <v>4</v>
      </c>
      <c r="J269">
        <v>23</v>
      </c>
      <c r="K269" t="str">
        <f t="shared" si="21"/>
        <v>EcuadorPeru</v>
      </c>
      <c r="L269" t="str">
        <f t="shared" si="22"/>
        <v>PeruEcuador</v>
      </c>
      <c r="M269">
        <f t="shared" si="23"/>
        <v>0</v>
      </c>
      <c r="N269">
        <f t="shared" si="24"/>
        <v>1</v>
      </c>
      <c r="O269">
        <f t="shared" si="25"/>
        <v>0</v>
      </c>
    </row>
    <row r="270" spans="1:15" hidden="1" x14ac:dyDescent="0.25">
      <c r="A270" s="1">
        <v>20164</v>
      </c>
      <c r="B270" t="s">
        <v>99</v>
      </c>
      <c r="C270" t="s">
        <v>43</v>
      </c>
      <c r="D270" s="2" t="s">
        <v>37</v>
      </c>
      <c r="E270" t="s">
        <v>57</v>
      </c>
      <c r="F270" t="s">
        <v>14</v>
      </c>
      <c r="G270" t="s">
        <v>105</v>
      </c>
      <c r="H270">
        <v>0</v>
      </c>
      <c r="I270">
        <v>2</v>
      </c>
      <c r="J270">
        <v>23</v>
      </c>
      <c r="K270" t="str">
        <f t="shared" si="21"/>
        <v>EcuadorParaguay</v>
      </c>
      <c r="L270" t="str">
        <f t="shared" si="22"/>
        <v>ParaguayEcuador</v>
      </c>
      <c r="M270">
        <f t="shared" si="23"/>
        <v>0</v>
      </c>
      <c r="N270">
        <f t="shared" si="24"/>
        <v>1</v>
      </c>
      <c r="O270">
        <f t="shared" si="25"/>
        <v>0</v>
      </c>
    </row>
    <row r="271" spans="1:15" hidden="1" x14ac:dyDescent="0.25">
      <c r="A271" s="1">
        <v>20164</v>
      </c>
      <c r="B271" t="s">
        <v>16</v>
      </c>
      <c r="C271" t="s">
        <v>66</v>
      </c>
      <c r="D271" s="3">
        <v>42037</v>
      </c>
      <c r="E271" t="s">
        <v>60</v>
      </c>
      <c r="F271" t="s">
        <v>14</v>
      </c>
      <c r="G271" t="s">
        <v>72</v>
      </c>
      <c r="H271">
        <v>2</v>
      </c>
      <c r="I271">
        <v>2</v>
      </c>
      <c r="J271">
        <v>23</v>
      </c>
      <c r="K271" t="str">
        <f t="shared" si="21"/>
        <v>ArgentinaPeru</v>
      </c>
      <c r="L271" t="str">
        <f t="shared" si="22"/>
        <v>PeruArgentina</v>
      </c>
      <c r="M271">
        <f t="shared" si="23"/>
        <v>0</v>
      </c>
      <c r="N271">
        <f t="shared" si="24"/>
        <v>0</v>
      </c>
      <c r="O271">
        <f t="shared" si="25"/>
        <v>1</v>
      </c>
    </row>
    <row r="272" spans="1:15" hidden="1" x14ac:dyDescent="0.25">
      <c r="A272" s="1">
        <v>20168</v>
      </c>
      <c r="B272" t="s">
        <v>10</v>
      </c>
      <c r="C272" t="s">
        <v>43</v>
      </c>
      <c r="D272" s="2" t="s">
        <v>59</v>
      </c>
      <c r="E272" t="s">
        <v>60</v>
      </c>
      <c r="F272" t="s">
        <v>14</v>
      </c>
      <c r="G272" t="s">
        <v>49</v>
      </c>
      <c r="H272">
        <v>5</v>
      </c>
      <c r="I272">
        <v>0</v>
      </c>
      <c r="J272">
        <v>23</v>
      </c>
      <c r="K272" t="str">
        <f t="shared" si="21"/>
        <v>ChileParaguay</v>
      </c>
      <c r="L272" t="str">
        <f t="shared" si="22"/>
        <v>ParaguayChile</v>
      </c>
      <c r="M272">
        <f t="shared" si="23"/>
        <v>1</v>
      </c>
      <c r="N272">
        <f t="shared" si="24"/>
        <v>0</v>
      </c>
      <c r="O272">
        <f t="shared" si="25"/>
        <v>0</v>
      </c>
    </row>
    <row r="273" spans="1:15" hidden="1" x14ac:dyDescent="0.25">
      <c r="A273" s="1">
        <v>20171</v>
      </c>
      <c r="B273" t="s">
        <v>99</v>
      </c>
      <c r="C273" t="s">
        <v>11</v>
      </c>
      <c r="D273" s="3">
        <v>42125</v>
      </c>
      <c r="E273" t="s">
        <v>57</v>
      </c>
      <c r="F273" t="s">
        <v>14</v>
      </c>
      <c r="G273" t="s">
        <v>102</v>
      </c>
      <c r="H273">
        <v>1</v>
      </c>
      <c r="I273">
        <v>5</v>
      </c>
      <c r="J273">
        <v>23</v>
      </c>
      <c r="K273" t="str">
        <f t="shared" si="21"/>
        <v>EcuadorUruguay</v>
      </c>
      <c r="L273" t="str">
        <f t="shared" si="22"/>
        <v>UruguayEcuador</v>
      </c>
      <c r="M273">
        <f t="shared" si="23"/>
        <v>0</v>
      </c>
      <c r="N273">
        <f t="shared" si="24"/>
        <v>1</v>
      </c>
      <c r="O273">
        <f t="shared" si="25"/>
        <v>0</v>
      </c>
    </row>
    <row r="274" spans="1:15" hidden="1" x14ac:dyDescent="0.25">
      <c r="A274" s="1">
        <v>20171</v>
      </c>
      <c r="B274" t="s">
        <v>43</v>
      </c>
      <c r="C274" t="s">
        <v>66</v>
      </c>
      <c r="D274" s="3">
        <v>42005</v>
      </c>
      <c r="E274" t="s">
        <v>57</v>
      </c>
      <c r="F274" t="s">
        <v>14</v>
      </c>
      <c r="G274" t="s">
        <v>74</v>
      </c>
      <c r="H274">
        <v>1</v>
      </c>
      <c r="I274">
        <v>1</v>
      </c>
      <c r="J274">
        <v>23</v>
      </c>
      <c r="K274" t="str">
        <f t="shared" si="21"/>
        <v>ParaguayPeru</v>
      </c>
      <c r="L274" t="str">
        <f t="shared" si="22"/>
        <v>PeruParaguay</v>
      </c>
      <c r="M274">
        <f t="shared" si="23"/>
        <v>0</v>
      </c>
      <c r="N274">
        <f t="shared" si="24"/>
        <v>0</v>
      </c>
      <c r="O274">
        <f t="shared" si="25"/>
        <v>1</v>
      </c>
    </row>
    <row r="275" spans="1:15" hidden="1" x14ac:dyDescent="0.25">
      <c r="A275" s="1">
        <v>20175</v>
      </c>
      <c r="B275" t="s">
        <v>16</v>
      </c>
      <c r="C275" t="s">
        <v>11</v>
      </c>
      <c r="D275" s="3">
        <v>42010</v>
      </c>
      <c r="E275" t="s">
        <v>60</v>
      </c>
      <c r="F275" t="s">
        <v>14</v>
      </c>
      <c r="G275" t="s">
        <v>26</v>
      </c>
      <c r="H275">
        <v>6</v>
      </c>
      <c r="I275">
        <v>1</v>
      </c>
      <c r="J275">
        <v>23</v>
      </c>
      <c r="K275" t="str">
        <f t="shared" si="21"/>
        <v>ArgentinaUruguay</v>
      </c>
      <c r="L275" t="str">
        <f t="shared" si="22"/>
        <v>UruguayArgentina</v>
      </c>
      <c r="M275">
        <f t="shared" si="23"/>
        <v>1</v>
      </c>
      <c r="N275">
        <f t="shared" si="24"/>
        <v>0</v>
      </c>
      <c r="O275">
        <f t="shared" si="25"/>
        <v>0</v>
      </c>
    </row>
    <row r="276" spans="1:15" hidden="1" x14ac:dyDescent="0.25">
      <c r="A276" s="1">
        <v>20178</v>
      </c>
      <c r="B276" t="s">
        <v>16</v>
      </c>
      <c r="C276" t="s">
        <v>10</v>
      </c>
      <c r="D276" s="2" t="s">
        <v>29</v>
      </c>
      <c r="E276" t="s">
        <v>60</v>
      </c>
      <c r="F276" t="s">
        <v>14</v>
      </c>
      <c r="G276" t="s">
        <v>18</v>
      </c>
      <c r="H276">
        <v>1</v>
      </c>
      <c r="I276">
        <v>0</v>
      </c>
      <c r="J276">
        <v>23</v>
      </c>
      <c r="K276" t="str">
        <f t="shared" si="21"/>
        <v>ArgentinaChile</v>
      </c>
      <c r="L276" t="str">
        <f t="shared" si="22"/>
        <v>ChileArgentina</v>
      </c>
      <c r="M276">
        <f t="shared" si="23"/>
        <v>1</v>
      </c>
      <c r="N276">
        <f t="shared" si="24"/>
        <v>0</v>
      </c>
      <c r="O276">
        <f t="shared" si="25"/>
        <v>0</v>
      </c>
    </row>
    <row r="277" spans="1:15" hidden="1" x14ac:dyDescent="0.25">
      <c r="A277" s="1">
        <v>20178</v>
      </c>
      <c r="B277" t="s">
        <v>66</v>
      </c>
      <c r="C277" t="s">
        <v>11</v>
      </c>
      <c r="D277" s="3">
        <v>42006</v>
      </c>
      <c r="E277" t="s">
        <v>107</v>
      </c>
      <c r="F277" t="s">
        <v>14</v>
      </c>
      <c r="G277" t="s">
        <v>67</v>
      </c>
      <c r="H277">
        <v>2</v>
      </c>
      <c r="I277">
        <v>1</v>
      </c>
      <c r="J277">
        <v>23</v>
      </c>
      <c r="K277" t="str">
        <f t="shared" si="21"/>
        <v>PeruUruguay</v>
      </c>
      <c r="L277" t="str">
        <f t="shared" si="22"/>
        <v>UruguayPeru</v>
      </c>
      <c r="M277">
        <f t="shared" si="23"/>
        <v>1</v>
      </c>
      <c r="N277">
        <f t="shared" si="24"/>
        <v>0</v>
      </c>
      <c r="O277">
        <f t="shared" si="25"/>
        <v>0</v>
      </c>
    </row>
    <row r="278" spans="1:15" hidden="1" x14ac:dyDescent="0.25">
      <c r="A278" t="s">
        <v>181</v>
      </c>
      <c r="B278" t="s">
        <v>43</v>
      </c>
      <c r="C278" t="s">
        <v>11</v>
      </c>
      <c r="D278" s="3">
        <v>42096</v>
      </c>
      <c r="E278" t="s">
        <v>27</v>
      </c>
      <c r="F278" t="s">
        <v>14</v>
      </c>
      <c r="G278" t="s">
        <v>44</v>
      </c>
      <c r="H278">
        <v>2</v>
      </c>
      <c r="I278">
        <v>4</v>
      </c>
      <c r="J278">
        <v>24</v>
      </c>
      <c r="K278" t="str">
        <f t="shared" si="21"/>
        <v>ParaguayUruguay</v>
      </c>
      <c r="L278" t="str">
        <f t="shared" si="22"/>
        <v>UruguayParaguay</v>
      </c>
      <c r="M278">
        <f t="shared" si="23"/>
        <v>0</v>
      </c>
      <c r="N278">
        <f t="shared" si="24"/>
        <v>1</v>
      </c>
      <c r="O278">
        <f t="shared" si="25"/>
        <v>0</v>
      </c>
    </row>
    <row r="279" spans="1:15" hidden="1" x14ac:dyDescent="0.25">
      <c r="A279" t="s">
        <v>182</v>
      </c>
      <c r="B279" t="s">
        <v>16</v>
      </c>
      <c r="C279" t="s">
        <v>66</v>
      </c>
      <c r="D279" s="3">
        <v>42006</v>
      </c>
      <c r="E279" t="s">
        <v>28</v>
      </c>
      <c r="F279" t="s">
        <v>14</v>
      </c>
      <c r="G279" t="s">
        <v>72</v>
      </c>
      <c r="H279">
        <v>2</v>
      </c>
      <c r="I279">
        <v>1</v>
      </c>
      <c r="J279">
        <v>24</v>
      </c>
      <c r="K279" t="str">
        <f t="shared" si="21"/>
        <v>ArgentinaPeru</v>
      </c>
      <c r="L279" t="str">
        <f t="shared" si="22"/>
        <v>PeruArgentina</v>
      </c>
      <c r="M279">
        <f t="shared" si="23"/>
        <v>1</v>
      </c>
      <c r="N279">
        <f t="shared" si="24"/>
        <v>0</v>
      </c>
      <c r="O279">
        <f t="shared" si="25"/>
        <v>0</v>
      </c>
    </row>
    <row r="280" spans="1:15" hidden="1" x14ac:dyDescent="0.25">
      <c r="A280" t="s">
        <v>183</v>
      </c>
      <c r="B280" t="s">
        <v>10</v>
      </c>
      <c r="C280" t="s">
        <v>19</v>
      </c>
      <c r="D280" s="3">
        <v>42008</v>
      </c>
      <c r="E280" t="s">
        <v>27</v>
      </c>
      <c r="F280" t="s">
        <v>14</v>
      </c>
      <c r="G280" t="s">
        <v>20</v>
      </c>
      <c r="H280">
        <v>4</v>
      </c>
      <c r="I280">
        <v>1</v>
      </c>
      <c r="J280">
        <v>24</v>
      </c>
      <c r="K280" t="str">
        <f t="shared" si="21"/>
        <v>ChileBrazil</v>
      </c>
      <c r="L280" t="str">
        <f t="shared" si="22"/>
        <v>BrazilChile</v>
      </c>
      <c r="M280">
        <f t="shared" si="23"/>
        <v>1</v>
      </c>
      <c r="N280">
        <f t="shared" si="24"/>
        <v>0</v>
      </c>
      <c r="O280">
        <f t="shared" si="25"/>
        <v>0</v>
      </c>
    </row>
    <row r="281" spans="1:15" hidden="1" x14ac:dyDescent="0.25">
      <c r="A281" t="s">
        <v>184</v>
      </c>
      <c r="B281" t="s">
        <v>66</v>
      </c>
      <c r="C281" t="s">
        <v>11</v>
      </c>
      <c r="D281" s="2" t="s">
        <v>37</v>
      </c>
      <c r="E281" t="s">
        <v>28</v>
      </c>
      <c r="F281" t="s">
        <v>14</v>
      </c>
      <c r="G281" t="s">
        <v>67</v>
      </c>
      <c r="H281">
        <v>0</v>
      </c>
      <c r="I281">
        <v>2</v>
      </c>
      <c r="J281">
        <v>24</v>
      </c>
      <c r="K281" t="str">
        <f t="shared" si="21"/>
        <v>PeruUruguay</v>
      </c>
      <c r="L281" t="str">
        <f t="shared" si="22"/>
        <v>UruguayPeru</v>
      </c>
      <c r="M281">
        <f t="shared" si="23"/>
        <v>0</v>
      </c>
      <c r="N281">
        <f t="shared" si="24"/>
        <v>1</v>
      </c>
      <c r="O281">
        <f t="shared" si="25"/>
        <v>0</v>
      </c>
    </row>
    <row r="282" spans="1:15" hidden="1" x14ac:dyDescent="0.25">
      <c r="A282" t="s">
        <v>185</v>
      </c>
      <c r="B282" t="s">
        <v>43</v>
      </c>
      <c r="C282" t="s">
        <v>19</v>
      </c>
      <c r="D282" s="2" t="s">
        <v>24</v>
      </c>
      <c r="E282" t="s">
        <v>27</v>
      </c>
      <c r="F282" t="s">
        <v>14</v>
      </c>
      <c r="G282" t="s">
        <v>46</v>
      </c>
      <c r="H282">
        <v>0</v>
      </c>
      <c r="I282">
        <v>0</v>
      </c>
      <c r="J282">
        <v>24</v>
      </c>
      <c r="K282" t="str">
        <f t="shared" si="21"/>
        <v>ParaguayBrazil</v>
      </c>
      <c r="L282" t="str">
        <f t="shared" si="22"/>
        <v>BrazilParaguay</v>
      </c>
      <c r="M282">
        <f t="shared" si="23"/>
        <v>0</v>
      </c>
      <c r="N282">
        <f t="shared" si="24"/>
        <v>0</v>
      </c>
      <c r="O282">
        <f t="shared" si="25"/>
        <v>1</v>
      </c>
    </row>
    <row r="283" spans="1:15" hidden="1" x14ac:dyDescent="0.25">
      <c r="A283" t="s">
        <v>185</v>
      </c>
      <c r="B283" t="s">
        <v>16</v>
      </c>
      <c r="C283" t="s">
        <v>10</v>
      </c>
      <c r="D283" s="2" t="s">
        <v>42</v>
      </c>
      <c r="E283" t="s">
        <v>28</v>
      </c>
      <c r="F283" t="s">
        <v>14</v>
      </c>
      <c r="G283" t="s">
        <v>18</v>
      </c>
      <c r="H283">
        <v>2</v>
      </c>
      <c r="I283">
        <v>0</v>
      </c>
      <c r="J283">
        <v>24</v>
      </c>
      <c r="K283" t="str">
        <f t="shared" si="21"/>
        <v>ArgentinaChile</v>
      </c>
      <c r="L283" t="str">
        <f t="shared" si="22"/>
        <v>ChileArgentina</v>
      </c>
      <c r="M283">
        <f t="shared" si="23"/>
        <v>1</v>
      </c>
      <c r="N283">
        <f t="shared" si="24"/>
        <v>0</v>
      </c>
      <c r="O283">
        <f t="shared" si="25"/>
        <v>0</v>
      </c>
    </row>
    <row r="284" spans="1:15" hidden="1" x14ac:dyDescent="0.25">
      <c r="A284" s="1">
        <v>20486</v>
      </c>
      <c r="B284" t="s">
        <v>66</v>
      </c>
      <c r="C284" t="s">
        <v>19</v>
      </c>
      <c r="D284" s="3">
        <v>42036</v>
      </c>
      <c r="E284" t="s">
        <v>28</v>
      </c>
      <c r="F284" t="s">
        <v>14</v>
      </c>
      <c r="G284" t="s">
        <v>83</v>
      </c>
      <c r="H284">
        <v>1</v>
      </c>
      <c r="I284">
        <v>2</v>
      </c>
      <c r="J284">
        <v>24</v>
      </c>
      <c r="K284" t="str">
        <f t="shared" si="21"/>
        <v>PeruBrazil</v>
      </c>
      <c r="L284" t="str">
        <f t="shared" si="22"/>
        <v>BrazilPeru</v>
      </c>
      <c r="M284">
        <f t="shared" si="23"/>
        <v>0</v>
      </c>
      <c r="N284">
        <f t="shared" si="24"/>
        <v>1</v>
      </c>
      <c r="O284">
        <f t="shared" si="25"/>
        <v>0</v>
      </c>
    </row>
    <row r="285" spans="1:15" hidden="1" x14ac:dyDescent="0.25">
      <c r="A285" s="1">
        <v>20486</v>
      </c>
      <c r="B285" t="s">
        <v>16</v>
      </c>
      <c r="C285" t="s">
        <v>43</v>
      </c>
      <c r="D285" s="2" t="s">
        <v>29</v>
      </c>
      <c r="E285" t="s">
        <v>28</v>
      </c>
      <c r="F285" t="s">
        <v>14</v>
      </c>
      <c r="G285" t="s">
        <v>48</v>
      </c>
      <c r="H285">
        <v>1</v>
      </c>
      <c r="I285">
        <v>0</v>
      </c>
      <c r="J285">
        <v>24</v>
      </c>
      <c r="K285" t="str">
        <f t="shared" si="21"/>
        <v>ArgentinaParaguay</v>
      </c>
      <c r="L285" t="str">
        <f t="shared" si="22"/>
        <v>ParaguayArgentina</v>
      </c>
      <c r="M285">
        <f t="shared" si="23"/>
        <v>1</v>
      </c>
      <c r="N285">
        <f t="shared" si="24"/>
        <v>0</v>
      </c>
      <c r="O285">
        <f t="shared" si="25"/>
        <v>0</v>
      </c>
    </row>
    <row r="286" spans="1:15" hidden="1" x14ac:dyDescent="0.25">
      <c r="A286" s="1">
        <v>20490</v>
      </c>
      <c r="B286" t="s">
        <v>16</v>
      </c>
      <c r="C286" t="s">
        <v>19</v>
      </c>
      <c r="D286" s="2" t="s">
        <v>33</v>
      </c>
      <c r="E286" t="s">
        <v>28</v>
      </c>
      <c r="F286" t="s">
        <v>14</v>
      </c>
      <c r="G286" t="s">
        <v>21</v>
      </c>
      <c r="H286">
        <v>0</v>
      </c>
      <c r="I286">
        <v>1</v>
      </c>
      <c r="J286">
        <v>24</v>
      </c>
      <c r="K286" t="str">
        <f t="shared" si="21"/>
        <v>ArgentinaBrazil</v>
      </c>
      <c r="L286" t="str">
        <f t="shared" si="22"/>
        <v>BrazilArgentina</v>
      </c>
      <c r="M286">
        <f t="shared" si="23"/>
        <v>0</v>
      </c>
      <c r="N286">
        <f t="shared" si="24"/>
        <v>1</v>
      </c>
      <c r="O286">
        <f t="shared" si="25"/>
        <v>0</v>
      </c>
    </row>
    <row r="287" spans="1:15" hidden="1" x14ac:dyDescent="0.25">
      <c r="A287" s="1">
        <v>20490</v>
      </c>
      <c r="B287" t="s">
        <v>43</v>
      </c>
      <c r="C287" t="s">
        <v>66</v>
      </c>
      <c r="D287" s="3">
        <v>42005</v>
      </c>
      <c r="E287" t="s">
        <v>27</v>
      </c>
      <c r="F287" t="s">
        <v>14</v>
      </c>
      <c r="G287" t="s">
        <v>74</v>
      </c>
      <c r="H287">
        <v>1</v>
      </c>
      <c r="I287">
        <v>1</v>
      </c>
      <c r="J287">
        <v>24</v>
      </c>
      <c r="K287" t="str">
        <f t="shared" si="21"/>
        <v>ParaguayPeru</v>
      </c>
      <c r="L287" t="str">
        <f t="shared" si="22"/>
        <v>PeruParaguay</v>
      </c>
      <c r="M287">
        <f t="shared" si="23"/>
        <v>0</v>
      </c>
      <c r="N287">
        <f t="shared" si="24"/>
        <v>0</v>
      </c>
      <c r="O287">
        <f t="shared" si="25"/>
        <v>1</v>
      </c>
    </row>
    <row r="288" spans="1:15" hidden="1" x14ac:dyDescent="0.25">
      <c r="A288" s="1">
        <v>20491</v>
      </c>
      <c r="B288" t="s">
        <v>10</v>
      </c>
      <c r="C288" t="s">
        <v>11</v>
      </c>
      <c r="D288" s="3">
        <v>42036</v>
      </c>
      <c r="E288" t="s">
        <v>27</v>
      </c>
      <c r="F288" t="s">
        <v>14</v>
      </c>
      <c r="G288" t="s">
        <v>15</v>
      </c>
      <c r="H288">
        <v>1</v>
      </c>
      <c r="I288">
        <v>2</v>
      </c>
      <c r="J288">
        <v>24</v>
      </c>
      <c r="K288" t="str">
        <f t="shared" si="21"/>
        <v>ChileUruguay</v>
      </c>
      <c r="L288" t="str">
        <f t="shared" si="22"/>
        <v>UruguayChile</v>
      </c>
      <c r="M288">
        <f t="shared" si="23"/>
        <v>0</v>
      </c>
      <c r="N288">
        <f t="shared" si="24"/>
        <v>1</v>
      </c>
      <c r="O288">
        <f t="shared" si="25"/>
        <v>0</v>
      </c>
    </row>
    <row r="289" spans="1:15" hidden="1" x14ac:dyDescent="0.25">
      <c r="A289" s="1">
        <v>20494</v>
      </c>
      <c r="B289" t="s">
        <v>10</v>
      </c>
      <c r="C289" t="s">
        <v>66</v>
      </c>
      <c r="D289" s="3">
        <v>42067</v>
      </c>
      <c r="E289" t="s">
        <v>27</v>
      </c>
      <c r="F289" t="s">
        <v>14</v>
      </c>
      <c r="G289" t="s">
        <v>80</v>
      </c>
      <c r="H289">
        <v>4</v>
      </c>
      <c r="I289">
        <v>3</v>
      </c>
      <c r="J289">
        <v>24</v>
      </c>
      <c r="K289" t="str">
        <f t="shared" si="21"/>
        <v>ChilePeru</v>
      </c>
      <c r="L289" t="str">
        <f t="shared" si="22"/>
        <v>PeruChile</v>
      </c>
      <c r="M289">
        <f t="shared" si="23"/>
        <v>1</v>
      </c>
      <c r="N289">
        <f t="shared" si="24"/>
        <v>0</v>
      </c>
      <c r="O289">
        <f t="shared" si="25"/>
        <v>0</v>
      </c>
    </row>
    <row r="290" spans="1:15" x14ac:dyDescent="0.25">
      <c r="A290" s="1">
        <v>20495</v>
      </c>
      <c r="B290" t="s">
        <v>11</v>
      </c>
      <c r="C290" t="s">
        <v>19</v>
      </c>
      <c r="D290" s="2" t="s">
        <v>24</v>
      </c>
      <c r="E290" t="s">
        <v>31</v>
      </c>
      <c r="F290" t="s">
        <v>14</v>
      </c>
      <c r="G290" t="s">
        <v>23</v>
      </c>
      <c r="H290">
        <v>0</v>
      </c>
      <c r="I290">
        <v>0</v>
      </c>
      <c r="J290">
        <v>24</v>
      </c>
      <c r="K290" t="str">
        <f t="shared" si="21"/>
        <v>UruguayBrazil</v>
      </c>
      <c r="L290" t="str">
        <f t="shared" si="22"/>
        <v>BrazilUruguay</v>
      </c>
      <c r="M290">
        <f t="shared" si="23"/>
        <v>0</v>
      </c>
      <c r="N290">
        <f t="shared" si="24"/>
        <v>0</v>
      </c>
      <c r="O290">
        <f t="shared" si="25"/>
        <v>1</v>
      </c>
    </row>
    <row r="291" spans="1:15" hidden="1" x14ac:dyDescent="0.25">
      <c r="A291" s="1">
        <v>20497</v>
      </c>
      <c r="B291" t="s">
        <v>10</v>
      </c>
      <c r="C291" t="s">
        <v>43</v>
      </c>
      <c r="D291" s="2" t="s">
        <v>42</v>
      </c>
      <c r="E291" t="s">
        <v>27</v>
      </c>
      <c r="F291" t="s">
        <v>14</v>
      </c>
      <c r="G291" t="s">
        <v>49</v>
      </c>
      <c r="H291">
        <v>2</v>
      </c>
      <c r="I291">
        <v>0</v>
      </c>
      <c r="J291">
        <v>24</v>
      </c>
      <c r="K291" t="str">
        <f t="shared" si="21"/>
        <v>ChileParaguay</v>
      </c>
      <c r="L291" t="str">
        <f t="shared" si="22"/>
        <v>ParaguayChile</v>
      </c>
      <c r="M291">
        <f t="shared" si="23"/>
        <v>1</v>
      </c>
      <c r="N291">
        <f t="shared" si="24"/>
        <v>0</v>
      </c>
      <c r="O291">
        <f t="shared" si="25"/>
        <v>0</v>
      </c>
    </row>
    <row r="292" spans="1:15" hidden="1" x14ac:dyDescent="0.25">
      <c r="A292" s="1">
        <v>20500</v>
      </c>
      <c r="B292" t="s">
        <v>16</v>
      </c>
      <c r="C292" t="s">
        <v>11</v>
      </c>
      <c r="D292" s="2" t="s">
        <v>33</v>
      </c>
      <c r="E292" t="s">
        <v>28</v>
      </c>
      <c r="F292" t="s">
        <v>14</v>
      </c>
      <c r="G292" t="s">
        <v>26</v>
      </c>
      <c r="H292">
        <v>0</v>
      </c>
      <c r="I292">
        <v>1</v>
      </c>
      <c r="J292">
        <v>24</v>
      </c>
      <c r="K292" t="str">
        <f t="shared" si="21"/>
        <v>ArgentinaUruguay</v>
      </c>
      <c r="L292" t="str">
        <f t="shared" si="22"/>
        <v>UruguayArgentina</v>
      </c>
      <c r="M292">
        <f t="shared" si="23"/>
        <v>0</v>
      </c>
      <c r="N292">
        <f t="shared" si="24"/>
        <v>1</v>
      </c>
      <c r="O292">
        <f t="shared" si="25"/>
        <v>0</v>
      </c>
    </row>
    <row r="293" spans="1:15" hidden="1" x14ac:dyDescent="0.25">
      <c r="A293" s="1">
        <v>20886</v>
      </c>
      <c r="B293" t="s">
        <v>99</v>
      </c>
      <c r="C293" t="s">
        <v>11</v>
      </c>
      <c r="D293" s="3">
        <v>42126</v>
      </c>
      <c r="E293" t="s">
        <v>69</v>
      </c>
      <c r="F293" t="s">
        <v>14</v>
      </c>
      <c r="G293" t="s">
        <v>102</v>
      </c>
      <c r="H293">
        <v>2</v>
      </c>
      <c r="I293">
        <v>5</v>
      </c>
      <c r="J293">
        <v>25</v>
      </c>
      <c r="K293" t="str">
        <f t="shared" si="21"/>
        <v>EcuadorUruguay</v>
      </c>
      <c r="L293" t="str">
        <f t="shared" si="22"/>
        <v>UruguayEcuador</v>
      </c>
      <c r="M293">
        <f t="shared" si="23"/>
        <v>0</v>
      </c>
      <c r="N293">
        <f t="shared" si="24"/>
        <v>1</v>
      </c>
      <c r="O293">
        <f t="shared" si="25"/>
        <v>0</v>
      </c>
    </row>
    <row r="294" spans="1:15" hidden="1" x14ac:dyDescent="0.25">
      <c r="A294" s="1">
        <v>20889</v>
      </c>
      <c r="B294" t="s">
        <v>99</v>
      </c>
      <c r="C294" t="s">
        <v>66</v>
      </c>
      <c r="D294" s="3">
        <v>42036</v>
      </c>
      <c r="E294" t="s">
        <v>69</v>
      </c>
      <c r="F294" t="s">
        <v>14</v>
      </c>
      <c r="G294" t="s">
        <v>100</v>
      </c>
      <c r="H294">
        <v>1</v>
      </c>
      <c r="I294">
        <v>2</v>
      </c>
      <c r="J294">
        <v>25</v>
      </c>
      <c r="K294" t="str">
        <f t="shared" si="21"/>
        <v>EcuadorPeru</v>
      </c>
      <c r="L294" t="str">
        <f t="shared" si="22"/>
        <v>PeruEcuador</v>
      </c>
      <c r="M294">
        <f t="shared" si="23"/>
        <v>0</v>
      </c>
      <c r="N294">
        <f t="shared" si="24"/>
        <v>1</v>
      </c>
      <c r="O294">
        <f t="shared" si="25"/>
        <v>0</v>
      </c>
    </row>
    <row r="295" spans="1:15" hidden="1" x14ac:dyDescent="0.25">
      <c r="A295" s="1">
        <v>20892</v>
      </c>
      <c r="B295" t="s">
        <v>10</v>
      </c>
      <c r="C295" t="s">
        <v>19</v>
      </c>
      <c r="D295" s="3">
        <v>42096</v>
      </c>
      <c r="E295" t="s">
        <v>69</v>
      </c>
      <c r="F295" t="s">
        <v>14</v>
      </c>
      <c r="G295" t="s">
        <v>20</v>
      </c>
      <c r="H295">
        <v>2</v>
      </c>
      <c r="I295">
        <v>4</v>
      </c>
      <c r="J295">
        <v>25</v>
      </c>
      <c r="K295" t="str">
        <f t="shared" si="21"/>
        <v>ChileBrazil</v>
      </c>
      <c r="L295" t="str">
        <f t="shared" si="22"/>
        <v>BrazilChile</v>
      </c>
      <c r="M295">
        <f t="shared" si="23"/>
        <v>0</v>
      </c>
      <c r="N295">
        <f t="shared" si="24"/>
        <v>1</v>
      </c>
      <c r="O295">
        <f t="shared" si="25"/>
        <v>0</v>
      </c>
    </row>
    <row r="296" spans="1:15" hidden="1" x14ac:dyDescent="0.25">
      <c r="A296" s="1">
        <v>20892</v>
      </c>
      <c r="B296" t="s">
        <v>16</v>
      </c>
      <c r="C296" t="s">
        <v>125</v>
      </c>
      <c r="D296" s="3">
        <v>42043</v>
      </c>
      <c r="E296" t="s">
        <v>65</v>
      </c>
      <c r="F296" t="s">
        <v>14</v>
      </c>
      <c r="G296" t="s">
        <v>133</v>
      </c>
      <c r="H296">
        <v>8</v>
      </c>
      <c r="I296">
        <v>2</v>
      </c>
      <c r="J296">
        <v>25</v>
      </c>
      <c r="K296" t="str">
        <f t="shared" si="21"/>
        <v>ArgentinaColombia</v>
      </c>
      <c r="L296" t="str">
        <f t="shared" si="22"/>
        <v>ColombiaArgentina</v>
      </c>
      <c r="M296">
        <f t="shared" si="23"/>
        <v>1</v>
      </c>
      <c r="N296">
        <f t="shared" si="24"/>
        <v>0</v>
      </c>
      <c r="O296">
        <f t="shared" si="25"/>
        <v>0</v>
      </c>
    </row>
    <row r="297" spans="1:15" hidden="1" x14ac:dyDescent="0.25">
      <c r="A297" s="1">
        <v>20895</v>
      </c>
      <c r="B297" t="s">
        <v>10</v>
      </c>
      <c r="C297" t="s">
        <v>66</v>
      </c>
      <c r="D297" s="2" t="s">
        <v>33</v>
      </c>
      <c r="E297" t="s">
        <v>69</v>
      </c>
      <c r="F297" t="s">
        <v>14</v>
      </c>
      <c r="G297" t="s">
        <v>80</v>
      </c>
      <c r="H297">
        <v>0</v>
      </c>
      <c r="I297">
        <v>1</v>
      </c>
      <c r="J297">
        <v>25</v>
      </c>
      <c r="K297" t="str">
        <f t="shared" si="21"/>
        <v>ChilePeru</v>
      </c>
      <c r="L297" t="str">
        <f t="shared" si="22"/>
        <v>PeruChile</v>
      </c>
      <c r="M297">
        <f t="shared" si="23"/>
        <v>0</v>
      </c>
      <c r="N297">
        <f t="shared" si="24"/>
        <v>1</v>
      </c>
      <c r="O297">
        <f t="shared" si="25"/>
        <v>0</v>
      </c>
    </row>
    <row r="298" spans="1:15" hidden="1" x14ac:dyDescent="0.25">
      <c r="A298" s="1">
        <v>20896</v>
      </c>
      <c r="B298" t="s">
        <v>16</v>
      </c>
      <c r="C298" t="s">
        <v>99</v>
      </c>
      <c r="D298" s="2" t="s">
        <v>47</v>
      </c>
      <c r="E298" t="s">
        <v>65</v>
      </c>
      <c r="F298" t="s">
        <v>14</v>
      </c>
      <c r="G298" t="s">
        <v>106</v>
      </c>
      <c r="H298">
        <v>3</v>
      </c>
      <c r="I298">
        <v>0</v>
      </c>
      <c r="J298">
        <v>25</v>
      </c>
      <c r="K298" t="str">
        <f t="shared" si="21"/>
        <v>ArgentinaEcuador</v>
      </c>
      <c r="L298" t="str">
        <f t="shared" si="22"/>
        <v>EcuadorArgentina</v>
      </c>
      <c r="M298">
        <f t="shared" si="23"/>
        <v>1</v>
      </c>
      <c r="N298">
        <f t="shared" si="24"/>
        <v>0</v>
      </c>
      <c r="O298">
        <f t="shared" si="25"/>
        <v>0</v>
      </c>
    </row>
    <row r="299" spans="1:15" hidden="1" x14ac:dyDescent="0.25">
      <c r="A299" s="1">
        <v>20896</v>
      </c>
      <c r="B299" t="s">
        <v>125</v>
      </c>
      <c r="C299" t="s">
        <v>11</v>
      </c>
      <c r="D299" s="2" t="s">
        <v>29</v>
      </c>
      <c r="E299" t="s">
        <v>65</v>
      </c>
      <c r="F299" t="s">
        <v>14</v>
      </c>
      <c r="G299" t="s">
        <v>129</v>
      </c>
      <c r="H299">
        <v>1</v>
      </c>
      <c r="I299">
        <v>0</v>
      </c>
      <c r="J299">
        <v>25</v>
      </c>
      <c r="K299" t="str">
        <f t="shared" si="21"/>
        <v>ColombiaUruguay</v>
      </c>
      <c r="L299" t="str">
        <f t="shared" si="22"/>
        <v>UruguayColombia</v>
      </c>
      <c r="M299">
        <f t="shared" si="23"/>
        <v>1</v>
      </c>
      <c r="N299">
        <f t="shared" si="24"/>
        <v>0</v>
      </c>
      <c r="O299">
        <f t="shared" si="25"/>
        <v>0</v>
      </c>
    </row>
    <row r="300" spans="1:15" hidden="1" x14ac:dyDescent="0.25">
      <c r="A300" s="1">
        <v>20899</v>
      </c>
      <c r="B300" t="s">
        <v>16</v>
      </c>
      <c r="C300" t="s">
        <v>11</v>
      </c>
      <c r="D300" s="2" t="s">
        <v>30</v>
      </c>
      <c r="E300" t="s">
        <v>65</v>
      </c>
      <c r="F300" t="s">
        <v>14</v>
      </c>
      <c r="G300" t="s">
        <v>26</v>
      </c>
      <c r="H300">
        <v>4</v>
      </c>
      <c r="I300">
        <v>0</v>
      </c>
      <c r="J300">
        <v>25</v>
      </c>
      <c r="K300" t="str">
        <f t="shared" si="21"/>
        <v>ArgentinaUruguay</v>
      </c>
      <c r="L300" t="str">
        <f t="shared" si="22"/>
        <v>UruguayArgentina</v>
      </c>
      <c r="M300">
        <f t="shared" si="23"/>
        <v>1</v>
      </c>
      <c r="N300">
        <f t="shared" si="24"/>
        <v>0</v>
      </c>
      <c r="O300">
        <f t="shared" si="25"/>
        <v>0</v>
      </c>
    </row>
    <row r="301" spans="1:15" hidden="1" x14ac:dyDescent="0.25">
      <c r="A301" s="1">
        <v>20900</v>
      </c>
      <c r="B301" t="s">
        <v>99</v>
      </c>
      <c r="C301" t="s">
        <v>19</v>
      </c>
      <c r="D301" s="3">
        <v>42186</v>
      </c>
      <c r="E301" t="s">
        <v>69</v>
      </c>
      <c r="F301" t="s">
        <v>14</v>
      </c>
      <c r="G301" t="s">
        <v>121</v>
      </c>
      <c r="H301">
        <v>1</v>
      </c>
      <c r="I301">
        <v>7</v>
      </c>
      <c r="J301">
        <v>25</v>
      </c>
      <c r="K301" t="str">
        <f t="shared" si="21"/>
        <v>EcuadorBrazil</v>
      </c>
      <c r="L301" t="str">
        <f t="shared" si="22"/>
        <v>BrazilEcuador</v>
      </c>
      <c r="M301">
        <f t="shared" si="23"/>
        <v>0</v>
      </c>
      <c r="N301">
        <f t="shared" si="24"/>
        <v>1</v>
      </c>
      <c r="O301">
        <f t="shared" si="25"/>
        <v>0</v>
      </c>
    </row>
    <row r="302" spans="1:15" hidden="1" x14ac:dyDescent="0.25">
      <c r="A302" s="1">
        <v>20900</v>
      </c>
      <c r="B302" t="s">
        <v>10</v>
      </c>
      <c r="C302" t="s">
        <v>125</v>
      </c>
      <c r="D302" s="3">
        <v>42038</v>
      </c>
      <c r="E302" t="s">
        <v>69</v>
      </c>
      <c r="F302" t="s">
        <v>14</v>
      </c>
      <c r="G302" t="s">
        <v>132</v>
      </c>
      <c r="H302">
        <v>3</v>
      </c>
      <c r="I302">
        <v>2</v>
      </c>
      <c r="J302">
        <v>25</v>
      </c>
      <c r="K302" t="str">
        <f t="shared" si="21"/>
        <v>ChileColombia</v>
      </c>
      <c r="L302" t="str">
        <f t="shared" si="22"/>
        <v>ColombiaChile</v>
      </c>
      <c r="M302">
        <f t="shared" si="23"/>
        <v>1</v>
      </c>
      <c r="N302">
        <f t="shared" si="24"/>
        <v>0</v>
      </c>
      <c r="O302">
        <f t="shared" si="25"/>
        <v>0</v>
      </c>
    </row>
    <row r="303" spans="1:15" hidden="1" x14ac:dyDescent="0.25">
      <c r="A303" s="1">
        <v>20902</v>
      </c>
      <c r="B303" t="s">
        <v>66</v>
      </c>
      <c r="C303" t="s">
        <v>11</v>
      </c>
      <c r="D303" s="3">
        <v>42127</v>
      </c>
      <c r="E303" t="s">
        <v>65</v>
      </c>
      <c r="F303" t="s">
        <v>14</v>
      </c>
      <c r="G303" t="s">
        <v>67</v>
      </c>
      <c r="H303">
        <v>3</v>
      </c>
      <c r="I303">
        <v>5</v>
      </c>
      <c r="J303">
        <v>25</v>
      </c>
      <c r="K303" t="str">
        <f t="shared" si="21"/>
        <v>PeruUruguay</v>
      </c>
      <c r="L303" t="str">
        <f t="shared" si="22"/>
        <v>UruguayPeru</v>
      </c>
      <c r="M303">
        <f t="shared" si="23"/>
        <v>0</v>
      </c>
      <c r="N303">
        <f t="shared" si="24"/>
        <v>1</v>
      </c>
      <c r="O303">
        <f t="shared" si="25"/>
        <v>0</v>
      </c>
    </row>
    <row r="304" spans="1:15" hidden="1" x14ac:dyDescent="0.25">
      <c r="A304" s="1">
        <v>20903</v>
      </c>
      <c r="B304" t="s">
        <v>125</v>
      </c>
      <c r="C304" t="s">
        <v>19</v>
      </c>
      <c r="D304" s="2" t="s">
        <v>68</v>
      </c>
      <c r="E304" t="s">
        <v>65</v>
      </c>
      <c r="F304" t="s">
        <v>14</v>
      </c>
      <c r="G304" t="s">
        <v>126</v>
      </c>
      <c r="H304">
        <v>0</v>
      </c>
      <c r="I304">
        <v>9</v>
      </c>
      <c r="J304">
        <v>25</v>
      </c>
      <c r="K304" t="str">
        <f t="shared" si="21"/>
        <v>ColombiaBrazil</v>
      </c>
      <c r="L304" t="str">
        <f t="shared" si="22"/>
        <v>BrazilColombia</v>
      </c>
      <c r="M304">
        <f t="shared" si="23"/>
        <v>0</v>
      </c>
      <c r="N304">
        <f t="shared" si="24"/>
        <v>1</v>
      </c>
      <c r="O304">
        <f t="shared" si="25"/>
        <v>0</v>
      </c>
    </row>
    <row r="305" spans="1:15" hidden="1" x14ac:dyDescent="0.25">
      <c r="A305" s="1">
        <v>20903</v>
      </c>
      <c r="B305" t="s">
        <v>10</v>
      </c>
      <c r="C305" t="s">
        <v>99</v>
      </c>
      <c r="D305" s="3">
        <v>42037</v>
      </c>
      <c r="E305" t="s">
        <v>69</v>
      </c>
      <c r="F305" t="s">
        <v>14</v>
      </c>
      <c r="G305" t="s">
        <v>104</v>
      </c>
      <c r="H305">
        <v>2</v>
      </c>
      <c r="I305">
        <v>2</v>
      </c>
      <c r="J305">
        <v>25</v>
      </c>
      <c r="K305" t="str">
        <f t="shared" si="21"/>
        <v>ChileEcuador</v>
      </c>
      <c r="L305" t="str">
        <f t="shared" si="22"/>
        <v>EcuadorChile</v>
      </c>
      <c r="M305">
        <f t="shared" si="23"/>
        <v>0</v>
      </c>
      <c r="N305">
        <f t="shared" si="24"/>
        <v>0</v>
      </c>
      <c r="O305">
        <f t="shared" si="25"/>
        <v>1</v>
      </c>
    </row>
    <row r="306" spans="1:15" hidden="1" x14ac:dyDescent="0.25">
      <c r="A306" s="1">
        <v>20906</v>
      </c>
      <c r="B306" t="s">
        <v>125</v>
      </c>
      <c r="C306" t="s">
        <v>66</v>
      </c>
      <c r="D306" s="3">
        <v>42095</v>
      </c>
      <c r="E306" t="s">
        <v>65</v>
      </c>
      <c r="F306" t="s">
        <v>14</v>
      </c>
      <c r="G306" t="s">
        <v>158</v>
      </c>
      <c r="H306">
        <v>1</v>
      </c>
      <c r="I306">
        <v>4</v>
      </c>
      <c r="J306">
        <v>25</v>
      </c>
      <c r="K306" t="str">
        <f t="shared" si="21"/>
        <v>ColombiaPeru</v>
      </c>
      <c r="L306" t="str">
        <f t="shared" si="22"/>
        <v>PeruColombia</v>
      </c>
      <c r="M306">
        <f t="shared" si="23"/>
        <v>0</v>
      </c>
      <c r="N306">
        <f t="shared" si="24"/>
        <v>1</v>
      </c>
      <c r="O306">
        <f t="shared" si="25"/>
        <v>0</v>
      </c>
    </row>
    <row r="307" spans="1:15" hidden="1" x14ac:dyDescent="0.25">
      <c r="A307" s="1">
        <v>20907</v>
      </c>
      <c r="B307" t="s">
        <v>16</v>
      </c>
      <c r="C307" t="s">
        <v>10</v>
      </c>
      <c r="D307" s="3">
        <v>42041</v>
      </c>
      <c r="E307" t="s">
        <v>65</v>
      </c>
      <c r="F307" t="s">
        <v>14</v>
      </c>
      <c r="G307" t="s">
        <v>18</v>
      </c>
      <c r="H307">
        <v>6</v>
      </c>
      <c r="I307">
        <v>2</v>
      </c>
      <c r="J307">
        <v>25</v>
      </c>
      <c r="K307" t="str">
        <f t="shared" si="21"/>
        <v>ArgentinaChile</v>
      </c>
      <c r="L307" t="str">
        <f t="shared" si="22"/>
        <v>ChileArgentina</v>
      </c>
      <c r="M307">
        <f t="shared" si="23"/>
        <v>1</v>
      </c>
      <c r="N307">
        <f t="shared" si="24"/>
        <v>0</v>
      </c>
      <c r="O307">
        <f t="shared" si="25"/>
        <v>0</v>
      </c>
    </row>
    <row r="308" spans="1:15" x14ac:dyDescent="0.25">
      <c r="A308" s="1">
        <v>20907</v>
      </c>
      <c r="B308" t="s">
        <v>11</v>
      </c>
      <c r="C308" t="s">
        <v>19</v>
      </c>
      <c r="D308" s="3">
        <v>42038</v>
      </c>
      <c r="E308" t="s">
        <v>70</v>
      </c>
      <c r="F308" t="s">
        <v>14</v>
      </c>
      <c r="G308" t="s">
        <v>23</v>
      </c>
      <c r="H308">
        <v>3</v>
      </c>
      <c r="I308">
        <v>2</v>
      </c>
      <c r="J308">
        <v>25</v>
      </c>
      <c r="K308" t="str">
        <f t="shared" si="21"/>
        <v>UruguayBrazil</v>
      </c>
      <c r="L308" t="str">
        <f t="shared" si="22"/>
        <v>BrazilUruguay</v>
      </c>
      <c r="M308">
        <f t="shared" si="23"/>
        <v>1</v>
      </c>
      <c r="N308">
        <f t="shared" si="24"/>
        <v>0</v>
      </c>
      <c r="O308">
        <f t="shared" si="25"/>
        <v>0</v>
      </c>
    </row>
    <row r="309" spans="1:15" hidden="1" x14ac:dyDescent="0.25">
      <c r="A309" s="1">
        <v>20910</v>
      </c>
      <c r="B309" t="s">
        <v>66</v>
      </c>
      <c r="C309" t="s">
        <v>19</v>
      </c>
      <c r="D309" s="2" t="s">
        <v>33</v>
      </c>
      <c r="E309" t="s">
        <v>65</v>
      </c>
      <c r="F309" t="s">
        <v>14</v>
      </c>
      <c r="G309" t="s">
        <v>83</v>
      </c>
      <c r="H309">
        <v>0</v>
      </c>
      <c r="I309">
        <v>1</v>
      </c>
      <c r="J309">
        <v>25</v>
      </c>
      <c r="K309" t="str">
        <f t="shared" si="21"/>
        <v>PeruBrazil</v>
      </c>
      <c r="L309" t="str">
        <f t="shared" si="22"/>
        <v>BrazilPeru</v>
      </c>
      <c r="M309">
        <f t="shared" si="23"/>
        <v>0</v>
      </c>
      <c r="N309">
        <f t="shared" si="24"/>
        <v>1</v>
      </c>
      <c r="O309">
        <f t="shared" si="25"/>
        <v>0</v>
      </c>
    </row>
    <row r="310" spans="1:15" hidden="1" x14ac:dyDescent="0.25">
      <c r="A310" t="s">
        <v>186</v>
      </c>
      <c r="B310" t="s">
        <v>10</v>
      </c>
      <c r="C310" t="s">
        <v>11</v>
      </c>
      <c r="D310" s="2" t="s">
        <v>37</v>
      </c>
      <c r="E310" t="s">
        <v>69</v>
      </c>
      <c r="F310" t="s">
        <v>14</v>
      </c>
      <c r="G310" t="s">
        <v>15</v>
      </c>
      <c r="H310">
        <v>0</v>
      </c>
      <c r="I310">
        <v>2</v>
      </c>
      <c r="J310">
        <v>25</v>
      </c>
      <c r="K310" t="str">
        <f t="shared" si="21"/>
        <v>ChileUruguay</v>
      </c>
      <c r="L310" t="str">
        <f t="shared" si="22"/>
        <v>UruguayChile</v>
      </c>
      <c r="M310">
        <f t="shared" si="23"/>
        <v>0</v>
      </c>
      <c r="N310">
        <f t="shared" si="24"/>
        <v>1</v>
      </c>
      <c r="O310">
        <f t="shared" si="25"/>
        <v>0</v>
      </c>
    </row>
    <row r="311" spans="1:15" hidden="1" x14ac:dyDescent="0.25">
      <c r="A311" t="s">
        <v>186</v>
      </c>
      <c r="B311" t="s">
        <v>125</v>
      </c>
      <c r="C311" t="s">
        <v>99</v>
      </c>
      <c r="D311" s="3">
        <v>42008</v>
      </c>
      <c r="E311" t="s">
        <v>65</v>
      </c>
      <c r="F311" t="s">
        <v>14</v>
      </c>
      <c r="G311" t="s">
        <v>136</v>
      </c>
      <c r="H311">
        <v>4</v>
      </c>
      <c r="I311">
        <v>1</v>
      </c>
      <c r="J311">
        <v>25</v>
      </c>
      <c r="K311" t="str">
        <f t="shared" si="21"/>
        <v>ColombiaEcuador</v>
      </c>
      <c r="L311" t="str">
        <f t="shared" si="22"/>
        <v>EcuadorColombia</v>
      </c>
      <c r="M311">
        <f t="shared" si="23"/>
        <v>1</v>
      </c>
      <c r="N311">
        <f t="shared" si="24"/>
        <v>0</v>
      </c>
      <c r="O311">
        <f t="shared" si="25"/>
        <v>0</v>
      </c>
    </row>
    <row r="312" spans="1:15" hidden="1" x14ac:dyDescent="0.25">
      <c r="A312" t="s">
        <v>187</v>
      </c>
      <c r="B312" t="s">
        <v>16</v>
      </c>
      <c r="C312" t="s">
        <v>19</v>
      </c>
      <c r="D312" s="2" t="s">
        <v>47</v>
      </c>
      <c r="E312" t="s">
        <v>65</v>
      </c>
      <c r="F312" t="s">
        <v>14</v>
      </c>
      <c r="G312" t="s">
        <v>21</v>
      </c>
      <c r="H312">
        <v>3</v>
      </c>
      <c r="I312">
        <v>0</v>
      </c>
      <c r="J312">
        <v>25</v>
      </c>
      <c r="K312" t="str">
        <f t="shared" si="21"/>
        <v>ArgentinaBrazil</v>
      </c>
      <c r="L312" t="str">
        <f t="shared" si="22"/>
        <v>BrazilArgentina</v>
      </c>
      <c r="M312">
        <f t="shared" si="23"/>
        <v>1</v>
      </c>
      <c r="N312">
        <f t="shared" si="24"/>
        <v>0</v>
      </c>
      <c r="O312">
        <f t="shared" si="25"/>
        <v>0</v>
      </c>
    </row>
    <row r="313" spans="1:15" hidden="1" x14ac:dyDescent="0.25">
      <c r="A313" t="s">
        <v>188</v>
      </c>
      <c r="B313" t="s">
        <v>16</v>
      </c>
      <c r="C313" t="s">
        <v>66</v>
      </c>
      <c r="D313" s="3">
        <v>42036</v>
      </c>
      <c r="E313" t="s">
        <v>65</v>
      </c>
      <c r="F313" t="s">
        <v>14</v>
      </c>
      <c r="G313" t="s">
        <v>72</v>
      </c>
      <c r="H313">
        <v>1</v>
      </c>
      <c r="I313">
        <v>2</v>
      </c>
      <c r="J313">
        <v>25</v>
      </c>
      <c r="K313" t="str">
        <f t="shared" si="21"/>
        <v>ArgentinaPeru</v>
      </c>
      <c r="L313" t="str">
        <f t="shared" si="22"/>
        <v>PeruArgentina</v>
      </c>
      <c r="M313">
        <f t="shared" si="23"/>
        <v>0</v>
      </c>
      <c r="N313">
        <f t="shared" si="24"/>
        <v>1</v>
      </c>
      <c r="O313">
        <f t="shared" si="25"/>
        <v>0</v>
      </c>
    </row>
    <row r="314" spans="1:15" hidden="1" x14ac:dyDescent="0.25">
      <c r="A314" s="1">
        <v>21616</v>
      </c>
      <c r="B314" t="s">
        <v>16</v>
      </c>
      <c r="C314" t="s">
        <v>10</v>
      </c>
      <c r="D314" s="3">
        <v>42010</v>
      </c>
      <c r="E314" t="s">
        <v>17</v>
      </c>
      <c r="F314" t="s">
        <v>14</v>
      </c>
      <c r="G314" t="s">
        <v>18</v>
      </c>
      <c r="H314">
        <v>6</v>
      </c>
      <c r="I314">
        <v>1</v>
      </c>
      <c r="J314">
        <v>26</v>
      </c>
      <c r="K314" t="str">
        <f t="shared" si="21"/>
        <v>ArgentinaChile</v>
      </c>
      <c r="L314" t="str">
        <f t="shared" si="22"/>
        <v>ChileArgentina</v>
      </c>
      <c r="M314">
        <f t="shared" si="23"/>
        <v>1</v>
      </c>
      <c r="N314">
        <f t="shared" si="24"/>
        <v>0</v>
      </c>
      <c r="O314">
        <f t="shared" si="25"/>
        <v>0</v>
      </c>
    </row>
    <row r="315" spans="1:15" hidden="1" x14ac:dyDescent="0.25">
      <c r="A315" s="1">
        <v>21617</v>
      </c>
      <c r="B315" t="s">
        <v>56</v>
      </c>
      <c r="C315" t="s">
        <v>11</v>
      </c>
      <c r="D315" s="2" t="s">
        <v>113</v>
      </c>
      <c r="E315" t="s">
        <v>13</v>
      </c>
      <c r="F315" t="s">
        <v>14</v>
      </c>
      <c r="G315" t="s">
        <v>64</v>
      </c>
      <c r="H315">
        <v>0</v>
      </c>
      <c r="I315">
        <v>7</v>
      </c>
      <c r="J315">
        <v>26</v>
      </c>
      <c r="K315" t="str">
        <f t="shared" si="21"/>
        <v>BoliviaUruguay</v>
      </c>
      <c r="L315" t="str">
        <f t="shared" si="22"/>
        <v>UruguayBolivia</v>
      </c>
      <c r="M315">
        <f t="shared" si="23"/>
        <v>0</v>
      </c>
      <c r="N315">
        <f t="shared" si="24"/>
        <v>1</v>
      </c>
      <c r="O315">
        <f t="shared" si="25"/>
        <v>0</v>
      </c>
    </row>
    <row r="316" spans="1:15" hidden="1" x14ac:dyDescent="0.25">
      <c r="A316" s="1">
        <v>21619</v>
      </c>
      <c r="B316" t="s">
        <v>66</v>
      </c>
      <c r="C316" t="s">
        <v>19</v>
      </c>
      <c r="D316" s="3">
        <v>42037</v>
      </c>
      <c r="E316" t="s">
        <v>73</v>
      </c>
      <c r="F316" t="s">
        <v>14</v>
      </c>
      <c r="G316" t="s">
        <v>83</v>
      </c>
      <c r="H316">
        <v>2</v>
      </c>
      <c r="I316">
        <v>2</v>
      </c>
      <c r="J316">
        <v>26</v>
      </c>
      <c r="K316" t="str">
        <f t="shared" si="21"/>
        <v>PeruBrazil</v>
      </c>
      <c r="L316" t="str">
        <f t="shared" si="22"/>
        <v>BrazilPeru</v>
      </c>
      <c r="M316">
        <f t="shared" si="23"/>
        <v>0</v>
      </c>
      <c r="N316">
        <f t="shared" si="24"/>
        <v>0</v>
      </c>
      <c r="O316">
        <f t="shared" si="25"/>
        <v>1</v>
      </c>
    </row>
    <row r="317" spans="1:15" hidden="1" x14ac:dyDescent="0.25">
      <c r="A317" s="1">
        <v>21620</v>
      </c>
      <c r="B317" t="s">
        <v>10</v>
      </c>
      <c r="C317" t="s">
        <v>43</v>
      </c>
      <c r="D317" s="3">
        <v>42036</v>
      </c>
      <c r="E317" t="s">
        <v>13</v>
      </c>
      <c r="F317" t="s">
        <v>14</v>
      </c>
      <c r="G317" t="s">
        <v>49</v>
      </c>
      <c r="H317">
        <v>1</v>
      </c>
      <c r="I317">
        <v>2</v>
      </c>
      <c r="J317">
        <v>26</v>
      </c>
      <c r="K317" t="str">
        <f t="shared" si="21"/>
        <v>ChileParaguay</v>
      </c>
      <c r="L317" t="str">
        <f t="shared" si="22"/>
        <v>ParaguayChile</v>
      </c>
      <c r="M317">
        <f t="shared" si="23"/>
        <v>0</v>
      </c>
      <c r="N317">
        <f t="shared" si="24"/>
        <v>1</v>
      </c>
      <c r="O317">
        <f t="shared" si="25"/>
        <v>0</v>
      </c>
    </row>
    <row r="318" spans="1:15" hidden="1" x14ac:dyDescent="0.25">
      <c r="A318" s="1">
        <v>21620</v>
      </c>
      <c r="B318" t="s">
        <v>16</v>
      </c>
      <c r="C318" t="s">
        <v>56</v>
      </c>
      <c r="D318" s="2" t="s">
        <v>42</v>
      </c>
      <c r="E318" t="s">
        <v>17</v>
      </c>
      <c r="F318" t="s">
        <v>14</v>
      </c>
      <c r="G318" t="s">
        <v>61</v>
      </c>
      <c r="H318">
        <v>2</v>
      </c>
      <c r="I318">
        <v>0</v>
      </c>
      <c r="J318">
        <v>26</v>
      </c>
      <c r="K318" t="str">
        <f t="shared" si="21"/>
        <v>ArgentinaBolivia</v>
      </c>
      <c r="L318" t="str">
        <f t="shared" si="22"/>
        <v>BoliviaArgentina</v>
      </c>
      <c r="M318">
        <f t="shared" si="23"/>
        <v>1</v>
      </c>
      <c r="N318">
        <f t="shared" si="24"/>
        <v>0</v>
      </c>
      <c r="O318">
        <f t="shared" si="25"/>
        <v>0</v>
      </c>
    </row>
    <row r="319" spans="1:15" hidden="1" x14ac:dyDescent="0.25">
      <c r="A319" s="1">
        <v>21623</v>
      </c>
      <c r="B319" t="s">
        <v>66</v>
      </c>
      <c r="C319" t="s">
        <v>11</v>
      </c>
      <c r="D319" s="3">
        <v>42068</v>
      </c>
      <c r="E319" t="s">
        <v>73</v>
      </c>
      <c r="F319" t="s">
        <v>14</v>
      </c>
      <c r="G319" t="s">
        <v>67</v>
      </c>
      <c r="H319">
        <v>5</v>
      </c>
      <c r="I319">
        <v>3</v>
      </c>
      <c r="J319">
        <v>26</v>
      </c>
      <c r="K319" t="str">
        <f t="shared" si="21"/>
        <v>PeruUruguay</v>
      </c>
      <c r="L319" t="str">
        <f t="shared" si="22"/>
        <v>UruguayPeru</v>
      </c>
      <c r="M319">
        <f t="shared" si="23"/>
        <v>1</v>
      </c>
      <c r="N319">
        <f t="shared" si="24"/>
        <v>0</v>
      </c>
      <c r="O319">
        <f t="shared" si="25"/>
        <v>0</v>
      </c>
    </row>
    <row r="320" spans="1:15" hidden="1" x14ac:dyDescent="0.25">
      <c r="A320" s="1">
        <v>21624</v>
      </c>
      <c r="B320" t="s">
        <v>56</v>
      </c>
      <c r="C320" t="s">
        <v>43</v>
      </c>
      <c r="D320" s="2" t="s">
        <v>32</v>
      </c>
      <c r="E320" t="s">
        <v>13</v>
      </c>
      <c r="F320" t="s">
        <v>14</v>
      </c>
      <c r="G320" t="s">
        <v>63</v>
      </c>
      <c r="H320">
        <v>0</v>
      </c>
      <c r="I320">
        <v>5</v>
      </c>
      <c r="J320">
        <v>26</v>
      </c>
      <c r="K320" t="str">
        <f t="shared" si="21"/>
        <v>BoliviaParaguay</v>
      </c>
      <c r="L320" t="str">
        <f t="shared" si="22"/>
        <v>ParaguayBolivia</v>
      </c>
      <c r="M320">
        <f t="shared" si="23"/>
        <v>0</v>
      </c>
      <c r="N320">
        <f t="shared" si="24"/>
        <v>1</v>
      </c>
      <c r="O320">
        <f t="shared" si="25"/>
        <v>0</v>
      </c>
    </row>
    <row r="321" spans="1:15" hidden="1" x14ac:dyDescent="0.25">
      <c r="A321" s="1">
        <v>21624</v>
      </c>
      <c r="B321" t="s">
        <v>10</v>
      </c>
      <c r="C321" t="s">
        <v>19</v>
      </c>
      <c r="D321" s="2" t="s">
        <v>45</v>
      </c>
      <c r="E321" t="s">
        <v>13</v>
      </c>
      <c r="F321" t="s">
        <v>14</v>
      </c>
      <c r="G321" t="s">
        <v>20</v>
      </c>
      <c r="H321">
        <v>0</v>
      </c>
      <c r="I321">
        <v>3</v>
      </c>
      <c r="J321">
        <v>26</v>
      </c>
      <c r="K321" t="str">
        <f t="shared" si="21"/>
        <v>ChileBrazil</v>
      </c>
      <c r="L321" t="str">
        <f t="shared" si="22"/>
        <v>BrazilChile</v>
      </c>
      <c r="M321">
        <f t="shared" si="23"/>
        <v>0</v>
      </c>
      <c r="N321">
        <f t="shared" si="24"/>
        <v>1</v>
      </c>
      <c r="O321">
        <f t="shared" si="25"/>
        <v>0</v>
      </c>
    </row>
    <row r="322" spans="1:15" hidden="1" x14ac:dyDescent="0.25">
      <c r="A322" s="1">
        <v>21627</v>
      </c>
      <c r="B322" t="s">
        <v>16</v>
      </c>
      <c r="C322" t="s">
        <v>66</v>
      </c>
      <c r="D322" s="3">
        <v>42007</v>
      </c>
      <c r="E322" t="s">
        <v>17</v>
      </c>
      <c r="F322" t="s">
        <v>14</v>
      </c>
      <c r="G322" t="s">
        <v>72</v>
      </c>
      <c r="H322">
        <v>3</v>
      </c>
      <c r="I322">
        <v>1</v>
      </c>
      <c r="J322">
        <v>26</v>
      </c>
      <c r="K322" t="str">
        <f t="shared" si="21"/>
        <v>ArgentinaPeru</v>
      </c>
      <c r="L322" t="str">
        <f t="shared" si="22"/>
        <v>PeruArgentina</v>
      </c>
      <c r="M322">
        <f t="shared" si="23"/>
        <v>1</v>
      </c>
      <c r="N322">
        <f t="shared" si="24"/>
        <v>0</v>
      </c>
      <c r="O322">
        <f t="shared" si="25"/>
        <v>0</v>
      </c>
    </row>
    <row r="323" spans="1:15" hidden="1" x14ac:dyDescent="0.25">
      <c r="A323" s="1">
        <v>21627</v>
      </c>
      <c r="B323" t="s">
        <v>43</v>
      </c>
      <c r="C323" t="s">
        <v>11</v>
      </c>
      <c r="D323" s="3">
        <v>42064</v>
      </c>
      <c r="E323" t="s">
        <v>13</v>
      </c>
      <c r="F323" t="s">
        <v>14</v>
      </c>
      <c r="G323" t="s">
        <v>44</v>
      </c>
      <c r="H323">
        <v>1</v>
      </c>
      <c r="I323">
        <v>3</v>
      </c>
      <c r="J323">
        <v>26</v>
      </c>
      <c r="K323" t="str">
        <f t="shared" ref="K323:K386" si="26">CONCATENATE(B323,C323)</f>
        <v>ParaguayUruguay</v>
      </c>
      <c r="L323" t="str">
        <f t="shared" ref="L323:L386" si="27">CONCATENATE(C323,B323)</f>
        <v>UruguayParaguay</v>
      </c>
      <c r="M323">
        <f t="shared" ref="M323:M386" si="28">IF(H323&gt;I323,1,0)</f>
        <v>0</v>
      </c>
      <c r="N323">
        <f t="shared" ref="N323:N386" si="29">IF(I323&gt;H323,1,0)</f>
        <v>1</v>
      </c>
      <c r="O323">
        <f t="shared" ref="O323:O386" si="30">IF(I323=H323,1,0)</f>
        <v>0</v>
      </c>
    </row>
    <row r="324" spans="1:15" hidden="1" x14ac:dyDescent="0.25">
      <c r="A324" s="1">
        <v>21630</v>
      </c>
      <c r="B324" t="s">
        <v>10</v>
      </c>
      <c r="C324" t="s">
        <v>66</v>
      </c>
      <c r="D324" s="3">
        <v>42005</v>
      </c>
      <c r="E324" t="s">
        <v>13</v>
      </c>
      <c r="F324" t="s">
        <v>14</v>
      </c>
      <c r="G324" t="s">
        <v>80</v>
      </c>
      <c r="H324">
        <v>1</v>
      </c>
      <c r="I324">
        <v>1</v>
      </c>
      <c r="J324">
        <v>26</v>
      </c>
      <c r="K324" t="str">
        <f t="shared" si="26"/>
        <v>ChilePeru</v>
      </c>
      <c r="L324" t="str">
        <f t="shared" si="27"/>
        <v>PeruChile</v>
      </c>
      <c r="M324">
        <f t="shared" si="28"/>
        <v>0</v>
      </c>
      <c r="N324">
        <f t="shared" si="29"/>
        <v>0</v>
      </c>
      <c r="O324">
        <f t="shared" si="30"/>
        <v>1</v>
      </c>
    </row>
    <row r="325" spans="1:15" hidden="1" x14ac:dyDescent="0.25">
      <c r="A325" s="1">
        <v>21630</v>
      </c>
      <c r="B325" t="s">
        <v>56</v>
      </c>
      <c r="C325" t="s">
        <v>19</v>
      </c>
      <c r="D325" s="3">
        <v>42096</v>
      </c>
      <c r="E325" t="s">
        <v>13</v>
      </c>
      <c r="F325" t="s">
        <v>14</v>
      </c>
      <c r="G325" t="s">
        <v>130</v>
      </c>
      <c r="H325">
        <v>2</v>
      </c>
      <c r="I325">
        <v>4</v>
      </c>
      <c r="J325">
        <v>26</v>
      </c>
      <c r="K325" t="str">
        <f t="shared" si="26"/>
        <v>BoliviaBrazil</v>
      </c>
      <c r="L325" t="str">
        <f t="shared" si="27"/>
        <v>BrazilBolivia</v>
      </c>
      <c r="M325">
        <f t="shared" si="28"/>
        <v>0</v>
      </c>
      <c r="N325">
        <f t="shared" si="29"/>
        <v>1</v>
      </c>
      <c r="O325">
        <f t="shared" si="30"/>
        <v>0</v>
      </c>
    </row>
    <row r="326" spans="1:15" hidden="1" x14ac:dyDescent="0.25">
      <c r="A326" s="1">
        <v>21631</v>
      </c>
      <c r="B326" t="s">
        <v>16</v>
      </c>
      <c r="C326" t="s">
        <v>43</v>
      </c>
      <c r="D326" s="3">
        <v>42007</v>
      </c>
      <c r="E326" t="s">
        <v>17</v>
      </c>
      <c r="F326" t="s">
        <v>14</v>
      </c>
      <c r="G326" t="s">
        <v>48</v>
      </c>
      <c r="H326">
        <v>3</v>
      </c>
      <c r="I326">
        <v>1</v>
      </c>
      <c r="J326">
        <v>26</v>
      </c>
      <c r="K326" t="str">
        <f t="shared" si="26"/>
        <v>ArgentinaParaguay</v>
      </c>
      <c r="L326" t="str">
        <f t="shared" si="27"/>
        <v>ParaguayArgentina</v>
      </c>
      <c r="M326">
        <f t="shared" si="28"/>
        <v>1</v>
      </c>
      <c r="N326">
        <f t="shared" si="29"/>
        <v>0</v>
      </c>
      <c r="O326">
        <f t="shared" si="30"/>
        <v>0</v>
      </c>
    </row>
    <row r="327" spans="1:15" x14ac:dyDescent="0.25">
      <c r="A327" s="1">
        <v>21635</v>
      </c>
      <c r="B327" t="s">
        <v>11</v>
      </c>
      <c r="C327" t="s">
        <v>19</v>
      </c>
      <c r="D327" s="3">
        <v>42064</v>
      </c>
      <c r="E327" t="s">
        <v>22</v>
      </c>
      <c r="F327" t="s">
        <v>14</v>
      </c>
      <c r="G327" t="s">
        <v>23</v>
      </c>
      <c r="H327">
        <v>1</v>
      </c>
      <c r="I327">
        <v>3</v>
      </c>
      <c r="J327">
        <v>26</v>
      </c>
      <c r="K327" t="str">
        <f t="shared" si="26"/>
        <v>UruguayBrazil</v>
      </c>
      <c r="L327" t="str">
        <f t="shared" si="27"/>
        <v>BrazilUruguay</v>
      </c>
      <c r="M327">
        <f t="shared" si="28"/>
        <v>0</v>
      </c>
      <c r="N327">
        <f t="shared" si="29"/>
        <v>1</v>
      </c>
      <c r="O327">
        <f t="shared" si="30"/>
        <v>0</v>
      </c>
    </row>
    <row r="328" spans="1:15" hidden="1" x14ac:dyDescent="0.25">
      <c r="A328" s="1">
        <v>21635</v>
      </c>
      <c r="B328" t="s">
        <v>56</v>
      </c>
      <c r="C328" t="s">
        <v>10</v>
      </c>
      <c r="D328" s="3">
        <v>42126</v>
      </c>
      <c r="E328" t="s">
        <v>13</v>
      </c>
      <c r="F328" t="s">
        <v>14</v>
      </c>
      <c r="G328" t="s">
        <v>58</v>
      </c>
      <c r="H328">
        <v>2</v>
      </c>
      <c r="I328">
        <v>5</v>
      </c>
      <c r="J328">
        <v>26</v>
      </c>
      <c r="K328" t="str">
        <f t="shared" si="26"/>
        <v>BoliviaChile</v>
      </c>
      <c r="L328" t="str">
        <f t="shared" si="27"/>
        <v>ChileBolivia</v>
      </c>
      <c r="M328">
        <f t="shared" si="28"/>
        <v>0</v>
      </c>
      <c r="N328">
        <f t="shared" si="29"/>
        <v>1</v>
      </c>
      <c r="O328">
        <f t="shared" si="30"/>
        <v>0</v>
      </c>
    </row>
    <row r="329" spans="1:15" hidden="1" x14ac:dyDescent="0.25">
      <c r="A329" s="1">
        <v>21638</v>
      </c>
      <c r="B329" t="s">
        <v>56</v>
      </c>
      <c r="C329" t="s">
        <v>66</v>
      </c>
      <c r="D329" s="2" t="s">
        <v>24</v>
      </c>
      <c r="E329" t="s">
        <v>13</v>
      </c>
      <c r="F329" t="s">
        <v>14</v>
      </c>
      <c r="G329" t="s">
        <v>71</v>
      </c>
      <c r="H329">
        <v>0</v>
      </c>
      <c r="I329">
        <v>0</v>
      </c>
      <c r="J329">
        <v>26</v>
      </c>
      <c r="K329" t="str">
        <f t="shared" si="26"/>
        <v>BoliviaPeru</v>
      </c>
      <c r="L329" t="str">
        <f t="shared" si="27"/>
        <v>PeruBolivia</v>
      </c>
      <c r="M329">
        <f t="shared" si="28"/>
        <v>0</v>
      </c>
      <c r="N329">
        <f t="shared" si="29"/>
        <v>0</v>
      </c>
      <c r="O329">
        <f t="shared" si="30"/>
        <v>1</v>
      </c>
    </row>
    <row r="330" spans="1:15" hidden="1" x14ac:dyDescent="0.25">
      <c r="A330" s="1">
        <v>21638</v>
      </c>
      <c r="B330" t="s">
        <v>43</v>
      </c>
      <c r="C330" t="s">
        <v>19</v>
      </c>
      <c r="D330" s="3">
        <v>42095</v>
      </c>
      <c r="E330" t="s">
        <v>13</v>
      </c>
      <c r="F330" t="s">
        <v>14</v>
      </c>
      <c r="G330" t="s">
        <v>46</v>
      </c>
      <c r="H330">
        <v>1</v>
      </c>
      <c r="I330">
        <v>4</v>
      </c>
      <c r="J330">
        <v>26</v>
      </c>
      <c r="K330" t="str">
        <f t="shared" si="26"/>
        <v>ParaguayBrazil</v>
      </c>
      <c r="L330" t="str">
        <f t="shared" si="27"/>
        <v>BrazilParaguay</v>
      </c>
      <c r="M330">
        <f t="shared" si="28"/>
        <v>0</v>
      </c>
      <c r="N330">
        <f t="shared" si="29"/>
        <v>1</v>
      </c>
      <c r="O330">
        <f t="shared" si="30"/>
        <v>0</v>
      </c>
    </row>
    <row r="331" spans="1:15" hidden="1" x14ac:dyDescent="0.25">
      <c r="A331" s="1">
        <v>21639</v>
      </c>
      <c r="B331" t="s">
        <v>16</v>
      </c>
      <c r="C331" t="s">
        <v>11</v>
      </c>
      <c r="D331" s="3">
        <v>42008</v>
      </c>
      <c r="E331" t="s">
        <v>17</v>
      </c>
      <c r="F331" t="s">
        <v>14</v>
      </c>
      <c r="G331" t="s">
        <v>26</v>
      </c>
      <c r="H331">
        <v>4</v>
      </c>
      <c r="I331">
        <v>1</v>
      </c>
      <c r="J331">
        <v>26</v>
      </c>
      <c r="K331" t="str">
        <f t="shared" si="26"/>
        <v>ArgentinaUruguay</v>
      </c>
      <c r="L331" t="str">
        <f t="shared" si="27"/>
        <v>UruguayArgentina</v>
      </c>
      <c r="M331">
        <f t="shared" si="28"/>
        <v>1</v>
      </c>
      <c r="N331">
        <f t="shared" si="29"/>
        <v>0</v>
      </c>
      <c r="O331">
        <f t="shared" si="30"/>
        <v>0</v>
      </c>
    </row>
    <row r="332" spans="1:15" hidden="1" x14ac:dyDescent="0.25">
      <c r="A332" t="s">
        <v>189</v>
      </c>
      <c r="B332" t="s">
        <v>10</v>
      </c>
      <c r="C332" t="s">
        <v>11</v>
      </c>
      <c r="D332" s="2" t="s">
        <v>29</v>
      </c>
      <c r="E332" t="s">
        <v>13</v>
      </c>
      <c r="F332" t="s">
        <v>14</v>
      </c>
      <c r="G332" t="s">
        <v>15</v>
      </c>
      <c r="H332">
        <v>1</v>
      </c>
      <c r="I332">
        <v>0</v>
      </c>
      <c r="J332">
        <v>26</v>
      </c>
      <c r="K332" t="str">
        <f t="shared" si="26"/>
        <v>ChileUruguay</v>
      </c>
      <c r="L332" t="str">
        <f t="shared" si="27"/>
        <v>UruguayChile</v>
      </c>
      <c r="M332">
        <f t="shared" si="28"/>
        <v>1</v>
      </c>
      <c r="N332">
        <f t="shared" si="29"/>
        <v>0</v>
      </c>
      <c r="O332">
        <f t="shared" si="30"/>
        <v>0</v>
      </c>
    </row>
    <row r="333" spans="1:15" hidden="1" x14ac:dyDescent="0.25">
      <c r="A333" t="s">
        <v>189</v>
      </c>
      <c r="B333" t="s">
        <v>43</v>
      </c>
      <c r="C333" t="s">
        <v>66</v>
      </c>
      <c r="D333" s="3">
        <v>42006</v>
      </c>
      <c r="E333" t="s">
        <v>13</v>
      </c>
      <c r="F333" t="s">
        <v>14</v>
      </c>
      <c r="G333" t="s">
        <v>74</v>
      </c>
      <c r="H333">
        <v>2</v>
      </c>
      <c r="I333">
        <v>1</v>
      </c>
      <c r="J333">
        <v>26</v>
      </c>
      <c r="K333" t="str">
        <f t="shared" si="26"/>
        <v>ParaguayPeru</v>
      </c>
      <c r="L333" t="str">
        <f t="shared" si="27"/>
        <v>PeruParaguay</v>
      </c>
      <c r="M333">
        <f t="shared" si="28"/>
        <v>1</v>
      </c>
      <c r="N333">
        <f t="shared" si="29"/>
        <v>0</v>
      </c>
      <c r="O333">
        <f t="shared" si="30"/>
        <v>0</v>
      </c>
    </row>
    <row r="334" spans="1:15" hidden="1" x14ac:dyDescent="0.25">
      <c r="A334" t="s">
        <v>190</v>
      </c>
      <c r="B334" t="s">
        <v>16</v>
      </c>
      <c r="C334" t="s">
        <v>19</v>
      </c>
      <c r="D334" s="3">
        <v>42005</v>
      </c>
      <c r="E334" t="s">
        <v>17</v>
      </c>
      <c r="F334" t="s">
        <v>14</v>
      </c>
      <c r="G334" t="s">
        <v>21</v>
      </c>
      <c r="H334">
        <v>1</v>
      </c>
      <c r="I334">
        <v>1</v>
      </c>
      <c r="J334">
        <v>26</v>
      </c>
      <c r="K334" t="str">
        <f t="shared" si="26"/>
        <v>ArgentinaBrazil</v>
      </c>
      <c r="L334" t="str">
        <f t="shared" si="27"/>
        <v>BrazilArgentina</v>
      </c>
      <c r="M334">
        <f t="shared" si="28"/>
        <v>0</v>
      </c>
      <c r="N334">
        <f t="shared" si="29"/>
        <v>0</v>
      </c>
      <c r="O334">
        <f t="shared" si="30"/>
        <v>1</v>
      </c>
    </row>
    <row r="335" spans="1:15" hidden="1" x14ac:dyDescent="0.25">
      <c r="A335" t="s">
        <v>191</v>
      </c>
      <c r="B335" t="s">
        <v>43</v>
      </c>
      <c r="C335" t="s">
        <v>19</v>
      </c>
      <c r="D335" s="3">
        <v>42065</v>
      </c>
      <c r="E335" t="s">
        <v>144</v>
      </c>
      <c r="F335" t="s">
        <v>14</v>
      </c>
      <c r="G335" t="s">
        <v>46</v>
      </c>
      <c r="H335">
        <v>2</v>
      </c>
      <c r="I335">
        <v>3</v>
      </c>
      <c r="J335">
        <v>27</v>
      </c>
      <c r="K335" t="str">
        <f t="shared" si="26"/>
        <v>ParaguayBrazil</v>
      </c>
      <c r="L335" t="str">
        <f t="shared" si="27"/>
        <v>BrazilParaguay</v>
      </c>
      <c r="M335">
        <f t="shared" si="28"/>
        <v>0</v>
      </c>
      <c r="N335">
        <f t="shared" si="29"/>
        <v>1</v>
      </c>
      <c r="O335">
        <f t="shared" si="30"/>
        <v>0</v>
      </c>
    </row>
    <row r="336" spans="1:15" hidden="1" x14ac:dyDescent="0.25">
      <c r="A336" t="s">
        <v>192</v>
      </c>
      <c r="B336" t="s">
        <v>99</v>
      </c>
      <c r="C336" t="s">
        <v>11</v>
      </c>
      <c r="D336" s="2" t="s">
        <v>12</v>
      </c>
      <c r="E336" t="s">
        <v>146</v>
      </c>
      <c r="F336" t="s">
        <v>14</v>
      </c>
      <c r="G336" t="s">
        <v>102</v>
      </c>
      <c r="H336">
        <v>0</v>
      </c>
      <c r="I336">
        <v>4</v>
      </c>
      <c r="J336">
        <v>27</v>
      </c>
      <c r="K336" t="str">
        <f t="shared" si="26"/>
        <v>EcuadorUruguay</v>
      </c>
      <c r="L336" t="str">
        <f t="shared" si="27"/>
        <v>UruguayEcuador</v>
      </c>
      <c r="M336">
        <f t="shared" si="28"/>
        <v>0</v>
      </c>
      <c r="N336">
        <f t="shared" si="29"/>
        <v>1</v>
      </c>
      <c r="O336">
        <f t="shared" si="30"/>
        <v>0</v>
      </c>
    </row>
    <row r="337" spans="1:15" hidden="1" x14ac:dyDescent="0.25">
      <c r="A337" t="s">
        <v>193</v>
      </c>
      <c r="B337" t="s">
        <v>16</v>
      </c>
      <c r="C337" t="s">
        <v>43</v>
      </c>
      <c r="D337" s="3">
        <v>42039</v>
      </c>
      <c r="E337" t="s">
        <v>146</v>
      </c>
      <c r="F337" t="s">
        <v>14</v>
      </c>
      <c r="G337" t="s">
        <v>48</v>
      </c>
      <c r="H337">
        <v>4</v>
      </c>
      <c r="I337">
        <v>2</v>
      </c>
      <c r="J337">
        <v>27</v>
      </c>
      <c r="K337" t="str">
        <f t="shared" si="26"/>
        <v>ArgentinaParaguay</v>
      </c>
      <c r="L337" t="str">
        <f t="shared" si="27"/>
        <v>ParaguayArgentina</v>
      </c>
      <c r="M337">
        <f t="shared" si="28"/>
        <v>1</v>
      </c>
      <c r="N337">
        <f t="shared" si="29"/>
        <v>0</v>
      </c>
      <c r="O337">
        <f t="shared" si="30"/>
        <v>0</v>
      </c>
    </row>
    <row r="338" spans="1:15" hidden="1" x14ac:dyDescent="0.25">
      <c r="A338" t="s">
        <v>194</v>
      </c>
      <c r="B338" t="s">
        <v>16</v>
      </c>
      <c r="C338" t="s">
        <v>99</v>
      </c>
      <c r="D338" s="3">
        <v>42005</v>
      </c>
      <c r="E338" t="s">
        <v>146</v>
      </c>
      <c r="F338" t="s">
        <v>14</v>
      </c>
      <c r="G338" t="s">
        <v>106</v>
      </c>
      <c r="H338">
        <v>1</v>
      </c>
      <c r="I338">
        <v>1</v>
      </c>
      <c r="J338">
        <v>27</v>
      </c>
      <c r="K338" t="str">
        <f t="shared" si="26"/>
        <v>ArgentinaEcuador</v>
      </c>
      <c r="L338" t="str">
        <f t="shared" si="27"/>
        <v>EcuadorArgentina</v>
      </c>
      <c r="M338">
        <f t="shared" si="28"/>
        <v>0</v>
      </c>
      <c r="N338">
        <f t="shared" si="29"/>
        <v>0</v>
      </c>
      <c r="O338">
        <f t="shared" si="30"/>
        <v>1</v>
      </c>
    </row>
    <row r="339" spans="1:15" x14ac:dyDescent="0.25">
      <c r="A339" t="s">
        <v>194</v>
      </c>
      <c r="B339" t="s">
        <v>11</v>
      </c>
      <c r="C339" t="s">
        <v>19</v>
      </c>
      <c r="D339" s="2" t="s">
        <v>47</v>
      </c>
      <c r="E339" t="s">
        <v>195</v>
      </c>
      <c r="F339" t="s">
        <v>14</v>
      </c>
      <c r="G339" t="s">
        <v>23</v>
      </c>
      <c r="H339">
        <v>3</v>
      </c>
      <c r="I339">
        <v>0</v>
      </c>
      <c r="J339">
        <v>27</v>
      </c>
      <c r="K339" t="str">
        <f t="shared" si="26"/>
        <v>UruguayBrazil</v>
      </c>
      <c r="L339" t="str">
        <f t="shared" si="27"/>
        <v>BrazilUruguay</v>
      </c>
      <c r="M339">
        <f t="shared" si="28"/>
        <v>1</v>
      </c>
      <c r="N339">
        <f t="shared" si="29"/>
        <v>0</v>
      </c>
      <c r="O339">
        <f t="shared" si="30"/>
        <v>0</v>
      </c>
    </row>
    <row r="340" spans="1:15" hidden="1" x14ac:dyDescent="0.25">
      <c r="A340" t="s">
        <v>196</v>
      </c>
      <c r="B340" t="s">
        <v>16</v>
      </c>
      <c r="C340" t="s">
        <v>11</v>
      </c>
      <c r="D340" s="2" t="s">
        <v>32</v>
      </c>
      <c r="E340" t="s">
        <v>146</v>
      </c>
      <c r="F340" t="s">
        <v>14</v>
      </c>
      <c r="G340" t="s">
        <v>26</v>
      </c>
      <c r="H340">
        <v>0</v>
      </c>
      <c r="I340">
        <v>5</v>
      </c>
      <c r="J340">
        <v>27</v>
      </c>
      <c r="K340" t="str">
        <f t="shared" si="26"/>
        <v>ArgentinaUruguay</v>
      </c>
      <c r="L340" t="str">
        <f t="shared" si="27"/>
        <v>UruguayArgentina</v>
      </c>
      <c r="M340">
        <f t="shared" si="28"/>
        <v>0</v>
      </c>
      <c r="N340">
        <f t="shared" si="29"/>
        <v>1</v>
      </c>
      <c r="O340">
        <f t="shared" si="30"/>
        <v>0</v>
      </c>
    </row>
    <row r="341" spans="1:15" hidden="1" x14ac:dyDescent="0.25">
      <c r="A341" t="s">
        <v>197</v>
      </c>
      <c r="B341" t="s">
        <v>99</v>
      </c>
      <c r="C341" t="s">
        <v>19</v>
      </c>
      <c r="D341" s="3">
        <v>42064</v>
      </c>
      <c r="E341" t="s">
        <v>146</v>
      </c>
      <c r="F341" t="s">
        <v>14</v>
      </c>
      <c r="G341" t="s">
        <v>121</v>
      </c>
      <c r="H341">
        <v>1</v>
      </c>
      <c r="I341">
        <v>3</v>
      </c>
      <c r="J341">
        <v>27</v>
      </c>
      <c r="K341" t="str">
        <f t="shared" si="26"/>
        <v>EcuadorBrazil</v>
      </c>
      <c r="L341" t="str">
        <f t="shared" si="27"/>
        <v>BrazilEcuador</v>
      </c>
      <c r="M341">
        <f t="shared" si="28"/>
        <v>0</v>
      </c>
      <c r="N341">
        <f t="shared" si="29"/>
        <v>1</v>
      </c>
      <c r="O341">
        <f t="shared" si="30"/>
        <v>0</v>
      </c>
    </row>
    <row r="342" spans="1:15" hidden="1" x14ac:dyDescent="0.25">
      <c r="A342" t="s">
        <v>198</v>
      </c>
      <c r="B342" t="s">
        <v>43</v>
      </c>
      <c r="C342" t="s">
        <v>11</v>
      </c>
      <c r="D342" s="3">
        <v>42005</v>
      </c>
      <c r="E342" t="s">
        <v>144</v>
      </c>
      <c r="F342" t="s">
        <v>14</v>
      </c>
      <c r="G342" t="s">
        <v>44</v>
      </c>
      <c r="H342">
        <v>1</v>
      </c>
      <c r="I342">
        <v>1</v>
      </c>
      <c r="J342">
        <v>27</v>
      </c>
      <c r="K342" t="str">
        <f t="shared" si="26"/>
        <v>ParaguayUruguay</v>
      </c>
      <c r="L342" t="str">
        <f t="shared" si="27"/>
        <v>UruguayParaguay</v>
      </c>
      <c r="M342">
        <f t="shared" si="28"/>
        <v>0</v>
      </c>
      <c r="N342">
        <f t="shared" si="29"/>
        <v>0</v>
      </c>
      <c r="O342">
        <f t="shared" si="30"/>
        <v>1</v>
      </c>
    </row>
    <row r="343" spans="1:15" hidden="1" x14ac:dyDescent="0.25">
      <c r="A343" t="s">
        <v>198</v>
      </c>
      <c r="B343" t="s">
        <v>16</v>
      </c>
      <c r="C343" t="s">
        <v>19</v>
      </c>
      <c r="D343" s="3">
        <v>42008</v>
      </c>
      <c r="E343" t="s">
        <v>146</v>
      </c>
      <c r="F343" t="s">
        <v>14</v>
      </c>
      <c r="G343" t="s">
        <v>21</v>
      </c>
      <c r="H343">
        <v>4</v>
      </c>
      <c r="I343">
        <v>1</v>
      </c>
      <c r="J343">
        <v>27</v>
      </c>
      <c r="K343" t="str">
        <f t="shared" si="26"/>
        <v>ArgentinaBrazil</v>
      </c>
      <c r="L343" t="str">
        <f t="shared" si="27"/>
        <v>BrazilArgentina</v>
      </c>
      <c r="M343">
        <f t="shared" si="28"/>
        <v>1</v>
      </c>
      <c r="N343">
        <f t="shared" si="29"/>
        <v>0</v>
      </c>
      <c r="O343">
        <f t="shared" si="30"/>
        <v>0</v>
      </c>
    </row>
    <row r="344" spans="1:15" hidden="1" x14ac:dyDescent="0.25">
      <c r="A344" t="s">
        <v>199</v>
      </c>
      <c r="B344" t="s">
        <v>99</v>
      </c>
      <c r="C344" t="s">
        <v>43</v>
      </c>
      <c r="D344" s="3">
        <v>42007</v>
      </c>
      <c r="E344" t="s">
        <v>146</v>
      </c>
      <c r="F344" t="s">
        <v>14</v>
      </c>
      <c r="G344" t="s">
        <v>105</v>
      </c>
      <c r="H344">
        <v>3</v>
      </c>
      <c r="I344">
        <v>1</v>
      </c>
      <c r="J344">
        <v>27</v>
      </c>
      <c r="K344" t="str">
        <f t="shared" si="26"/>
        <v>EcuadorParaguay</v>
      </c>
      <c r="L344" t="str">
        <f t="shared" si="27"/>
        <v>ParaguayEcuador</v>
      </c>
      <c r="M344">
        <f t="shared" si="28"/>
        <v>1</v>
      </c>
      <c r="N344">
        <f t="shared" si="29"/>
        <v>0</v>
      </c>
      <c r="O344">
        <f t="shared" si="30"/>
        <v>0</v>
      </c>
    </row>
    <row r="345" spans="1:15" hidden="1" x14ac:dyDescent="0.25">
      <c r="A345" s="1">
        <v>23080</v>
      </c>
      <c r="B345" t="s">
        <v>66</v>
      </c>
      <c r="C345" t="s">
        <v>19</v>
      </c>
      <c r="D345" s="2" t="s">
        <v>33</v>
      </c>
      <c r="E345" t="s">
        <v>200</v>
      </c>
      <c r="F345" t="s">
        <v>14</v>
      </c>
      <c r="G345" t="s">
        <v>83</v>
      </c>
      <c r="H345">
        <v>0</v>
      </c>
      <c r="I345">
        <v>1</v>
      </c>
      <c r="J345">
        <v>28</v>
      </c>
      <c r="K345" t="str">
        <f t="shared" si="26"/>
        <v>PeruBrazil</v>
      </c>
      <c r="L345" t="str">
        <f t="shared" si="27"/>
        <v>BrazilPeru</v>
      </c>
      <c r="M345">
        <f t="shared" si="28"/>
        <v>0</v>
      </c>
      <c r="N345">
        <f t="shared" si="29"/>
        <v>1</v>
      </c>
      <c r="O345">
        <f t="shared" si="30"/>
        <v>0</v>
      </c>
    </row>
    <row r="346" spans="1:15" hidden="1" x14ac:dyDescent="0.25">
      <c r="A346" s="1">
        <v>23080</v>
      </c>
      <c r="B346" t="s">
        <v>16</v>
      </c>
      <c r="C346" t="s">
        <v>125</v>
      </c>
      <c r="D346" s="3">
        <v>42039</v>
      </c>
      <c r="E346" t="s">
        <v>200</v>
      </c>
      <c r="F346" t="s">
        <v>14</v>
      </c>
      <c r="G346" t="s">
        <v>133</v>
      </c>
      <c r="H346">
        <v>4</v>
      </c>
      <c r="I346">
        <v>2</v>
      </c>
      <c r="J346">
        <v>28</v>
      </c>
      <c r="K346" t="str">
        <f t="shared" si="26"/>
        <v>ArgentinaColombia</v>
      </c>
      <c r="L346" t="str">
        <f t="shared" si="27"/>
        <v>ColombiaArgentina</v>
      </c>
      <c r="M346">
        <f t="shared" si="28"/>
        <v>1</v>
      </c>
      <c r="N346">
        <f t="shared" si="29"/>
        <v>0</v>
      </c>
      <c r="O346">
        <f t="shared" si="30"/>
        <v>0</v>
      </c>
    </row>
    <row r="347" spans="1:15" hidden="1" x14ac:dyDescent="0.25">
      <c r="A347" s="1">
        <v>23080</v>
      </c>
      <c r="B347" t="s">
        <v>56</v>
      </c>
      <c r="C347" t="s">
        <v>99</v>
      </c>
      <c r="D347" s="3">
        <v>42098</v>
      </c>
      <c r="E347" t="s">
        <v>201</v>
      </c>
      <c r="F347" t="s">
        <v>14</v>
      </c>
      <c r="G347" t="s">
        <v>135</v>
      </c>
      <c r="H347">
        <v>4</v>
      </c>
      <c r="I347">
        <v>4</v>
      </c>
      <c r="J347">
        <v>28</v>
      </c>
      <c r="K347" t="str">
        <f t="shared" si="26"/>
        <v>BoliviaEcuador</v>
      </c>
      <c r="L347" t="str">
        <f t="shared" si="27"/>
        <v>EcuadorBolivia</v>
      </c>
      <c r="M347">
        <f t="shared" si="28"/>
        <v>0</v>
      </c>
      <c r="N347">
        <f t="shared" si="29"/>
        <v>0</v>
      </c>
      <c r="O347">
        <f t="shared" si="30"/>
        <v>1</v>
      </c>
    </row>
    <row r="348" spans="1:15" hidden="1" x14ac:dyDescent="0.25">
      <c r="A348" s="1">
        <v>23083</v>
      </c>
      <c r="B348" t="s">
        <v>16</v>
      </c>
      <c r="C348" t="s">
        <v>66</v>
      </c>
      <c r="D348" s="3">
        <v>42036</v>
      </c>
      <c r="E348" t="s">
        <v>200</v>
      </c>
      <c r="F348" t="s">
        <v>14</v>
      </c>
      <c r="G348" t="s">
        <v>72</v>
      </c>
      <c r="H348">
        <v>1</v>
      </c>
      <c r="I348">
        <v>2</v>
      </c>
      <c r="J348">
        <v>28</v>
      </c>
      <c r="K348" t="str">
        <f t="shared" si="26"/>
        <v>ArgentinaPeru</v>
      </c>
      <c r="L348" t="str">
        <f t="shared" si="27"/>
        <v>PeruArgentina</v>
      </c>
      <c r="M348">
        <f t="shared" si="28"/>
        <v>0</v>
      </c>
      <c r="N348">
        <f t="shared" si="29"/>
        <v>1</v>
      </c>
      <c r="O348">
        <f t="shared" si="30"/>
        <v>0</v>
      </c>
    </row>
    <row r="349" spans="1:15" hidden="1" x14ac:dyDescent="0.25">
      <c r="A349" s="1">
        <v>23084</v>
      </c>
      <c r="B349" t="s">
        <v>99</v>
      </c>
      <c r="C349" t="s">
        <v>43</v>
      </c>
      <c r="D349" s="3">
        <v>42064</v>
      </c>
      <c r="E349" t="s">
        <v>202</v>
      </c>
      <c r="F349" t="s">
        <v>14</v>
      </c>
      <c r="G349" t="s">
        <v>105</v>
      </c>
      <c r="H349">
        <v>1</v>
      </c>
      <c r="I349">
        <v>3</v>
      </c>
      <c r="J349">
        <v>28</v>
      </c>
      <c r="K349" t="str">
        <f t="shared" si="26"/>
        <v>EcuadorParaguay</v>
      </c>
      <c r="L349" t="str">
        <f t="shared" si="27"/>
        <v>ParaguayEcuador</v>
      </c>
      <c r="M349">
        <f t="shared" si="28"/>
        <v>0</v>
      </c>
      <c r="N349">
        <f t="shared" si="29"/>
        <v>1</v>
      </c>
      <c r="O349">
        <f t="shared" si="30"/>
        <v>0</v>
      </c>
    </row>
    <row r="350" spans="1:15" hidden="1" x14ac:dyDescent="0.25">
      <c r="A350" s="1">
        <v>23084</v>
      </c>
      <c r="B350" t="s">
        <v>125</v>
      </c>
      <c r="C350" t="s">
        <v>19</v>
      </c>
      <c r="D350" s="3">
        <v>42125</v>
      </c>
      <c r="E350" t="s">
        <v>201</v>
      </c>
      <c r="F350" t="s">
        <v>14</v>
      </c>
      <c r="G350" t="s">
        <v>126</v>
      </c>
      <c r="H350">
        <v>1</v>
      </c>
      <c r="I350">
        <v>5</v>
      </c>
      <c r="J350">
        <v>28</v>
      </c>
      <c r="K350" t="str">
        <f t="shared" si="26"/>
        <v>ColombiaBrazil</v>
      </c>
      <c r="L350" t="str">
        <f t="shared" si="27"/>
        <v>BrazilColombia</v>
      </c>
      <c r="M350">
        <f t="shared" si="28"/>
        <v>0</v>
      </c>
      <c r="N350">
        <f t="shared" si="29"/>
        <v>1</v>
      </c>
      <c r="O350">
        <f t="shared" si="30"/>
        <v>0</v>
      </c>
    </row>
    <row r="351" spans="1:15" hidden="1" x14ac:dyDescent="0.25">
      <c r="A351" s="1">
        <v>23087</v>
      </c>
      <c r="B351" t="s">
        <v>43</v>
      </c>
      <c r="C351" t="s">
        <v>19</v>
      </c>
      <c r="D351" s="2" t="s">
        <v>42</v>
      </c>
      <c r="E351" t="s">
        <v>202</v>
      </c>
      <c r="F351" t="s">
        <v>14</v>
      </c>
      <c r="G351" t="s">
        <v>46</v>
      </c>
      <c r="H351">
        <v>2</v>
      </c>
      <c r="I351">
        <v>0</v>
      </c>
      <c r="J351">
        <v>28</v>
      </c>
      <c r="K351" t="str">
        <f t="shared" si="26"/>
        <v>ParaguayBrazil</v>
      </c>
      <c r="L351" t="str">
        <f t="shared" si="27"/>
        <v>BrazilParaguay</v>
      </c>
      <c r="M351">
        <f t="shared" si="28"/>
        <v>1</v>
      </c>
      <c r="N351">
        <f t="shared" si="29"/>
        <v>0</v>
      </c>
      <c r="O351">
        <f t="shared" si="30"/>
        <v>0</v>
      </c>
    </row>
    <row r="352" spans="1:15" hidden="1" x14ac:dyDescent="0.25">
      <c r="A352" s="1">
        <v>23087</v>
      </c>
      <c r="B352" t="s">
        <v>56</v>
      </c>
      <c r="C352" t="s">
        <v>125</v>
      </c>
      <c r="D352" s="3">
        <v>42006</v>
      </c>
      <c r="E352" t="s">
        <v>200</v>
      </c>
      <c r="F352" t="s">
        <v>14</v>
      </c>
      <c r="G352" t="s">
        <v>137</v>
      </c>
      <c r="H352">
        <v>2</v>
      </c>
      <c r="I352">
        <v>1</v>
      </c>
      <c r="J352">
        <v>28</v>
      </c>
      <c r="K352" t="str">
        <f t="shared" si="26"/>
        <v>BoliviaColombia</v>
      </c>
      <c r="L352" t="str">
        <f t="shared" si="27"/>
        <v>ColombiaBolivia</v>
      </c>
      <c r="M352">
        <f t="shared" si="28"/>
        <v>1</v>
      </c>
      <c r="N352">
        <f t="shared" si="29"/>
        <v>0</v>
      </c>
      <c r="O352">
        <f t="shared" si="30"/>
        <v>0</v>
      </c>
    </row>
    <row r="353" spans="1:15" hidden="1" x14ac:dyDescent="0.25">
      <c r="A353" s="1">
        <v>23087</v>
      </c>
      <c r="B353" t="s">
        <v>99</v>
      </c>
      <c r="C353" t="s">
        <v>66</v>
      </c>
      <c r="D353" s="3">
        <v>42036</v>
      </c>
      <c r="E353" t="s">
        <v>202</v>
      </c>
      <c r="F353" t="s">
        <v>14</v>
      </c>
      <c r="G353" t="s">
        <v>100</v>
      </c>
      <c r="H353">
        <v>1</v>
      </c>
      <c r="I353">
        <v>2</v>
      </c>
      <c r="J353">
        <v>28</v>
      </c>
      <c r="K353" t="str">
        <f t="shared" si="26"/>
        <v>EcuadorPeru</v>
      </c>
      <c r="L353" t="str">
        <f t="shared" si="27"/>
        <v>PeruEcuador</v>
      </c>
      <c r="M353">
        <f t="shared" si="28"/>
        <v>0</v>
      </c>
      <c r="N353">
        <f t="shared" si="29"/>
        <v>1</v>
      </c>
      <c r="O353">
        <f t="shared" si="30"/>
        <v>0</v>
      </c>
    </row>
    <row r="354" spans="1:15" hidden="1" x14ac:dyDescent="0.25">
      <c r="A354" s="1">
        <v>23090</v>
      </c>
      <c r="B354" t="s">
        <v>16</v>
      </c>
      <c r="C354" t="s">
        <v>99</v>
      </c>
      <c r="D354" s="3">
        <v>42039</v>
      </c>
      <c r="E354" t="s">
        <v>200</v>
      </c>
      <c r="F354" t="s">
        <v>14</v>
      </c>
      <c r="G354" t="s">
        <v>106</v>
      </c>
      <c r="H354">
        <v>4</v>
      </c>
      <c r="I354">
        <v>2</v>
      </c>
      <c r="J354">
        <v>28</v>
      </c>
      <c r="K354" t="str">
        <f t="shared" si="26"/>
        <v>ArgentinaEcuador</v>
      </c>
      <c r="L354" t="str">
        <f t="shared" si="27"/>
        <v>EcuadorArgentina</v>
      </c>
      <c r="M354">
        <f t="shared" si="28"/>
        <v>1</v>
      </c>
      <c r="N354">
        <f t="shared" si="29"/>
        <v>0</v>
      </c>
      <c r="O354">
        <f t="shared" si="30"/>
        <v>0</v>
      </c>
    </row>
    <row r="355" spans="1:15" hidden="1" x14ac:dyDescent="0.25">
      <c r="A355" s="1">
        <v>23090</v>
      </c>
      <c r="B355" t="s">
        <v>125</v>
      </c>
      <c r="C355" t="s">
        <v>43</v>
      </c>
      <c r="D355" s="3">
        <v>42065</v>
      </c>
      <c r="E355" t="s">
        <v>200</v>
      </c>
      <c r="F355" t="s">
        <v>14</v>
      </c>
      <c r="G355" t="s">
        <v>156</v>
      </c>
      <c r="H355">
        <v>2</v>
      </c>
      <c r="I355">
        <v>3</v>
      </c>
      <c r="J355">
        <v>28</v>
      </c>
      <c r="K355" t="str">
        <f t="shared" si="26"/>
        <v>ColombiaParaguay</v>
      </c>
      <c r="L355" t="str">
        <f t="shared" si="27"/>
        <v>ParaguayColombia</v>
      </c>
      <c r="M355">
        <f t="shared" si="28"/>
        <v>0</v>
      </c>
      <c r="N355">
        <f t="shared" si="29"/>
        <v>1</v>
      </c>
      <c r="O355">
        <f t="shared" si="30"/>
        <v>0</v>
      </c>
    </row>
    <row r="356" spans="1:15" hidden="1" x14ac:dyDescent="0.25">
      <c r="A356" s="1">
        <v>23091</v>
      </c>
      <c r="B356" t="s">
        <v>56</v>
      </c>
      <c r="C356" t="s">
        <v>66</v>
      </c>
      <c r="D356" s="3">
        <v>42038</v>
      </c>
      <c r="E356" t="s">
        <v>201</v>
      </c>
      <c r="F356" t="s">
        <v>14</v>
      </c>
      <c r="G356" t="s">
        <v>71</v>
      </c>
      <c r="H356">
        <v>3</v>
      </c>
      <c r="I356">
        <v>2</v>
      </c>
      <c r="J356">
        <v>28</v>
      </c>
      <c r="K356" t="str">
        <f t="shared" si="26"/>
        <v>BoliviaPeru</v>
      </c>
      <c r="L356" t="str">
        <f t="shared" si="27"/>
        <v>PeruBolivia</v>
      </c>
      <c r="M356">
        <f t="shared" si="28"/>
        <v>1</v>
      </c>
      <c r="N356">
        <f t="shared" si="29"/>
        <v>0</v>
      </c>
      <c r="O356">
        <f t="shared" si="30"/>
        <v>0</v>
      </c>
    </row>
    <row r="357" spans="1:15" hidden="1" x14ac:dyDescent="0.25">
      <c r="A357" s="1">
        <v>23094</v>
      </c>
      <c r="B357" t="s">
        <v>16</v>
      </c>
      <c r="C357" t="s">
        <v>19</v>
      </c>
      <c r="D357" s="2" t="s">
        <v>47</v>
      </c>
      <c r="E357" t="s">
        <v>201</v>
      </c>
      <c r="F357" t="s">
        <v>14</v>
      </c>
      <c r="G357" t="s">
        <v>21</v>
      </c>
      <c r="H357">
        <v>3</v>
      </c>
      <c r="I357">
        <v>0</v>
      </c>
      <c r="J357">
        <v>28</v>
      </c>
      <c r="K357" t="str">
        <f t="shared" si="26"/>
        <v>ArgentinaBrazil</v>
      </c>
      <c r="L357" t="str">
        <f t="shared" si="27"/>
        <v>BrazilArgentina</v>
      </c>
      <c r="M357">
        <f t="shared" si="28"/>
        <v>1</v>
      </c>
      <c r="N357">
        <f t="shared" si="29"/>
        <v>0</v>
      </c>
      <c r="O357">
        <f t="shared" si="30"/>
        <v>0</v>
      </c>
    </row>
    <row r="358" spans="1:15" hidden="1" x14ac:dyDescent="0.25">
      <c r="A358" s="1">
        <v>23094</v>
      </c>
      <c r="B358" t="s">
        <v>125</v>
      </c>
      <c r="C358" t="s">
        <v>66</v>
      </c>
      <c r="D358" s="3">
        <v>42005</v>
      </c>
      <c r="E358" t="s">
        <v>201</v>
      </c>
      <c r="F358" t="s">
        <v>14</v>
      </c>
      <c r="G358" t="s">
        <v>158</v>
      </c>
      <c r="H358">
        <v>1</v>
      </c>
      <c r="I358">
        <v>1</v>
      </c>
      <c r="J358">
        <v>28</v>
      </c>
      <c r="K358" t="str">
        <f t="shared" si="26"/>
        <v>ColombiaPeru</v>
      </c>
      <c r="L358" t="str">
        <f t="shared" si="27"/>
        <v>PeruColombia</v>
      </c>
      <c r="M358">
        <f t="shared" si="28"/>
        <v>0</v>
      </c>
      <c r="N358">
        <f t="shared" si="29"/>
        <v>0</v>
      </c>
      <c r="O358">
        <f t="shared" si="30"/>
        <v>1</v>
      </c>
    </row>
    <row r="359" spans="1:15" hidden="1" x14ac:dyDescent="0.25">
      <c r="A359" s="1">
        <v>23094</v>
      </c>
      <c r="B359" t="s">
        <v>56</v>
      </c>
      <c r="C359" t="s">
        <v>43</v>
      </c>
      <c r="D359" s="2" t="s">
        <v>42</v>
      </c>
      <c r="E359" t="s">
        <v>200</v>
      </c>
      <c r="F359" t="s">
        <v>14</v>
      </c>
      <c r="G359" t="s">
        <v>63</v>
      </c>
      <c r="H359">
        <v>2</v>
      </c>
      <c r="I359">
        <v>0</v>
      </c>
      <c r="J359">
        <v>28</v>
      </c>
      <c r="K359" t="str">
        <f t="shared" si="26"/>
        <v>BoliviaParaguay</v>
      </c>
      <c r="L359" t="str">
        <f t="shared" si="27"/>
        <v>ParaguayBolivia</v>
      </c>
      <c r="M359">
        <f t="shared" si="28"/>
        <v>1</v>
      </c>
      <c r="N359">
        <f t="shared" si="29"/>
        <v>0</v>
      </c>
      <c r="O359">
        <f t="shared" si="30"/>
        <v>0</v>
      </c>
    </row>
    <row r="360" spans="1:15" hidden="1" x14ac:dyDescent="0.25">
      <c r="A360" s="1">
        <v>23097</v>
      </c>
      <c r="B360" t="s">
        <v>99</v>
      </c>
      <c r="C360" t="s">
        <v>19</v>
      </c>
      <c r="D360" s="3">
        <v>42037</v>
      </c>
      <c r="E360" t="s">
        <v>203</v>
      </c>
      <c r="F360" t="s">
        <v>14</v>
      </c>
      <c r="G360" t="s">
        <v>121</v>
      </c>
      <c r="H360">
        <v>2</v>
      </c>
      <c r="I360">
        <v>2</v>
      </c>
      <c r="J360">
        <v>28</v>
      </c>
      <c r="K360" t="str">
        <f t="shared" si="26"/>
        <v>EcuadorBrazil</v>
      </c>
      <c r="L360" t="str">
        <f t="shared" si="27"/>
        <v>BrazilEcuador</v>
      </c>
      <c r="M360">
        <f t="shared" si="28"/>
        <v>0</v>
      </c>
      <c r="N360">
        <f t="shared" si="29"/>
        <v>0</v>
      </c>
      <c r="O360">
        <f t="shared" si="30"/>
        <v>1</v>
      </c>
    </row>
    <row r="361" spans="1:15" hidden="1" x14ac:dyDescent="0.25">
      <c r="A361" s="1">
        <v>23097</v>
      </c>
      <c r="B361" t="s">
        <v>43</v>
      </c>
      <c r="C361" t="s">
        <v>66</v>
      </c>
      <c r="D361" s="3">
        <v>42008</v>
      </c>
      <c r="E361" t="s">
        <v>203</v>
      </c>
      <c r="F361" t="s">
        <v>14</v>
      </c>
      <c r="G361" t="s">
        <v>74</v>
      </c>
      <c r="H361">
        <v>4</v>
      </c>
      <c r="I361">
        <v>1</v>
      </c>
      <c r="J361">
        <v>28</v>
      </c>
      <c r="K361" t="str">
        <f t="shared" si="26"/>
        <v>ParaguayPeru</v>
      </c>
      <c r="L361" t="str">
        <f t="shared" si="27"/>
        <v>PeruParaguay</v>
      </c>
      <c r="M361">
        <f t="shared" si="28"/>
        <v>1</v>
      </c>
      <c r="N361">
        <f t="shared" si="29"/>
        <v>0</v>
      </c>
      <c r="O361">
        <f t="shared" si="30"/>
        <v>0</v>
      </c>
    </row>
    <row r="362" spans="1:15" hidden="1" x14ac:dyDescent="0.25">
      <c r="A362" s="1">
        <v>23098</v>
      </c>
      <c r="B362" t="s">
        <v>16</v>
      </c>
      <c r="C362" t="s">
        <v>56</v>
      </c>
      <c r="D362" s="3">
        <v>42065</v>
      </c>
      <c r="E362" t="s">
        <v>201</v>
      </c>
      <c r="F362" t="s">
        <v>14</v>
      </c>
      <c r="G362" t="s">
        <v>61</v>
      </c>
      <c r="H362">
        <v>2</v>
      </c>
      <c r="I362">
        <v>3</v>
      </c>
      <c r="J362">
        <v>28</v>
      </c>
      <c r="K362" t="str">
        <f t="shared" si="26"/>
        <v>ArgentinaBolivia</v>
      </c>
      <c r="L362" t="str">
        <f t="shared" si="27"/>
        <v>BoliviaArgentina</v>
      </c>
      <c r="M362">
        <f t="shared" si="28"/>
        <v>0</v>
      </c>
      <c r="N362">
        <f t="shared" si="29"/>
        <v>1</v>
      </c>
      <c r="O362">
        <f t="shared" si="30"/>
        <v>0</v>
      </c>
    </row>
    <row r="363" spans="1:15" hidden="1" x14ac:dyDescent="0.25">
      <c r="A363" s="1">
        <v>23101</v>
      </c>
      <c r="B363" t="s">
        <v>56</v>
      </c>
      <c r="C363" t="s">
        <v>19</v>
      </c>
      <c r="D363" s="3">
        <v>42099</v>
      </c>
      <c r="E363" t="s">
        <v>200</v>
      </c>
      <c r="F363" t="s">
        <v>14</v>
      </c>
      <c r="G363" t="s">
        <v>130</v>
      </c>
      <c r="H363">
        <v>5</v>
      </c>
      <c r="I363">
        <v>4</v>
      </c>
      <c r="J363">
        <v>28</v>
      </c>
      <c r="K363" t="str">
        <f t="shared" si="26"/>
        <v>BoliviaBrazil</v>
      </c>
      <c r="L363" t="str">
        <f t="shared" si="27"/>
        <v>BrazilBolivia</v>
      </c>
      <c r="M363">
        <f t="shared" si="28"/>
        <v>1</v>
      </c>
      <c r="N363">
        <f t="shared" si="29"/>
        <v>0</v>
      </c>
      <c r="O363">
        <f t="shared" si="30"/>
        <v>0</v>
      </c>
    </row>
    <row r="364" spans="1:15" hidden="1" x14ac:dyDescent="0.25">
      <c r="A364" s="1">
        <v>23101</v>
      </c>
      <c r="B364" t="s">
        <v>125</v>
      </c>
      <c r="C364" t="s">
        <v>99</v>
      </c>
      <c r="D364" s="3">
        <v>42097</v>
      </c>
      <c r="E364" t="s">
        <v>201</v>
      </c>
      <c r="F364" t="s">
        <v>14</v>
      </c>
      <c r="G364" t="s">
        <v>136</v>
      </c>
      <c r="H364">
        <v>3</v>
      </c>
      <c r="I364">
        <v>4</v>
      </c>
      <c r="J364">
        <v>28</v>
      </c>
      <c r="K364" t="str">
        <f t="shared" si="26"/>
        <v>ColombiaEcuador</v>
      </c>
      <c r="L364" t="str">
        <f t="shared" si="27"/>
        <v>EcuadorColombia</v>
      </c>
      <c r="M364">
        <f t="shared" si="28"/>
        <v>0</v>
      </c>
      <c r="N364">
        <f t="shared" si="29"/>
        <v>1</v>
      </c>
      <c r="O364">
        <f t="shared" si="30"/>
        <v>0</v>
      </c>
    </row>
    <row r="365" spans="1:15" hidden="1" x14ac:dyDescent="0.25">
      <c r="A365" s="1">
        <v>23101</v>
      </c>
      <c r="B365" t="s">
        <v>16</v>
      </c>
      <c r="C365" t="s">
        <v>43</v>
      </c>
      <c r="D365" s="3">
        <v>42005</v>
      </c>
      <c r="E365" t="s">
        <v>201</v>
      </c>
      <c r="F365" t="s">
        <v>14</v>
      </c>
      <c r="G365" t="s">
        <v>48</v>
      </c>
      <c r="H365">
        <v>1</v>
      </c>
      <c r="I365">
        <v>1</v>
      </c>
      <c r="J365">
        <v>28</v>
      </c>
      <c r="K365" t="str">
        <f t="shared" si="26"/>
        <v>ArgentinaParaguay</v>
      </c>
      <c r="L365" t="str">
        <f t="shared" si="27"/>
        <v>ParaguayArgentina</v>
      </c>
      <c r="M365">
        <f t="shared" si="28"/>
        <v>0</v>
      </c>
      <c r="N365">
        <f t="shared" si="29"/>
        <v>0</v>
      </c>
      <c r="O365">
        <f t="shared" si="30"/>
        <v>1</v>
      </c>
    </row>
    <row r="366" spans="1:15" hidden="1" x14ac:dyDescent="0.25">
      <c r="A366" s="1">
        <v>24441</v>
      </c>
      <c r="B366" t="s">
        <v>10</v>
      </c>
      <c r="C366" t="s">
        <v>125</v>
      </c>
      <c r="D366" s="3">
        <v>42040</v>
      </c>
      <c r="E366" t="s">
        <v>60</v>
      </c>
      <c r="F366" t="s">
        <v>14</v>
      </c>
      <c r="G366" t="s">
        <v>132</v>
      </c>
      <c r="H366">
        <v>5</v>
      </c>
      <c r="I366">
        <v>2</v>
      </c>
      <c r="J366">
        <v>29</v>
      </c>
      <c r="K366" t="str">
        <f t="shared" si="26"/>
        <v>ChileColombia</v>
      </c>
      <c r="L366" t="str">
        <f t="shared" si="27"/>
        <v>ColombiaChile</v>
      </c>
      <c r="M366">
        <f t="shared" si="28"/>
        <v>1</v>
      </c>
      <c r="N366">
        <f t="shared" si="29"/>
        <v>0</v>
      </c>
      <c r="O366">
        <f t="shared" si="30"/>
        <v>0</v>
      </c>
    </row>
    <row r="367" spans="1:15" hidden="1" x14ac:dyDescent="0.25">
      <c r="A367" t="s">
        <v>204</v>
      </c>
      <c r="B367" t="s">
        <v>10</v>
      </c>
      <c r="C367" t="s">
        <v>125</v>
      </c>
      <c r="D367" s="2" t="s">
        <v>24</v>
      </c>
      <c r="E367" t="s">
        <v>205</v>
      </c>
      <c r="F367" t="s">
        <v>14</v>
      </c>
      <c r="G367" t="s">
        <v>132</v>
      </c>
      <c r="H367">
        <v>0</v>
      </c>
      <c r="I367">
        <v>0</v>
      </c>
      <c r="J367">
        <v>29</v>
      </c>
      <c r="K367" t="str">
        <f t="shared" si="26"/>
        <v>ChileColombia</v>
      </c>
      <c r="L367" t="str">
        <f t="shared" si="27"/>
        <v>ColombiaChile</v>
      </c>
      <c r="M367">
        <f t="shared" si="28"/>
        <v>0</v>
      </c>
      <c r="N367">
        <f t="shared" si="29"/>
        <v>0</v>
      </c>
      <c r="O367">
        <f t="shared" si="30"/>
        <v>1</v>
      </c>
    </row>
    <row r="368" spans="1:15" hidden="1" x14ac:dyDescent="0.25">
      <c r="A368" t="s">
        <v>206</v>
      </c>
      <c r="B368" t="s">
        <v>99</v>
      </c>
      <c r="C368" t="s">
        <v>43</v>
      </c>
      <c r="D368" s="3">
        <v>42037</v>
      </c>
      <c r="E368" t="s">
        <v>146</v>
      </c>
      <c r="F368" t="s">
        <v>14</v>
      </c>
      <c r="G368" t="s">
        <v>105</v>
      </c>
      <c r="H368">
        <v>2</v>
      </c>
      <c r="I368">
        <v>2</v>
      </c>
      <c r="J368">
        <v>29</v>
      </c>
      <c r="K368" t="str">
        <f t="shared" si="26"/>
        <v>EcuadorParaguay</v>
      </c>
      <c r="L368" t="str">
        <f t="shared" si="27"/>
        <v>ParaguayEcuador</v>
      </c>
      <c r="M368">
        <f t="shared" si="28"/>
        <v>0</v>
      </c>
      <c r="N368">
        <f t="shared" si="29"/>
        <v>0</v>
      </c>
      <c r="O368">
        <f t="shared" si="30"/>
        <v>1</v>
      </c>
    </row>
    <row r="369" spans="1:15" hidden="1" x14ac:dyDescent="0.25">
      <c r="A369" t="s">
        <v>207</v>
      </c>
      <c r="B369" t="s">
        <v>99</v>
      </c>
      <c r="C369" t="s">
        <v>43</v>
      </c>
      <c r="D369" s="3">
        <v>42064</v>
      </c>
      <c r="E369" t="s">
        <v>208</v>
      </c>
      <c r="F369" t="s">
        <v>14</v>
      </c>
      <c r="G369" t="s">
        <v>105</v>
      </c>
      <c r="H369">
        <v>1</v>
      </c>
      <c r="I369">
        <v>3</v>
      </c>
      <c r="J369">
        <v>29</v>
      </c>
      <c r="K369" t="str">
        <f t="shared" si="26"/>
        <v>EcuadorParaguay</v>
      </c>
      <c r="L369" t="str">
        <f t="shared" si="27"/>
        <v>ParaguayEcuador</v>
      </c>
      <c r="M369">
        <f t="shared" si="28"/>
        <v>0</v>
      </c>
      <c r="N369">
        <f t="shared" si="29"/>
        <v>1</v>
      </c>
      <c r="O369">
        <f t="shared" si="30"/>
        <v>0</v>
      </c>
    </row>
    <row r="370" spans="1:15" hidden="1" x14ac:dyDescent="0.25">
      <c r="A370" t="s">
        <v>209</v>
      </c>
      <c r="B370" t="s">
        <v>56</v>
      </c>
      <c r="C370" t="s">
        <v>11</v>
      </c>
      <c r="D370" s="2" t="s">
        <v>12</v>
      </c>
      <c r="E370" t="s">
        <v>27</v>
      </c>
      <c r="F370" t="s">
        <v>14</v>
      </c>
      <c r="G370" t="s">
        <v>64</v>
      </c>
      <c r="H370">
        <v>0</v>
      </c>
      <c r="I370">
        <v>4</v>
      </c>
      <c r="J370">
        <v>29</v>
      </c>
      <c r="K370" t="str">
        <f t="shared" si="26"/>
        <v>BoliviaUruguay</v>
      </c>
      <c r="L370" t="str">
        <f t="shared" si="27"/>
        <v>UruguayBolivia</v>
      </c>
      <c r="M370">
        <f t="shared" si="28"/>
        <v>0</v>
      </c>
      <c r="N370">
        <f t="shared" si="29"/>
        <v>1</v>
      </c>
      <c r="O370">
        <f t="shared" si="30"/>
        <v>0</v>
      </c>
    </row>
    <row r="371" spans="1:15" hidden="1" x14ac:dyDescent="0.25">
      <c r="A371" t="s">
        <v>210</v>
      </c>
      <c r="B371" t="s">
        <v>16</v>
      </c>
      <c r="C371" t="s">
        <v>43</v>
      </c>
      <c r="D371" s="3">
        <v>42008</v>
      </c>
      <c r="E371" t="s">
        <v>28</v>
      </c>
      <c r="F371" t="s">
        <v>14</v>
      </c>
      <c r="G371" t="s">
        <v>48</v>
      </c>
      <c r="H371">
        <v>4</v>
      </c>
      <c r="I371">
        <v>1</v>
      </c>
      <c r="J371">
        <v>29</v>
      </c>
      <c r="K371" t="str">
        <f t="shared" si="26"/>
        <v>ArgentinaParaguay</v>
      </c>
      <c r="L371" t="str">
        <f t="shared" si="27"/>
        <v>ParaguayArgentina</v>
      </c>
      <c r="M371">
        <f t="shared" si="28"/>
        <v>1</v>
      </c>
      <c r="N371">
        <f t="shared" si="29"/>
        <v>0</v>
      </c>
      <c r="O371">
        <f t="shared" si="30"/>
        <v>0</v>
      </c>
    </row>
    <row r="372" spans="1:15" hidden="1" x14ac:dyDescent="0.25">
      <c r="A372" t="s">
        <v>210</v>
      </c>
      <c r="B372" t="s">
        <v>10</v>
      </c>
      <c r="C372" t="s">
        <v>211</v>
      </c>
      <c r="D372" s="2" t="s">
        <v>42</v>
      </c>
      <c r="E372" t="s">
        <v>27</v>
      </c>
      <c r="F372" t="s">
        <v>14</v>
      </c>
      <c r="G372" t="s">
        <v>212</v>
      </c>
      <c r="H372">
        <v>2</v>
      </c>
      <c r="I372">
        <v>0</v>
      </c>
      <c r="J372">
        <v>29</v>
      </c>
      <c r="K372" t="str">
        <f t="shared" si="26"/>
        <v>ChileVenezuela</v>
      </c>
      <c r="L372" t="str">
        <f t="shared" si="27"/>
        <v>VenezuelaChile</v>
      </c>
      <c r="M372">
        <f t="shared" si="28"/>
        <v>1</v>
      </c>
      <c r="N372">
        <f t="shared" si="29"/>
        <v>0</v>
      </c>
      <c r="O372">
        <f t="shared" si="30"/>
        <v>0</v>
      </c>
    </row>
    <row r="373" spans="1:15" x14ac:dyDescent="0.25">
      <c r="A373" t="s">
        <v>213</v>
      </c>
      <c r="B373" t="s">
        <v>11</v>
      </c>
      <c r="C373" t="s">
        <v>211</v>
      </c>
      <c r="D373" s="2" t="s">
        <v>30</v>
      </c>
      <c r="E373" t="s">
        <v>31</v>
      </c>
      <c r="F373" t="s">
        <v>14</v>
      </c>
      <c r="G373" t="s">
        <v>214</v>
      </c>
      <c r="H373">
        <v>4</v>
      </c>
      <c r="I373">
        <v>0</v>
      </c>
      <c r="J373">
        <v>29</v>
      </c>
      <c r="K373" t="str">
        <f t="shared" si="26"/>
        <v>UruguayVenezuela</v>
      </c>
      <c r="L373" t="str">
        <f t="shared" si="27"/>
        <v>VenezuelaUruguay</v>
      </c>
      <c r="M373">
        <f t="shared" si="28"/>
        <v>1</v>
      </c>
      <c r="N373">
        <f t="shared" si="29"/>
        <v>0</v>
      </c>
      <c r="O373">
        <f t="shared" si="30"/>
        <v>0</v>
      </c>
    </row>
    <row r="374" spans="1:15" hidden="1" x14ac:dyDescent="0.25">
      <c r="A374" t="s">
        <v>215</v>
      </c>
      <c r="B374" t="s">
        <v>10</v>
      </c>
      <c r="C374" t="s">
        <v>43</v>
      </c>
      <c r="D374" s="3">
        <v>42039</v>
      </c>
      <c r="E374" t="s">
        <v>27</v>
      </c>
      <c r="F374" t="s">
        <v>14</v>
      </c>
      <c r="G374" t="s">
        <v>49</v>
      </c>
      <c r="H374">
        <v>4</v>
      </c>
      <c r="I374">
        <v>2</v>
      </c>
      <c r="J374">
        <v>29</v>
      </c>
      <c r="K374" t="str">
        <f t="shared" si="26"/>
        <v>ChileParaguay</v>
      </c>
      <c r="L374" t="str">
        <f t="shared" si="27"/>
        <v>ParaguayChile</v>
      </c>
      <c r="M374">
        <f t="shared" si="28"/>
        <v>1</v>
      </c>
      <c r="N374">
        <f t="shared" si="29"/>
        <v>0</v>
      </c>
      <c r="O374">
        <f t="shared" si="30"/>
        <v>0</v>
      </c>
    </row>
    <row r="375" spans="1:15" hidden="1" x14ac:dyDescent="0.25">
      <c r="A375" t="s">
        <v>215</v>
      </c>
      <c r="B375" t="s">
        <v>16</v>
      </c>
      <c r="C375" t="s">
        <v>56</v>
      </c>
      <c r="D375" s="2" t="s">
        <v>29</v>
      </c>
      <c r="E375" t="s">
        <v>28</v>
      </c>
      <c r="F375" t="s">
        <v>14</v>
      </c>
      <c r="G375" t="s">
        <v>61</v>
      </c>
      <c r="H375">
        <v>1</v>
      </c>
      <c r="I375">
        <v>0</v>
      </c>
      <c r="J375">
        <v>29</v>
      </c>
      <c r="K375" t="str">
        <f t="shared" si="26"/>
        <v>ArgentinaBolivia</v>
      </c>
      <c r="L375" t="str">
        <f t="shared" si="27"/>
        <v>BoliviaArgentina</v>
      </c>
      <c r="M375">
        <f t="shared" si="28"/>
        <v>1</v>
      </c>
      <c r="N375">
        <f t="shared" si="29"/>
        <v>0</v>
      </c>
      <c r="O375">
        <f t="shared" si="30"/>
        <v>0</v>
      </c>
    </row>
    <row r="376" spans="1:15" hidden="1" x14ac:dyDescent="0.25">
      <c r="A376" t="s">
        <v>216</v>
      </c>
      <c r="B376" t="s">
        <v>16</v>
      </c>
      <c r="C376" t="s">
        <v>211</v>
      </c>
      <c r="D376" s="3">
        <v>42009</v>
      </c>
      <c r="E376" t="s">
        <v>28</v>
      </c>
      <c r="F376" t="s">
        <v>14</v>
      </c>
      <c r="G376" t="s">
        <v>217</v>
      </c>
      <c r="H376">
        <v>5</v>
      </c>
      <c r="I376">
        <v>1</v>
      </c>
      <c r="J376">
        <v>29</v>
      </c>
      <c r="K376" t="str">
        <f t="shared" si="26"/>
        <v>ArgentinaVenezuela</v>
      </c>
      <c r="L376" t="str">
        <f t="shared" si="27"/>
        <v>VenezuelaArgentina</v>
      </c>
      <c r="M376">
        <f t="shared" si="28"/>
        <v>1</v>
      </c>
      <c r="N376">
        <f t="shared" si="29"/>
        <v>0</v>
      </c>
      <c r="O376">
        <f t="shared" si="30"/>
        <v>0</v>
      </c>
    </row>
    <row r="377" spans="1:15" hidden="1" x14ac:dyDescent="0.25">
      <c r="A377" t="s">
        <v>216</v>
      </c>
      <c r="B377" t="s">
        <v>56</v>
      </c>
      <c r="C377" t="s">
        <v>43</v>
      </c>
      <c r="D377" s="2" t="s">
        <v>33</v>
      </c>
      <c r="E377" t="s">
        <v>27</v>
      </c>
      <c r="F377" t="s">
        <v>14</v>
      </c>
      <c r="G377" t="s">
        <v>63</v>
      </c>
      <c r="H377">
        <v>0</v>
      </c>
      <c r="I377">
        <v>1</v>
      </c>
      <c r="J377">
        <v>29</v>
      </c>
      <c r="K377" t="str">
        <f t="shared" si="26"/>
        <v>BoliviaParaguay</v>
      </c>
      <c r="L377" t="str">
        <f t="shared" si="27"/>
        <v>ParaguayBolivia</v>
      </c>
      <c r="M377">
        <f t="shared" si="28"/>
        <v>0</v>
      </c>
      <c r="N377">
        <f t="shared" si="29"/>
        <v>1</v>
      </c>
      <c r="O377">
        <f t="shared" si="30"/>
        <v>0</v>
      </c>
    </row>
    <row r="378" spans="1:15" hidden="1" x14ac:dyDescent="0.25">
      <c r="A378" t="s">
        <v>218</v>
      </c>
      <c r="B378" t="s">
        <v>10</v>
      </c>
      <c r="C378" t="s">
        <v>11</v>
      </c>
      <c r="D378" s="3">
        <v>42037</v>
      </c>
      <c r="E378" t="s">
        <v>27</v>
      </c>
      <c r="F378" t="s">
        <v>14</v>
      </c>
      <c r="G378" t="s">
        <v>15</v>
      </c>
      <c r="H378">
        <v>2</v>
      </c>
      <c r="I378">
        <v>2</v>
      </c>
      <c r="J378">
        <v>29</v>
      </c>
      <c r="K378" t="str">
        <f t="shared" si="26"/>
        <v>ChileUruguay</v>
      </c>
      <c r="L378" t="str">
        <f t="shared" si="27"/>
        <v>UruguayChile</v>
      </c>
      <c r="M378">
        <f t="shared" si="28"/>
        <v>0</v>
      </c>
      <c r="N378">
        <f t="shared" si="29"/>
        <v>0</v>
      </c>
      <c r="O378">
        <f t="shared" si="30"/>
        <v>1</v>
      </c>
    </row>
    <row r="379" spans="1:15" hidden="1" x14ac:dyDescent="0.25">
      <c r="A379" t="s">
        <v>219</v>
      </c>
      <c r="B379" t="s">
        <v>56</v>
      </c>
      <c r="C379" t="s">
        <v>211</v>
      </c>
      <c r="D379" s="2" t="s">
        <v>45</v>
      </c>
      <c r="E379" t="s">
        <v>27</v>
      </c>
      <c r="F379" t="s">
        <v>14</v>
      </c>
      <c r="G379" t="s">
        <v>220</v>
      </c>
      <c r="H379">
        <v>0</v>
      </c>
      <c r="I379">
        <v>3</v>
      </c>
      <c r="J379">
        <v>29</v>
      </c>
      <c r="K379" t="str">
        <f t="shared" si="26"/>
        <v>BoliviaVenezuela</v>
      </c>
      <c r="L379" t="str">
        <f t="shared" si="27"/>
        <v>VenezuelaBolivia</v>
      </c>
      <c r="M379">
        <f t="shared" si="28"/>
        <v>0</v>
      </c>
      <c r="N379">
        <f t="shared" si="29"/>
        <v>1</v>
      </c>
      <c r="O379">
        <f t="shared" si="30"/>
        <v>0</v>
      </c>
    </row>
    <row r="380" spans="1:15" hidden="1" x14ac:dyDescent="0.25">
      <c r="A380" t="s">
        <v>219</v>
      </c>
      <c r="B380" t="s">
        <v>16</v>
      </c>
      <c r="C380" t="s">
        <v>10</v>
      </c>
      <c r="D380" s="2" t="s">
        <v>42</v>
      </c>
      <c r="E380" t="s">
        <v>28</v>
      </c>
      <c r="F380" t="s">
        <v>14</v>
      </c>
      <c r="G380" t="s">
        <v>18</v>
      </c>
      <c r="H380">
        <v>2</v>
      </c>
      <c r="I380">
        <v>0</v>
      </c>
      <c r="J380">
        <v>29</v>
      </c>
      <c r="K380" t="str">
        <f t="shared" si="26"/>
        <v>ArgentinaChile</v>
      </c>
      <c r="L380" t="str">
        <f t="shared" si="27"/>
        <v>ChileArgentina</v>
      </c>
      <c r="M380">
        <f t="shared" si="28"/>
        <v>1</v>
      </c>
      <c r="N380">
        <f t="shared" si="29"/>
        <v>0</v>
      </c>
      <c r="O380">
        <f t="shared" si="30"/>
        <v>0</v>
      </c>
    </row>
    <row r="381" spans="1:15" hidden="1" x14ac:dyDescent="0.25">
      <c r="A381" t="s">
        <v>221</v>
      </c>
      <c r="B381" t="s">
        <v>43</v>
      </c>
      <c r="C381" t="s">
        <v>11</v>
      </c>
      <c r="D381" s="2" t="s">
        <v>37</v>
      </c>
      <c r="E381" t="s">
        <v>27</v>
      </c>
      <c r="F381" t="s">
        <v>14</v>
      </c>
      <c r="G381" t="s">
        <v>44</v>
      </c>
      <c r="H381">
        <v>0</v>
      </c>
      <c r="I381">
        <v>2</v>
      </c>
      <c r="J381">
        <v>29</v>
      </c>
      <c r="K381" t="str">
        <f t="shared" si="26"/>
        <v>ParaguayUruguay</v>
      </c>
      <c r="L381" t="str">
        <f t="shared" si="27"/>
        <v>UruguayParaguay</v>
      </c>
      <c r="M381">
        <f t="shared" si="28"/>
        <v>0</v>
      </c>
      <c r="N381">
        <f t="shared" si="29"/>
        <v>1</v>
      </c>
      <c r="O381">
        <f t="shared" si="30"/>
        <v>0</v>
      </c>
    </row>
    <row r="382" spans="1:15" hidden="1" x14ac:dyDescent="0.25">
      <c r="A382" s="1">
        <v>24504</v>
      </c>
      <c r="B382" t="s">
        <v>43</v>
      </c>
      <c r="C382" t="s">
        <v>211</v>
      </c>
      <c r="D382" s="3">
        <v>42068</v>
      </c>
      <c r="E382" t="s">
        <v>27</v>
      </c>
      <c r="F382" t="s">
        <v>14</v>
      </c>
      <c r="G382" t="s">
        <v>222</v>
      </c>
      <c r="H382">
        <v>5</v>
      </c>
      <c r="I382">
        <v>3</v>
      </c>
      <c r="J382">
        <v>29</v>
      </c>
      <c r="K382" t="str">
        <f t="shared" si="26"/>
        <v>ParaguayVenezuela</v>
      </c>
      <c r="L382" t="str">
        <f t="shared" si="27"/>
        <v>VenezuelaParaguay</v>
      </c>
      <c r="M382">
        <f t="shared" si="28"/>
        <v>1</v>
      </c>
      <c r="N382">
        <f t="shared" si="29"/>
        <v>0</v>
      </c>
      <c r="O382">
        <f t="shared" si="30"/>
        <v>0</v>
      </c>
    </row>
    <row r="383" spans="1:15" hidden="1" x14ac:dyDescent="0.25">
      <c r="A383" s="1">
        <v>24504</v>
      </c>
      <c r="B383" t="s">
        <v>56</v>
      </c>
      <c r="C383" t="s">
        <v>10</v>
      </c>
      <c r="D383" s="2" t="s">
        <v>24</v>
      </c>
      <c r="E383" t="s">
        <v>27</v>
      </c>
      <c r="F383" t="s">
        <v>14</v>
      </c>
      <c r="G383" t="s">
        <v>58</v>
      </c>
      <c r="H383">
        <v>0</v>
      </c>
      <c r="I383">
        <v>0</v>
      </c>
      <c r="J383">
        <v>29</v>
      </c>
      <c r="K383" t="str">
        <f t="shared" si="26"/>
        <v>BoliviaChile</v>
      </c>
      <c r="L383" t="str">
        <f t="shared" si="27"/>
        <v>ChileBolivia</v>
      </c>
      <c r="M383">
        <f t="shared" si="28"/>
        <v>0</v>
      </c>
      <c r="N383">
        <f t="shared" si="29"/>
        <v>0</v>
      </c>
      <c r="O383">
        <f t="shared" si="30"/>
        <v>1</v>
      </c>
    </row>
    <row r="384" spans="1:15" hidden="1" x14ac:dyDescent="0.25">
      <c r="A384" s="1">
        <v>24505</v>
      </c>
      <c r="B384" t="s">
        <v>16</v>
      </c>
      <c r="C384" t="s">
        <v>11</v>
      </c>
      <c r="D384" s="2" t="s">
        <v>33</v>
      </c>
      <c r="E384" t="s">
        <v>28</v>
      </c>
      <c r="F384" t="s">
        <v>14</v>
      </c>
      <c r="G384" t="s">
        <v>26</v>
      </c>
      <c r="H384">
        <v>0</v>
      </c>
      <c r="I384">
        <v>1</v>
      </c>
      <c r="J384">
        <v>29</v>
      </c>
      <c r="K384" t="str">
        <f t="shared" si="26"/>
        <v>ArgentinaUruguay</v>
      </c>
      <c r="L384" t="str">
        <f t="shared" si="27"/>
        <v>UruguayArgentina</v>
      </c>
      <c r="M384">
        <f t="shared" si="28"/>
        <v>0</v>
      </c>
      <c r="N384">
        <f t="shared" si="29"/>
        <v>1</v>
      </c>
      <c r="O384">
        <f t="shared" si="30"/>
        <v>0</v>
      </c>
    </row>
    <row r="385" spans="1:15" hidden="1" x14ac:dyDescent="0.25">
      <c r="A385" s="1">
        <v>27592</v>
      </c>
      <c r="B385" t="s">
        <v>10</v>
      </c>
      <c r="C385" t="s">
        <v>66</v>
      </c>
      <c r="D385" s="3">
        <v>42005</v>
      </c>
      <c r="E385" t="s">
        <v>60</v>
      </c>
      <c r="F385" t="s">
        <v>14</v>
      </c>
      <c r="G385" t="s">
        <v>80</v>
      </c>
      <c r="H385">
        <v>1</v>
      </c>
      <c r="I385">
        <v>1</v>
      </c>
      <c r="J385">
        <v>30</v>
      </c>
      <c r="K385" t="str">
        <f t="shared" si="26"/>
        <v>ChilePeru</v>
      </c>
      <c r="L385" t="str">
        <f t="shared" si="27"/>
        <v>PeruChile</v>
      </c>
      <c r="M385">
        <f t="shared" si="28"/>
        <v>0</v>
      </c>
      <c r="N385">
        <f t="shared" si="29"/>
        <v>0</v>
      </c>
      <c r="O385">
        <f t="shared" si="30"/>
        <v>1</v>
      </c>
    </row>
    <row r="386" spans="1:15" hidden="1" x14ac:dyDescent="0.25">
      <c r="A386" s="1">
        <v>27595</v>
      </c>
      <c r="B386" t="s">
        <v>56</v>
      </c>
      <c r="C386" t="s">
        <v>10</v>
      </c>
      <c r="D386" s="3">
        <v>42006</v>
      </c>
      <c r="E386" t="s">
        <v>201</v>
      </c>
      <c r="F386" t="s">
        <v>14</v>
      </c>
      <c r="G386" t="s">
        <v>58</v>
      </c>
      <c r="H386">
        <v>2</v>
      </c>
      <c r="I386">
        <v>1</v>
      </c>
      <c r="J386">
        <v>30</v>
      </c>
      <c r="K386" t="str">
        <f t="shared" si="26"/>
        <v>BoliviaChile</v>
      </c>
      <c r="L386" t="str">
        <f t="shared" si="27"/>
        <v>ChileBolivia</v>
      </c>
      <c r="M386">
        <f t="shared" si="28"/>
        <v>1</v>
      </c>
      <c r="N386">
        <f t="shared" si="29"/>
        <v>0</v>
      </c>
      <c r="O386">
        <f t="shared" si="30"/>
        <v>0</v>
      </c>
    </row>
    <row r="387" spans="1:15" hidden="1" x14ac:dyDescent="0.25">
      <c r="A387" s="1">
        <v>27595</v>
      </c>
      <c r="B387" t="s">
        <v>125</v>
      </c>
      <c r="C387" t="s">
        <v>43</v>
      </c>
      <c r="D387" s="2" t="s">
        <v>29</v>
      </c>
      <c r="E387" t="s">
        <v>223</v>
      </c>
      <c r="F387" t="s">
        <v>14</v>
      </c>
      <c r="G387" t="s">
        <v>156</v>
      </c>
      <c r="H387">
        <v>1</v>
      </c>
      <c r="I387">
        <v>0</v>
      </c>
      <c r="J387">
        <v>30</v>
      </c>
      <c r="K387" t="str">
        <f t="shared" ref="K387:K450" si="31">CONCATENATE(B387,C387)</f>
        <v>ColombiaParaguay</v>
      </c>
      <c r="L387" t="str">
        <f t="shared" ref="L387:L450" si="32">CONCATENATE(C387,B387)</f>
        <v>ParaguayColombia</v>
      </c>
      <c r="M387">
        <f t="shared" ref="M387:M450" si="33">IF(H387&gt;I387,1,0)</f>
        <v>1</v>
      </c>
      <c r="N387">
        <f t="shared" ref="N387:N450" si="34">IF(I387&gt;H387,1,0)</f>
        <v>0</v>
      </c>
      <c r="O387">
        <f t="shared" ref="O387:O450" si="35">IF(I387=H387,1,0)</f>
        <v>0</v>
      </c>
    </row>
    <row r="388" spans="1:15" hidden="1" x14ac:dyDescent="0.25">
      <c r="A388" s="1">
        <v>27599</v>
      </c>
      <c r="B388" t="s">
        <v>99</v>
      </c>
      <c r="C388" t="s">
        <v>43</v>
      </c>
      <c r="D388" s="3">
        <v>42037</v>
      </c>
      <c r="E388" t="s">
        <v>146</v>
      </c>
      <c r="F388" t="s">
        <v>14</v>
      </c>
      <c r="G388" t="s">
        <v>105</v>
      </c>
      <c r="H388">
        <v>2</v>
      </c>
      <c r="I388">
        <v>2</v>
      </c>
      <c r="J388">
        <v>30</v>
      </c>
      <c r="K388" t="str">
        <f t="shared" si="31"/>
        <v>EcuadorParaguay</v>
      </c>
      <c r="L388" t="str">
        <f t="shared" si="32"/>
        <v>ParaguayEcuador</v>
      </c>
      <c r="M388">
        <f t="shared" si="33"/>
        <v>0</v>
      </c>
      <c r="N388">
        <f t="shared" si="34"/>
        <v>0</v>
      </c>
      <c r="O388">
        <f t="shared" si="35"/>
        <v>1</v>
      </c>
    </row>
    <row r="389" spans="1:15" hidden="1" x14ac:dyDescent="0.25">
      <c r="A389" s="1">
        <v>27602</v>
      </c>
      <c r="B389" t="s">
        <v>56</v>
      </c>
      <c r="C389" t="s">
        <v>66</v>
      </c>
      <c r="D389" s="2" t="s">
        <v>33</v>
      </c>
      <c r="E389" t="s">
        <v>224</v>
      </c>
      <c r="F389" t="s">
        <v>14</v>
      </c>
      <c r="G389" t="s">
        <v>71</v>
      </c>
      <c r="H389">
        <v>0</v>
      </c>
      <c r="I389">
        <v>1</v>
      </c>
      <c r="J389">
        <v>30</v>
      </c>
      <c r="K389" t="str">
        <f t="shared" si="31"/>
        <v>BoliviaPeru</v>
      </c>
      <c r="L389" t="str">
        <f t="shared" si="32"/>
        <v>PeruBolivia</v>
      </c>
      <c r="M389">
        <f t="shared" si="33"/>
        <v>0</v>
      </c>
      <c r="N389">
        <f t="shared" si="34"/>
        <v>1</v>
      </c>
      <c r="O389">
        <f t="shared" si="35"/>
        <v>0</v>
      </c>
    </row>
    <row r="390" spans="1:15" hidden="1" x14ac:dyDescent="0.25">
      <c r="A390" s="1">
        <v>27602</v>
      </c>
      <c r="B390" t="s">
        <v>125</v>
      </c>
      <c r="C390" t="s">
        <v>99</v>
      </c>
      <c r="D390" s="3">
        <v>42007</v>
      </c>
      <c r="E390" t="s">
        <v>225</v>
      </c>
      <c r="F390" t="s">
        <v>14</v>
      </c>
      <c r="G390" t="s">
        <v>136</v>
      </c>
      <c r="H390">
        <v>3</v>
      </c>
      <c r="I390">
        <v>1</v>
      </c>
      <c r="J390">
        <v>30</v>
      </c>
      <c r="K390" t="str">
        <f t="shared" si="31"/>
        <v>ColombiaEcuador</v>
      </c>
      <c r="L390" t="str">
        <f t="shared" si="32"/>
        <v>EcuadorColombia</v>
      </c>
      <c r="M390">
        <f t="shared" si="33"/>
        <v>1</v>
      </c>
      <c r="N390">
        <f t="shared" si="34"/>
        <v>0</v>
      </c>
      <c r="O390">
        <f t="shared" si="35"/>
        <v>0</v>
      </c>
    </row>
    <row r="391" spans="1:15" hidden="1" x14ac:dyDescent="0.25">
      <c r="A391" s="1">
        <v>27605</v>
      </c>
      <c r="B391" t="s">
        <v>125</v>
      </c>
      <c r="C391" t="s">
        <v>43</v>
      </c>
      <c r="D391" s="2" t="s">
        <v>29</v>
      </c>
      <c r="E391" t="s">
        <v>226</v>
      </c>
      <c r="F391" t="s">
        <v>14</v>
      </c>
      <c r="G391" t="s">
        <v>156</v>
      </c>
      <c r="H391">
        <v>1</v>
      </c>
      <c r="I391">
        <v>0</v>
      </c>
      <c r="J391">
        <v>30</v>
      </c>
      <c r="K391" t="str">
        <f t="shared" si="31"/>
        <v>ColombiaParaguay</v>
      </c>
      <c r="L391" t="str">
        <f t="shared" si="32"/>
        <v>ParaguayColombia</v>
      </c>
      <c r="M391">
        <f t="shared" si="33"/>
        <v>1</v>
      </c>
      <c r="N391">
        <f t="shared" si="34"/>
        <v>0</v>
      </c>
      <c r="O391">
        <f t="shared" si="35"/>
        <v>0</v>
      </c>
    </row>
    <row r="392" spans="1:15" hidden="1" x14ac:dyDescent="0.25">
      <c r="A392" s="1">
        <v>27606</v>
      </c>
      <c r="B392" t="s">
        <v>211</v>
      </c>
      <c r="C392" t="s">
        <v>19</v>
      </c>
      <c r="D392" s="2" t="s">
        <v>12</v>
      </c>
      <c r="E392" t="s">
        <v>227</v>
      </c>
      <c r="F392" t="s">
        <v>14</v>
      </c>
      <c r="G392" t="s">
        <v>228</v>
      </c>
      <c r="H392">
        <v>0</v>
      </c>
      <c r="I392">
        <v>4</v>
      </c>
      <c r="J392">
        <v>30</v>
      </c>
      <c r="K392" t="str">
        <f t="shared" si="31"/>
        <v>VenezuelaBrazil</v>
      </c>
      <c r="L392" t="str">
        <f t="shared" si="32"/>
        <v>BrazilVenezuela</v>
      </c>
      <c r="M392">
        <f t="shared" si="33"/>
        <v>0</v>
      </c>
      <c r="N392">
        <f t="shared" si="34"/>
        <v>1</v>
      </c>
      <c r="O392">
        <f t="shared" si="35"/>
        <v>0</v>
      </c>
    </row>
    <row r="393" spans="1:15" hidden="1" x14ac:dyDescent="0.25">
      <c r="A393" t="s">
        <v>229</v>
      </c>
      <c r="B393" t="s">
        <v>16</v>
      </c>
      <c r="C393" t="s">
        <v>211</v>
      </c>
      <c r="D393" s="3">
        <v>42009</v>
      </c>
      <c r="E393" t="s">
        <v>227</v>
      </c>
      <c r="F393" t="s">
        <v>14</v>
      </c>
      <c r="G393" t="s">
        <v>217</v>
      </c>
      <c r="H393">
        <v>5</v>
      </c>
      <c r="I393">
        <v>1</v>
      </c>
      <c r="J393">
        <v>30</v>
      </c>
      <c r="K393" t="str">
        <f t="shared" si="31"/>
        <v>ArgentinaVenezuela</v>
      </c>
      <c r="L393" t="str">
        <f t="shared" si="32"/>
        <v>VenezuelaArgentina</v>
      </c>
      <c r="M393">
        <f t="shared" si="33"/>
        <v>1</v>
      </c>
      <c r="N393">
        <f t="shared" si="34"/>
        <v>0</v>
      </c>
      <c r="O393">
        <f t="shared" si="35"/>
        <v>0</v>
      </c>
    </row>
    <row r="394" spans="1:15" hidden="1" x14ac:dyDescent="0.25">
      <c r="A394" t="s">
        <v>230</v>
      </c>
      <c r="B394" t="s">
        <v>16</v>
      </c>
      <c r="C394" t="s">
        <v>19</v>
      </c>
      <c r="D394" s="3">
        <v>42036</v>
      </c>
      <c r="E394" t="s">
        <v>231</v>
      </c>
      <c r="F394" t="s">
        <v>14</v>
      </c>
      <c r="G394" t="s">
        <v>21</v>
      </c>
      <c r="H394">
        <v>1</v>
      </c>
      <c r="I394">
        <v>2</v>
      </c>
      <c r="J394">
        <v>30</v>
      </c>
      <c r="K394" t="str">
        <f t="shared" si="31"/>
        <v>ArgentinaBrazil</v>
      </c>
      <c r="L394" t="str">
        <f t="shared" si="32"/>
        <v>BrazilArgentina</v>
      </c>
      <c r="M394">
        <f t="shared" si="33"/>
        <v>0</v>
      </c>
      <c r="N394">
        <f t="shared" si="34"/>
        <v>1</v>
      </c>
      <c r="O394">
        <f t="shared" si="35"/>
        <v>0</v>
      </c>
    </row>
    <row r="395" spans="1:15" hidden="1" x14ac:dyDescent="0.25">
      <c r="A395" t="s">
        <v>232</v>
      </c>
      <c r="B395" t="s">
        <v>56</v>
      </c>
      <c r="C395" t="s">
        <v>66</v>
      </c>
      <c r="D395" s="3">
        <v>42064</v>
      </c>
      <c r="E395" t="s">
        <v>69</v>
      </c>
      <c r="F395" t="s">
        <v>14</v>
      </c>
      <c r="G395" t="s">
        <v>71</v>
      </c>
      <c r="H395">
        <v>1</v>
      </c>
      <c r="I395">
        <v>3</v>
      </c>
      <c r="J395">
        <v>30</v>
      </c>
      <c r="K395" t="str">
        <f t="shared" si="31"/>
        <v>BoliviaPeru</v>
      </c>
      <c r="L395" t="str">
        <f t="shared" si="32"/>
        <v>PeruBolivia</v>
      </c>
      <c r="M395">
        <f t="shared" si="33"/>
        <v>0</v>
      </c>
      <c r="N395">
        <f t="shared" si="34"/>
        <v>1</v>
      </c>
      <c r="O395">
        <f t="shared" si="35"/>
        <v>0</v>
      </c>
    </row>
    <row r="396" spans="1:15" hidden="1" x14ac:dyDescent="0.25">
      <c r="A396" t="s">
        <v>232</v>
      </c>
      <c r="B396" t="s">
        <v>125</v>
      </c>
      <c r="C396" t="s">
        <v>99</v>
      </c>
      <c r="D396" s="2" t="s">
        <v>42</v>
      </c>
      <c r="E396" t="s">
        <v>223</v>
      </c>
      <c r="F396" t="s">
        <v>14</v>
      </c>
      <c r="G396" t="s">
        <v>136</v>
      </c>
      <c r="H396">
        <v>2</v>
      </c>
      <c r="I396">
        <v>0</v>
      </c>
      <c r="J396">
        <v>30</v>
      </c>
      <c r="K396" t="str">
        <f t="shared" si="31"/>
        <v>ColombiaEcuador</v>
      </c>
      <c r="L396" t="str">
        <f t="shared" si="32"/>
        <v>EcuadorColombia</v>
      </c>
      <c r="M396">
        <f t="shared" si="33"/>
        <v>1</v>
      </c>
      <c r="N396">
        <f t="shared" si="34"/>
        <v>0</v>
      </c>
      <c r="O396">
        <f t="shared" si="35"/>
        <v>0</v>
      </c>
    </row>
    <row r="397" spans="1:15" hidden="1" x14ac:dyDescent="0.25">
      <c r="A397" t="s">
        <v>233</v>
      </c>
      <c r="B397" t="s">
        <v>16</v>
      </c>
      <c r="C397" t="s">
        <v>211</v>
      </c>
      <c r="D397" s="2" t="s">
        <v>234</v>
      </c>
      <c r="E397" t="s">
        <v>235</v>
      </c>
      <c r="F397" t="s">
        <v>14</v>
      </c>
      <c r="G397" t="s">
        <v>217</v>
      </c>
      <c r="H397">
        <v>11</v>
      </c>
      <c r="I397">
        <v>0</v>
      </c>
      <c r="J397">
        <v>30</v>
      </c>
      <c r="K397" t="str">
        <f t="shared" si="31"/>
        <v>ArgentinaVenezuela</v>
      </c>
      <c r="L397" t="str">
        <f t="shared" si="32"/>
        <v>VenezuelaArgentina</v>
      </c>
      <c r="M397">
        <f t="shared" si="33"/>
        <v>1</v>
      </c>
      <c r="N397">
        <f t="shared" si="34"/>
        <v>0</v>
      </c>
      <c r="O397">
        <f t="shared" si="35"/>
        <v>0</v>
      </c>
    </row>
    <row r="398" spans="1:15" hidden="1" x14ac:dyDescent="0.25">
      <c r="A398" t="s">
        <v>233</v>
      </c>
      <c r="B398" t="s">
        <v>99</v>
      </c>
      <c r="C398" t="s">
        <v>43</v>
      </c>
      <c r="D398" s="3">
        <v>42064</v>
      </c>
      <c r="E398" t="s">
        <v>208</v>
      </c>
      <c r="F398" t="s">
        <v>14</v>
      </c>
      <c r="G398" t="s">
        <v>105</v>
      </c>
      <c r="H398">
        <v>1</v>
      </c>
      <c r="I398">
        <v>3</v>
      </c>
      <c r="J398">
        <v>30</v>
      </c>
      <c r="K398" t="str">
        <f t="shared" si="31"/>
        <v>EcuadorParaguay</v>
      </c>
      <c r="L398" t="str">
        <f t="shared" si="32"/>
        <v>ParaguayEcuador</v>
      </c>
      <c r="M398">
        <f t="shared" si="33"/>
        <v>0</v>
      </c>
      <c r="N398">
        <f t="shared" si="34"/>
        <v>1</v>
      </c>
      <c r="O398">
        <f t="shared" si="35"/>
        <v>0</v>
      </c>
    </row>
    <row r="399" spans="1:15" hidden="1" x14ac:dyDescent="0.25">
      <c r="A399" t="s">
        <v>236</v>
      </c>
      <c r="B399" t="s">
        <v>56</v>
      </c>
      <c r="C399" t="s">
        <v>10</v>
      </c>
      <c r="D399" s="2" t="s">
        <v>12</v>
      </c>
      <c r="E399" t="s">
        <v>57</v>
      </c>
      <c r="F399" t="s">
        <v>14</v>
      </c>
      <c r="G399" t="s">
        <v>58</v>
      </c>
      <c r="H399">
        <v>0</v>
      </c>
      <c r="I399">
        <v>4</v>
      </c>
      <c r="J399">
        <v>30</v>
      </c>
      <c r="K399" t="str">
        <f t="shared" si="31"/>
        <v>BoliviaChile</v>
      </c>
      <c r="L399" t="str">
        <f t="shared" si="32"/>
        <v>ChileBolivia</v>
      </c>
      <c r="M399">
        <f t="shared" si="33"/>
        <v>0</v>
      </c>
      <c r="N399">
        <f t="shared" si="34"/>
        <v>1</v>
      </c>
      <c r="O399">
        <f t="shared" si="35"/>
        <v>0</v>
      </c>
    </row>
    <row r="400" spans="1:15" hidden="1" x14ac:dyDescent="0.25">
      <c r="A400" t="s">
        <v>236</v>
      </c>
      <c r="B400" t="s">
        <v>211</v>
      </c>
      <c r="C400" t="s">
        <v>19</v>
      </c>
      <c r="D400" s="2" t="s">
        <v>34</v>
      </c>
      <c r="E400" t="s">
        <v>231</v>
      </c>
      <c r="F400" t="s">
        <v>14</v>
      </c>
      <c r="G400" t="s">
        <v>228</v>
      </c>
      <c r="H400">
        <v>0</v>
      </c>
      <c r="I400">
        <v>6</v>
      </c>
      <c r="J400">
        <v>30</v>
      </c>
      <c r="K400" t="str">
        <f t="shared" si="31"/>
        <v>VenezuelaBrazil</v>
      </c>
      <c r="L400" t="str">
        <f t="shared" si="32"/>
        <v>BrazilVenezuela</v>
      </c>
      <c r="M400">
        <f t="shared" si="33"/>
        <v>0</v>
      </c>
      <c r="N400">
        <f t="shared" si="34"/>
        <v>1</v>
      </c>
      <c r="O400">
        <f t="shared" si="35"/>
        <v>0</v>
      </c>
    </row>
    <row r="401" spans="1:15" hidden="1" x14ac:dyDescent="0.25">
      <c r="A401" t="s">
        <v>237</v>
      </c>
      <c r="B401" t="s">
        <v>16</v>
      </c>
      <c r="C401" t="s">
        <v>19</v>
      </c>
      <c r="D401" s="2" t="s">
        <v>33</v>
      </c>
      <c r="E401" t="s">
        <v>235</v>
      </c>
      <c r="F401" t="s">
        <v>14</v>
      </c>
      <c r="G401" t="s">
        <v>21</v>
      </c>
      <c r="H401">
        <v>0</v>
      </c>
      <c r="I401">
        <v>1</v>
      </c>
      <c r="J401">
        <v>30</v>
      </c>
      <c r="K401" t="str">
        <f t="shared" si="31"/>
        <v>ArgentinaBrazil</v>
      </c>
      <c r="L401" t="str">
        <f t="shared" si="32"/>
        <v>BrazilArgentina</v>
      </c>
      <c r="M401">
        <f t="shared" si="33"/>
        <v>0</v>
      </c>
      <c r="N401">
        <f t="shared" si="34"/>
        <v>1</v>
      </c>
      <c r="O401">
        <f t="shared" si="35"/>
        <v>0</v>
      </c>
    </row>
    <row r="402" spans="1:15" hidden="1" x14ac:dyDescent="0.25">
      <c r="A402" t="s">
        <v>238</v>
      </c>
      <c r="B402" t="s">
        <v>10</v>
      </c>
      <c r="C402" t="s">
        <v>66</v>
      </c>
      <c r="D402" s="3">
        <v>42064</v>
      </c>
      <c r="E402" t="s">
        <v>69</v>
      </c>
      <c r="F402" t="s">
        <v>14</v>
      </c>
      <c r="G402" t="s">
        <v>80</v>
      </c>
      <c r="H402">
        <v>1</v>
      </c>
      <c r="I402">
        <v>3</v>
      </c>
      <c r="J402">
        <v>30</v>
      </c>
      <c r="K402" t="str">
        <f t="shared" si="31"/>
        <v>ChilePeru</v>
      </c>
      <c r="L402" t="str">
        <f t="shared" si="32"/>
        <v>PeruChile</v>
      </c>
      <c r="M402">
        <f t="shared" si="33"/>
        <v>0</v>
      </c>
      <c r="N402">
        <f t="shared" si="34"/>
        <v>1</v>
      </c>
      <c r="O402">
        <f t="shared" si="35"/>
        <v>0</v>
      </c>
    </row>
    <row r="403" spans="1:15" hidden="1" x14ac:dyDescent="0.25">
      <c r="A403" s="1">
        <v>27658</v>
      </c>
      <c r="B403" t="s">
        <v>125</v>
      </c>
      <c r="C403" t="s">
        <v>11</v>
      </c>
      <c r="D403" s="2" t="s">
        <v>47</v>
      </c>
      <c r="E403" t="s">
        <v>223</v>
      </c>
      <c r="F403" t="s">
        <v>14</v>
      </c>
      <c r="G403" t="s">
        <v>129</v>
      </c>
      <c r="H403">
        <v>3</v>
      </c>
      <c r="I403">
        <v>0</v>
      </c>
      <c r="J403">
        <v>30</v>
      </c>
      <c r="K403" t="str">
        <f t="shared" si="31"/>
        <v>ColombiaUruguay</v>
      </c>
      <c r="L403" t="str">
        <f t="shared" si="32"/>
        <v>UruguayColombia</v>
      </c>
      <c r="M403">
        <f t="shared" si="33"/>
        <v>1</v>
      </c>
      <c r="N403">
        <f t="shared" si="34"/>
        <v>0</v>
      </c>
      <c r="O403">
        <f t="shared" si="35"/>
        <v>0</v>
      </c>
    </row>
    <row r="404" spans="1:15" hidden="1" x14ac:dyDescent="0.25">
      <c r="A404" s="1">
        <v>27667</v>
      </c>
      <c r="B404" t="s">
        <v>66</v>
      </c>
      <c r="C404" t="s">
        <v>19</v>
      </c>
      <c r="D404" s="3">
        <v>42007</v>
      </c>
      <c r="E404" t="s">
        <v>231</v>
      </c>
      <c r="F404" t="s">
        <v>14</v>
      </c>
      <c r="G404" t="s">
        <v>83</v>
      </c>
      <c r="H404">
        <v>3</v>
      </c>
      <c r="I404">
        <v>1</v>
      </c>
      <c r="J404">
        <v>30</v>
      </c>
      <c r="K404" t="str">
        <f t="shared" si="31"/>
        <v>PeruBrazil</v>
      </c>
      <c r="L404" t="str">
        <f t="shared" si="32"/>
        <v>BrazilPeru</v>
      </c>
      <c r="M404">
        <f t="shared" si="33"/>
        <v>1</v>
      </c>
      <c r="N404">
        <f t="shared" si="34"/>
        <v>0</v>
      </c>
      <c r="O404">
        <f t="shared" si="35"/>
        <v>0</v>
      </c>
    </row>
    <row r="405" spans="1:15" hidden="1" x14ac:dyDescent="0.25">
      <c r="A405" s="1">
        <v>27668</v>
      </c>
      <c r="B405" t="s">
        <v>125</v>
      </c>
      <c r="C405" t="s">
        <v>11</v>
      </c>
      <c r="D405" s="2" t="s">
        <v>33</v>
      </c>
      <c r="E405" t="s">
        <v>28</v>
      </c>
      <c r="F405" t="s">
        <v>14</v>
      </c>
      <c r="G405" t="s">
        <v>129</v>
      </c>
      <c r="H405">
        <v>0</v>
      </c>
      <c r="I405">
        <v>1</v>
      </c>
      <c r="J405">
        <v>30</v>
      </c>
      <c r="K405" t="str">
        <f t="shared" si="31"/>
        <v>ColombiaUruguay</v>
      </c>
      <c r="L405" t="str">
        <f t="shared" si="32"/>
        <v>UruguayColombia</v>
      </c>
      <c r="M405">
        <f t="shared" si="33"/>
        <v>0</v>
      </c>
      <c r="N405">
        <f t="shared" si="34"/>
        <v>1</v>
      </c>
      <c r="O405">
        <f t="shared" si="35"/>
        <v>0</v>
      </c>
    </row>
    <row r="406" spans="1:15" hidden="1" x14ac:dyDescent="0.25">
      <c r="A406" s="1">
        <v>27671</v>
      </c>
      <c r="B406" t="s">
        <v>66</v>
      </c>
      <c r="C406" t="s">
        <v>19</v>
      </c>
      <c r="D406" s="2" t="s">
        <v>37</v>
      </c>
      <c r="E406" t="s">
        <v>65</v>
      </c>
      <c r="F406" t="s">
        <v>14</v>
      </c>
      <c r="G406" t="s">
        <v>83</v>
      </c>
      <c r="H406">
        <v>0</v>
      </c>
      <c r="I406">
        <v>2</v>
      </c>
      <c r="J406">
        <v>30</v>
      </c>
      <c r="K406" t="str">
        <f t="shared" si="31"/>
        <v>PeruBrazil</v>
      </c>
      <c r="L406" t="str">
        <f t="shared" si="32"/>
        <v>BrazilPeru</v>
      </c>
      <c r="M406">
        <f t="shared" si="33"/>
        <v>0</v>
      </c>
      <c r="N406">
        <f t="shared" si="34"/>
        <v>1</v>
      </c>
      <c r="O406">
        <f t="shared" si="35"/>
        <v>0</v>
      </c>
    </row>
    <row r="407" spans="1:15" hidden="1" x14ac:dyDescent="0.25">
      <c r="A407" s="1">
        <v>27683</v>
      </c>
      <c r="B407" t="s">
        <v>125</v>
      </c>
      <c r="C407" t="s">
        <v>66</v>
      </c>
      <c r="D407" s="2" t="s">
        <v>29</v>
      </c>
      <c r="E407" t="s">
        <v>223</v>
      </c>
      <c r="F407" t="s">
        <v>14</v>
      </c>
      <c r="G407" t="s">
        <v>158</v>
      </c>
      <c r="H407">
        <v>1</v>
      </c>
      <c r="I407">
        <v>0</v>
      </c>
      <c r="J407">
        <v>30</v>
      </c>
      <c r="K407" t="str">
        <f t="shared" si="31"/>
        <v>ColombiaPeru</v>
      </c>
      <c r="L407" t="str">
        <f t="shared" si="32"/>
        <v>PeruColombia</v>
      </c>
      <c r="M407">
        <f t="shared" si="33"/>
        <v>1</v>
      </c>
      <c r="N407">
        <f t="shared" si="34"/>
        <v>0</v>
      </c>
      <c r="O407">
        <f t="shared" si="35"/>
        <v>0</v>
      </c>
    </row>
    <row r="408" spans="1:15" hidden="1" x14ac:dyDescent="0.25">
      <c r="A408" s="1">
        <v>27689</v>
      </c>
      <c r="B408" t="s">
        <v>125</v>
      </c>
      <c r="C408" t="s">
        <v>66</v>
      </c>
      <c r="D408" s="2" t="s">
        <v>37</v>
      </c>
      <c r="E408" t="s">
        <v>65</v>
      </c>
      <c r="F408" t="s">
        <v>14</v>
      </c>
      <c r="G408" t="s">
        <v>158</v>
      </c>
      <c r="H408">
        <v>0</v>
      </c>
      <c r="I408">
        <v>2</v>
      </c>
      <c r="J408">
        <v>30</v>
      </c>
      <c r="K408" t="str">
        <f t="shared" si="31"/>
        <v>ColombiaPeru</v>
      </c>
      <c r="L408" t="str">
        <f t="shared" si="32"/>
        <v>PeruColombia</v>
      </c>
      <c r="M408">
        <f t="shared" si="33"/>
        <v>0</v>
      </c>
      <c r="N408">
        <f t="shared" si="34"/>
        <v>1</v>
      </c>
      <c r="O408">
        <f t="shared" si="35"/>
        <v>0</v>
      </c>
    </row>
    <row r="409" spans="1:15" hidden="1" x14ac:dyDescent="0.25">
      <c r="A409" s="1">
        <v>27695</v>
      </c>
      <c r="B409" t="s">
        <v>125</v>
      </c>
      <c r="C409" t="s">
        <v>66</v>
      </c>
      <c r="D409" s="2" t="s">
        <v>33</v>
      </c>
      <c r="E409" t="s">
        <v>227</v>
      </c>
      <c r="F409" t="s">
        <v>14</v>
      </c>
      <c r="G409" t="s">
        <v>158</v>
      </c>
      <c r="H409">
        <v>0</v>
      </c>
      <c r="I409">
        <v>1</v>
      </c>
      <c r="J409">
        <v>30</v>
      </c>
      <c r="K409" t="str">
        <f t="shared" si="31"/>
        <v>ColombiaPeru</v>
      </c>
      <c r="L409" t="str">
        <f t="shared" si="32"/>
        <v>PeruColombia</v>
      </c>
      <c r="M409">
        <f t="shared" si="33"/>
        <v>0</v>
      </c>
      <c r="N409">
        <f t="shared" si="34"/>
        <v>1</v>
      </c>
      <c r="O409">
        <f t="shared" si="35"/>
        <v>0</v>
      </c>
    </row>
    <row r="410" spans="1:15" hidden="1" x14ac:dyDescent="0.25">
      <c r="A410" s="1">
        <v>29054</v>
      </c>
      <c r="B410" t="s">
        <v>16</v>
      </c>
      <c r="C410" t="s">
        <v>56</v>
      </c>
      <c r="D410" s="3">
        <v>42036</v>
      </c>
      <c r="E410" t="s">
        <v>201</v>
      </c>
      <c r="F410" t="s">
        <v>14</v>
      </c>
      <c r="G410" t="s">
        <v>61</v>
      </c>
      <c r="H410">
        <v>1</v>
      </c>
      <c r="I410">
        <v>2</v>
      </c>
      <c r="J410">
        <v>31</v>
      </c>
      <c r="K410" t="str">
        <f t="shared" si="31"/>
        <v>ArgentinaBolivia</v>
      </c>
      <c r="L410" t="str">
        <f t="shared" si="32"/>
        <v>BoliviaArgentina</v>
      </c>
      <c r="M410">
        <f t="shared" si="33"/>
        <v>0</v>
      </c>
      <c r="N410">
        <f t="shared" si="34"/>
        <v>1</v>
      </c>
      <c r="O410">
        <f t="shared" si="35"/>
        <v>0</v>
      </c>
    </row>
    <row r="411" spans="1:15" hidden="1" x14ac:dyDescent="0.25">
      <c r="A411" s="1">
        <v>29062</v>
      </c>
      <c r="B411" t="s">
        <v>56</v>
      </c>
      <c r="C411" t="s">
        <v>19</v>
      </c>
      <c r="D411" s="3">
        <v>42006</v>
      </c>
      <c r="E411" t="s">
        <v>201</v>
      </c>
      <c r="F411" t="s">
        <v>14</v>
      </c>
      <c r="G411" t="s">
        <v>130</v>
      </c>
      <c r="H411">
        <v>2</v>
      </c>
      <c r="I411">
        <v>1</v>
      </c>
      <c r="J411">
        <v>31</v>
      </c>
      <c r="K411" t="str">
        <f t="shared" si="31"/>
        <v>BoliviaBrazil</v>
      </c>
      <c r="L411" t="str">
        <f t="shared" si="32"/>
        <v>BrazilBolivia</v>
      </c>
      <c r="M411">
        <f t="shared" si="33"/>
        <v>1</v>
      </c>
      <c r="N411">
        <f t="shared" si="34"/>
        <v>0</v>
      </c>
      <c r="O411">
        <f t="shared" si="35"/>
        <v>0</v>
      </c>
    </row>
    <row r="412" spans="1:15" hidden="1" x14ac:dyDescent="0.25">
      <c r="A412" t="s">
        <v>239</v>
      </c>
      <c r="B412" t="s">
        <v>125</v>
      </c>
      <c r="C412" t="s">
        <v>211</v>
      </c>
      <c r="D412" s="2" t="s">
        <v>24</v>
      </c>
      <c r="E412" t="s">
        <v>240</v>
      </c>
      <c r="F412" t="s">
        <v>14</v>
      </c>
      <c r="G412" t="s">
        <v>241</v>
      </c>
      <c r="H412">
        <v>0</v>
      </c>
      <c r="I412">
        <v>0</v>
      </c>
      <c r="J412">
        <v>31</v>
      </c>
      <c r="K412" t="str">
        <f t="shared" si="31"/>
        <v>ColombiaVenezuela</v>
      </c>
      <c r="L412" t="str">
        <f t="shared" si="32"/>
        <v>VenezuelaColombia</v>
      </c>
      <c r="M412">
        <f t="shared" si="33"/>
        <v>0</v>
      </c>
      <c r="N412">
        <f t="shared" si="34"/>
        <v>0</v>
      </c>
      <c r="O412">
        <f t="shared" si="35"/>
        <v>1</v>
      </c>
    </row>
    <row r="413" spans="1:15" hidden="1" x14ac:dyDescent="0.25">
      <c r="A413" t="s">
        <v>242</v>
      </c>
      <c r="B413" t="s">
        <v>16</v>
      </c>
      <c r="C413" t="s">
        <v>19</v>
      </c>
      <c r="D413" s="3">
        <v>42036</v>
      </c>
      <c r="E413" t="s">
        <v>36</v>
      </c>
      <c r="F413" t="s">
        <v>14</v>
      </c>
      <c r="G413" t="s">
        <v>21</v>
      </c>
      <c r="H413">
        <v>1</v>
      </c>
      <c r="I413">
        <v>2</v>
      </c>
      <c r="J413">
        <v>31</v>
      </c>
      <c r="K413" t="str">
        <f t="shared" si="31"/>
        <v>ArgentinaBrazil</v>
      </c>
      <c r="L413" t="str">
        <f t="shared" si="32"/>
        <v>BrazilArgentina</v>
      </c>
      <c r="M413">
        <f t="shared" si="33"/>
        <v>0</v>
      </c>
      <c r="N413">
        <f t="shared" si="34"/>
        <v>1</v>
      </c>
      <c r="O413">
        <f t="shared" si="35"/>
        <v>0</v>
      </c>
    </row>
    <row r="414" spans="1:15" hidden="1" x14ac:dyDescent="0.25">
      <c r="A414" t="s">
        <v>243</v>
      </c>
      <c r="B414" t="s">
        <v>16</v>
      </c>
      <c r="C414" t="s">
        <v>56</v>
      </c>
      <c r="D414" s="2" t="s">
        <v>47</v>
      </c>
      <c r="E414" t="s">
        <v>17</v>
      </c>
      <c r="F414" t="s">
        <v>14</v>
      </c>
      <c r="G414" t="s">
        <v>61</v>
      </c>
      <c r="H414">
        <v>3</v>
      </c>
      <c r="I414">
        <v>0</v>
      </c>
      <c r="J414">
        <v>31</v>
      </c>
      <c r="K414" t="str">
        <f t="shared" si="31"/>
        <v>ArgentinaBolivia</v>
      </c>
      <c r="L414" t="str">
        <f t="shared" si="32"/>
        <v>BoliviaArgentina</v>
      </c>
      <c r="M414">
        <f t="shared" si="33"/>
        <v>1</v>
      </c>
      <c r="N414">
        <f t="shared" si="34"/>
        <v>0</v>
      </c>
      <c r="O414">
        <f t="shared" si="35"/>
        <v>0</v>
      </c>
    </row>
    <row r="415" spans="1:15" hidden="1" x14ac:dyDescent="0.25">
      <c r="A415" t="s">
        <v>243</v>
      </c>
      <c r="B415" t="s">
        <v>10</v>
      </c>
      <c r="C415" t="s">
        <v>211</v>
      </c>
      <c r="D415" s="3">
        <v>42005</v>
      </c>
      <c r="E415" t="s">
        <v>244</v>
      </c>
      <c r="F415" t="s">
        <v>14</v>
      </c>
      <c r="G415" t="s">
        <v>212</v>
      </c>
      <c r="H415">
        <v>1</v>
      </c>
      <c r="I415">
        <v>1</v>
      </c>
      <c r="J415">
        <v>31</v>
      </c>
      <c r="K415" t="str">
        <f t="shared" si="31"/>
        <v>ChileVenezuela</v>
      </c>
      <c r="L415" t="str">
        <f t="shared" si="32"/>
        <v>VenezuelaChile</v>
      </c>
      <c r="M415">
        <f t="shared" si="33"/>
        <v>0</v>
      </c>
      <c r="N415">
        <f t="shared" si="34"/>
        <v>0</v>
      </c>
      <c r="O415">
        <f t="shared" si="35"/>
        <v>1</v>
      </c>
    </row>
    <row r="416" spans="1:15" hidden="1" x14ac:dyDescent="0.25">
      <c r="A416" t="s">
        <v>245</v>
      </c>
      <c r="B416" t="s">
        <v>10</v>
      </c>
      <c r="C416" t="s">
        <v>125</v>
      </c>
      <c r="D416" s="2" t="s">
        <v>33</v>
      </c>
      <c r="E416" t="s">
        <v>205</v>
      </c>
      <c r="F416" t="s">
        <v>14</v>
      </c>
      <c r="G416" t="s">
        <v>132</v>
      </c>
      <c r="H416">
        <v>0</v>
      </c>
      <c r="I416">
        <v>1</v>
      </c>
      <c r="J416">
        <v>31</v>
      </c>
      <c r="K416" t="str">
        <f t="shared" si="31"/>
        <v>ChileColombia</v>
      </c>
      <c r="L416" t="str">
        <f t="shared" si="32"/>
        <v>ColombiaChile</v>
      </c>
      <c r="M416">
        <f t="shared" si="33"/>
        <v>0</v>
      </c>
      <c r="N416">
        <f t="shared" si="34"/>
        <v>1</v>
      </c>
      <c r="O416">
        <f t="shared" si="35"/>
        <v>0</v>
      </c>
    </row>
    <row r="417" spans="1:15" hidden="1" x14ac:dyDescent="0.25">
      <c r="A417" t="s">
        <v>246</v>
      </c>
      <c r="B417" t="s">
        <v>56</v>
      </c>
      <c r="C417" t="s">
        <v>19</v>
      </c>
      <c r="D417" s="2" t="s">
        <v>37</v>
      </c>
      <c r="E417" t="s">
        <v>167</v>
      </c>
      <c r="F417" t="s">
        <v>14</v>
      </c>
      <c r="G417" t="s">
        <v>130</v>
      </c>
      <c r="H417">
        <v>0</v>
      </c>
      <c r="I417">
        <v>2</v>
      </c>
      <c r="J417">
        <v>31</v>
      </c>
      <c r="K417" t="str">
        <f t="shared" si="31"/>
        <v>BoliviaBrazil</v>
      </c>
      <c r="L417" t="str">
        <f t="shared" si="32"/>
        <v>BrazilBolivia</v>
      </c>
      <c r="M417">
        <f t="shared" si="33"/>
        <v>0</v>
      </c>
      <c r="N417">
        <f t="shared" si="34"/>
        <v>1</v>
      </c>
      <c r="O417">
        <f t="shared" si="35"/>
        <v>0</v>
      </c>
    </row>
    <row r="418" spans="1:15" hidden="1" x14ac:dyDescent="0.25">
      <c r="A418" t="s">
        <v>247</v>
      </c>
      <c r="B418" t="s">
        <v>125</v>
      </c>
      <c r="C418" t="s">
        <v>211</v>
      </c>
      <c r="D418" s="2" t="s">
        <v>30</v>
      </c>
      <c r="E418" t="s">
        <v>223</v>
      </c>
      <c r="F418" t="s">
        <v>14</v>
      </c>
      <c r="G418" t="s">
        <v>241</v>
      </c>
      <c r="H418">
        <v>4</v>
      </c>
      <c r="I418">
        <v>0</v>
      </c>
      <c r="J418">
        <v>31</v>
      </c>
      <c r="K418" t="str">
        <f t="shared" si="31"/>
        <v>ColombiaVenezuela</v>
      </c>
      <c r="L418" t="str">
        <f t="shared" si="32"/>
        <v>VenezuelaColombia</v>
      </c>
      <c r="M418">
        <f t="shared" si="33"/>
        <v>1</v>
      </c>
      <c r="N418">
        <f t="shared" si="34"/>
        <v>0</v>
      </c>
      <c r="O418">
        <f t="shared" si="35"/>
        <v>0</v>
      </c>
    </row>
    <row r="419" spans="1:15" hidden="1" x14ac:dyDescent="0.25">
      <c r="A419" t="s">
        <v>248</v>
      </c>
      <c r="B419" t="s">
        <v>16</v>
      </c>
      <c r="C419" t="s">
        <v>19</v>
      </c>
      <c r="D419" s="3">
        <v>42037</v>
      </c>
      <c r="E419" t="s">
        <v>17</v>
      </c>
      <c r="F419" t="s">
        <v>14</v>
      </c>
      <c r="G419" t="s">
        <v>21</v>
      </c>
      <c r="H419">
        <v>2</v>
      </c>
      <c r="I419">
        <v>2</v>
      </c>
      <c r="J419">
        <v>31</v>
      </c>
      <c r="K419" t="str">
        <f t="shared" si="31"/>
        <v>ArgentinaBrazil</v>
      </c>
      <c r="L419" t="str">
        <f t="shared" si="32"/>
        <v>BrazilArgentina</v>
      </c>
      <c r="M419">
        <f t="shared" si="33"/>
        <v>0</v>
      </c>
      <c r="N419">
        <f t="shared" si="34"/>
        <v>0</v>
      </c>
      <c r="O419">
        <f t="shared" si="35"/>
        <v>1</v>
      </c>
    </row>
    <row r="420" spans="1:15" hidden="1" x14ac:dyDescent="0.25">
      <c r="A420" t="s">
        <v>249</v>
      </c>
      <c r="B420" t="s">
        <v>10</v>
      </c>
      <c r="C420" t="s">
        <v>211</v>
      </c>
      <c r="D420" s="2" t="s">
        <v>148</v>
      </c>
      <c r="E420" t="s">
        <v>60</v>
      </c>
      <c r="F420" t="s">
        <v>14</v>
      </c>
      <c r="G420" t="s">
        <v>212</v>
      </c>
      <c r="H420">
        <v>7</v>
      </c>
      <c r="I420">
        <v>0</v>
      </c>
      <c r="J420">
        <v>31</v>
      </c>
      <c r="K420" t="str">
        <f t="shared" si="31"/>
        <v>ChileVenezuela</v>
      </c>
      <c r="L420" t="str">
        <f t="shared" si="32"/>
        <v>VenezuelaChile</v>
      </c>
      <c r="M420">
        <f t="shared" si="33"/>
        <v>1</v>
      </c>
      <c r="N420">
        <f t="shared" si="34"/>
        <v>0</v>
      </c>
      <c r="O420">
        <f t="shared" si="35"/>
        <v>0</v>
      </c>
    </row>
    <row r="421" spans="1:15" hidden="1" x14ac:dyDescent="0.25">
      <c r="A421" t="s">
        <v>249</v>
      </c>
      <c r="B421" t="s">
        <v>99</v>
      </c>
      <c r="C421" t="s">
        <v>43</v>
      </c>
      <c r="D421" s="3">
        <v>42036</v>
      </c>
      <c r="E421" t="s">
        <v>225</v>
      </c>
      <c r="F421" t="s">
        <v>14</v>
      </c>
      <c r="G421" t="s">
        <v>105</v>
      </c>
      <c r="H421">
        <v>1</v>
      </c>
      <c r="I421">
        <v>2</v>
      </c>
      <c r="J421">
        <v>31</v>
      </c>
      <c r="K421" t="str">
        <f t="shared" si="31"/>
        <v>EcuadorParaguay</v>
      </c>
      <c r="L421" t="str">
        <f t="shared" si="32"/>
        <v>ParaguayEcuador</v>
      </c>
      <c r="M421">
        <f t="shared" si="33"/>
        <v>0</v>
      </c>
      <c r="N421">
        <f t="shared" si="34"/>
        <v>1</v>
      </c>
      <c r="O421">
        <f t="shared" si="35"/>
        <v>0</v>
      </c>
    </row>
    <row r="422" spans="1:15" hidden="1" x14ac:dyDescent="0.25">
      <c r="A422" s="1">
        <v>29103</v>
      </c>
      <c r="B422" t="s">
        <v>10</v>
      </c>
      <c r="C422" t="s">
        <v>125</v>
      </c>
      <c r="D422" s="2" t="s">
        <v>42</v>
      </c>
      <c r="E422" t="s">
        <v>60</v>
      </c>
      <c r="F422" t="s">
        <v>14</v>
      </c>
      <c r="G422" t="s">
        <v>132</v>
      </c>
      <c r="H422">
        <v>2</v>
      </c>
      <c r="I422">
        <v>0</v>
      </c>
      <c r="J422">
        <v>31</v>
      </c>
      <c r="K422" t="str">
        <f t="shared" si="31"/>
        <v>ChileColombia</v>
      </c>
      <c r="L422" t="str">
        <f t="shared" si="32"/>
        <v>ColombiaChile</v>
      </c>
      <c r="M422">
        <f t="shared" si="33"/>
        <v>1</v>
      </c>
      <c r="N422">
        <f t="shared" si="34"/>
        <v>0</v>
      </c>
      <c r="O422">
        <f t="shared" si="35"/>
        <v>0</v>
      </c>
    </row>
    <row r="423" spans="1:15" hidden="1" x14ac:dyDescent="0.25">
      <c r="A423" s="1">
        <v>29103</v>
      </c>
      <c r="B423" t="s">
        <v>99</v>
      </c>
      <c r="C423" t="s">
        <v>11</v>
      </c>
      <c r="D423" s="3">
        <v>42006</v>
      </c>
      <c r="E423" t="s">
        <v>146</v>
      </c>
      <c r="F423" t="s">
        <v>14</v>
      </c>
      <c r="G423" t="s">
        <v>102</v>
      </c>
      <c r="H423">
        <v>2</v>
      </c>
      <c r="I423">
        <v>1</v>
      </c>
      <c r="J423">
        <v>31</v>
      </c>
      <c r="K423" t="str">
        <f t="shared" si="31"/>
        <v>EcuadorUruguay</v>
      </c>
      <c r="L423" t="str">
        <f t="shared" si="32"/>
        <v>UruguayEcuador</v>
      </c>
      <c r="M423">
        <f t="shared" si="33"/>
        <v>1</v>
      </c>
      <c r="N423">
        <f t="shared" si="34"/>
        <v>0</v>
      </c>
      <c r="O423">
        <f t="shared" si="35"/>
        <v>0</v>
      </c>
    </row>
    <row r="424" spans="1:15" hidden="1" x14ac:dyDescent="0.25">
      <c r="A424" s="1">
        <v>29111</v>
      </c>
      <c r="B424" t="s">
        <v>99</v>
      </c>
      <c r="C424" t="s">
        <v>43</v>
      </c>
      <c r="D424" s="2" t="s">
        <v>37</v>
      </c>
      <c r="E424" t="s">
        <v>208</v>
      </c>
      <c r="F424" t="s">
        <v>14</v>
      </c>
      <c r="G424" t="s">
        <v>105</v>
      </c>
      <c r="H424">
        <v>0</v>
      </c>
      <c r="I424">
        <v>2</v>
      </c>
      <c r="J424">
        <v>31</v>
      </c>
      <c r="K424" t="str">
        <f t="shared" si="31"/>
        <v>EcuadorParaguay</v>
      </c>
      <c r="L424" t="str">
        <f t="shared" si="32"/>
        <v>ParaguayEcuador</v>
      </c>
      <c r="M424">
        <f t="shared" si="33"/>
        <v>0</v>
      </c>
      <c r="N424">
        <f t="shared" si="34"/>
        <v>1</v>
      </c>
      <c r="O424">
        <f t="shared" si="35"/>
        <v>0</v>
      </c>
    </row>
    <row r="425" spans="1:15" hidden="1" x14ac:dyDescent="0.25">
      <c r="A425" s="1">
        <v>29114</v>
      </c>
      <c r="B425" t="s">
        <v>99</v>
      </c>
      <c r="C425" t="s">
        <v>11</v>
      </c>
      <c r="D425" s="3">
        <v>42036</v>
      </c>
      <c r="E425" t="s">
        <v>27</v>
      </c>
      <c r="F425" t="s">
        <v>14</v>
      </c>
      <c r="G425" t="s">
        <v>102</v>
      </c>
      <c r="H425">
        <v>1</v>
      </c>
      <c r="I425">
        <v>2</v>
      </c>
      <c r="J425">
        <v>31</v>
      </c>
      <c r="K425" t="str">
        <f t="shared" si="31"/>
        <v>EcuadorUruguay</v>
      </c>
      <c r="L425" t="str">
        <f t="shared" si="32"/>
        <v>UruguayEcuador</v>
      </c>
      <c r="M425">
        <f t="shared" si="33"/>
        <v>0</v>
      </c>
      <c r="N425">
        <f t="shared" si="34"/>
        <v>1</v>
      </c>
      <c r="O425">
        <f t="shared" si="35"/>
        <v>0</v>
      </c>
    </row>
    <row r="426" spans="1:15" hidden="1" x14ac:dyDescent="0.25">
      <c r="A426" s="1">
        <v>29118</v>
      </c>
      <c r="B426" t="s">
        <v>43</v>
      </c>
      <c r="C426" t="s">
        <v>11</v>
      </c>
      <c r="D426" s="2" t="s">
        <v>24</v>
      </c>
      <c r="E426" t="s">
        <v>226</v>
      </c>
      <c r="F426" t="s">
        <v>14</v>
      </c>
      <c r="G426" t="s">
        <v>44</v>
      </c>
      <c r="H426">
        <v>0</v>
      </c>
      <c r="I426">
        <v>0</v>
      </c>
      <c r="J426">
        <v>31</v>
      </c>
      <c r="K426" t="str">
        <f t="shared" si="31"/>
        <v>ParaguayUruguay</v>
      </c>
      <c r="L426" t="str">
        <f t="shared" si="32"/>
        <v>UruguayParaguay</v>
      </c>
      <c r="M426">
        <f t="shared" si="33"/>
        <v>0</v>
      </c>
      <c r="N426">
        <f t="shared" si="34"/>
        <v>0</v>
      </c>
      <c r="O426">
        <f t="shared" si="35"/>
        <v>1</v>
      </c>
    </row>
    <row r="427" spans="1:15" hidden="1" x14ac:dyDescent="0.25">
      <c r="A427" s="1">
        <v>29124</v>
      </c>
      <c r="B427" t="s">
        <v>43</v>
      </c>
      <c r="C427" t="s">
        <v>11</v>
      </c>
      <c r="D427" s="3">
        <v>42037</v>
      </c>
      <c r="E427" t="s">
        <v>27</v>
      </c>
      <c r="F427" t="s">
        <v>14</v>
      </c>
      <c r="G427" t="s">
        <v>44</v>
      </c>
      <c r="H427">
        <v>2</v>
      </c>
      <c r="I427">
        <v>2</v>
      </c>
      <c r="J427">
        <v>31</v>
      </c>
      <c r="K427" t="str">
        <f t="shared" si="31"/>
        <v>ParaguayUruguay</v>
      </c>
      <c r="L427" t="str">
        <f t="shared" si="32"/>
        <v>UruguayParaguay</v>
      </c>
      <c r="M427">
        <f t="shared" si="33"/>
        <v>0</v>
      </c>
      <c r="N427">
        <f t="shared" si="34"/>
        <v>0</v>
      </c>
      <c r="O427">
        <f t="shared" si="35"/>
        <v>1</v>
      </c>
    </row>
    <row r="428" spans="1:15" hidden="1" x14ac:dyDescent="0.25">
      <c r="A428" s="1">
        <v>29145</v>
      </c>
      <c r="B428" t="s">
        <v>10</v>
      </c>
      <c r="C428" t="s">
        <v>66</v>
      </c>
      <c r="D428" s="3">
        <v>42006</v>
      </c>
      <c r="E428" t="s">
        <v>69</v>
      </c>
      <c r="F428" t="s">
        <v>14</v>
      </c>
      <c r="G428" t="s">
        <v>80</v>
      </c>
      <c r="H428">
        <v>2</v>
      </c>
      <c r="I428">
        <v>1</v>
      </c>
      <c r="J428">
        <v>31</v>
      </c>
      <c r="K428" t="str">
        <f t="shared" si="31"/>
        <v>ChilePeru</v>
      </c>
      <c r="L428" t="str">
        <f t="shared" si="32"/>
        <v>PeruChile</v>
      </c>
      <c r="M428">
        <f t="shared" si="33"/>
        <v>1</v>
      </c>
      <c r="N428">
        <f t="shared" si="34"/>
        <v>0</v>
      </c>
      <c r="O428">
        <f t="shared" si="35"/>
        <v>0</v>
      </c>
    </row>
    <row r="429" spans="1:15" hidden="1" x14ac:dyDescent="0.25">
      <c r="A429" s="1">
        <v>29152</v>
      </c>
      <c r="B429" t="s">
        <v>43</v>
      </c>
      <c r="C429" t="s">
        <v>19</v>
      </c>
      <c r="D429" s="3">
        <v>42006</v>
      </c>
      <c r="E429" t="s">
        <v>226</v>
      </c>
      <c r="F429" t="s">
        <v>14</v>
      </c>
      <c r="G429" t="s">
        <v>46</v>
      </c>
      <c r="H429">
        <v>2</v>
      </c>
      <c r="I429">
        <v>1</v>
      </c>
      <c r="J429">
        <v>31</v>
      </c>
      <c r="K429" t="str">
        <f t="shared" si="31"/>
        <v>ParaguayBrazil</v>
      </c>
      <c r="L429" t="str">
        <f t="shared" si="32"/>
        <v>BrazilParaguay</v>
      </c>
      <c r="M429">
        <f t="shared" si="33"/>
        <v>1</v>
      </c>
      <c r="N429">
        <f t="shared" si="34"/>
        <v>0</v>
      </c>
      <c r="O429">
        <f t="shared" si="35"/>
        <v>0</v>
      </c>
    </row>
    <row r="430" spans="1:15" hidden="1" x14ac:dyDescent="0.25">
      <c r="A430" s="1">
        <v>29152</v>
      </c>
      <c r="B430" t="s">
        <v>10</v>
      </c>
      <c r="C430" t="s">
        <v>66</v>
      </c>
      <c r="D430" s="2" t="s">
        <v>24</v>
      </c>
      <c r="E430" t="s">
        <v>60</v>
      </c>
      <c r="F430" t="s">
        <v>14</v>
      </c>
      <c r="G430" t="s">
        <v>80</v>
      </c>
      <c r="H430">
        <v>0</v>
      </c>
      <c r="I430">
        <v>0</v>
      </c>
      <c r="J430">
        <v>31</v>
      </c>
      <c r="K430" t="str">
        <f t="shared" si="31"/>
        <v>ChilePeru</v>
      </c>
      <c r="L430" t="str">
        <f t="shared" si="32"/>
        <v>PeruChile</v>
      </c>
      <c r="M430">
        <f t="shared" si="33"/>
        <v>0</v>
      </c>
      <c r="N430">
        <f t="shared" si="34"/>
        <v>0</v>
      </c>
      <c r="O430">
        <f t="shared" si="35"/>
        <v>1</v>
      </c>
    </row>
    <row r="431" spans="1:15" hidden="1" x14ac:dyDescent="0.25">
      <c r="A431" s="1">
        <v>29159</v>
      </c>
      <c r="B431" t="s">
        <v>43</v>
      </c>
      <c r="C431" t="s">
        <v>19</v>
      </c>
      <c r="D431" s="3">
        <v>42037</v>
      </c>
      <c r="E431" t="s">
        <v>35</v>
      </c>
      <c r="F431" t="s">
        <v>14</v>
      </c>
      <c r="G431" t="s">
        <v>46</v>
      </c>
      <c r="H431">
        <v>2</v>
      </c>
      <c r="I431">
        <v>2</v>
      </c>
      <c r="J431">
        <v>31</v>
      </c>
      <c r="K431" t="str">
        <f t="shared" si="31"/>
        <v>ParaguayBrazil</v>
      </c>
      <c r="L431" t="str">
        <f t="shared" si="32"/>
        <v>BrazilParaguay</v>
      </c>
      <c r="M431">
        <f t="shared" si="33"/>
        <v>0</v>
      </c>
      <c r="N431">
        <f t="shared" si="34"/>
        <v>0</v>
      </c>
      <c r="O431">
        <f t="shared" si="35"/>
        <v>1</v>
      </c>
    </row>
    <row r="432" spans="1:15" hidden="1" x14ac:dyDescent="0.25">
      <c r="A432" s="1">
        <v>29187</v>
      </c>
      <c r="B432" t="s">
        <v>10</v>
      </c>
      <c r="C432" t="s">
        <v>43</v>
      </c>
      <c r="D432" s="2" t="s">
        <v>45</v>
      </c>
      <c r="E432" t="s">
        <v>250</v>
      </c>
      <c r="F432" t="s">
        <v>14</v>
      </c>
      <c r="G432" t="s">
        <v>49</v>
      </c>
      <c r="H432">
        <v>0</v>
      </c>
      <c r="I432">
        <v>3</v>
      </c>
      <c r="J432">
        <v>31</v>
      </c>
      <c r="K432" t="str">
        <f t="shared" si="31"/>
        <v>ChileParaguay</v>
      </c>
      <c r="L432" t="str">
        <f t="shared" si="32"/>
        <v>ParaguayChile</v>
      </c>
      <c r="M432">
        <f t="shared" si="33"/>
        <v>0</v>
      </c>
      <c r="N432">
        <f t="shared" si="34"/>
        <v>1</v>
      </c>
      <c r="O432">
        <f t="shared" si="35"/>
        <v>0</v>
      </c>
    </row>
    <row r="433" spans="1:15" hidden="1" x14ac:dyDescent="0.25">
      <c r="A433" t="s">
        <v>251</v>
      </c>
      <c r="B433" t="s">
        <v>10</v>
      </c>
      <c r="C433" t="s">
        <v>43</v>
      </c>
      <c r="D433" s="2" t="s">
        <v>29</v>
      </c>
      <c r="E433" t="s">
        <v>60</v>
      </c>
      <c r="F433" t="s">
        <v>14</v>
      </c>
      <c r="G433" t="s">
        <v>49</v>
      </c>
      <c r="H433">
        <v>1</v>
      </c>
      <c r="I433">
        <v>0</v>
      </c>
      <c r="J433">
        <v>31</v>
      </c>
      <c r="K433" t="str">
        <f t="shared" si="31"/>
        <v>ChileParaguay</v>
      </c>
      <c r="L433" t="str">
        <f t="shared" si="32"/>
        <v>ParaguayChile</v>
      </c>
      <c r="M433">
        <f t="shared" si="33"/>
        <v>1</v>
      </c>
      <c r="N433">
        <f t="shared" si="34"/>
        <v>0</v>
      </c>
      <c r="O433">
        <f t="shared" si="35"/>
        <v>0</v>
      </c>
    </row>
    <row r="434" spans="1:15" hidden="1" x14ac:dyDescent="0.25">
      <c r="A434" t="s">
        <v>252</v>
      </c>
      <c r="B434" t="s">
        <v>10</v>
      </c>
      <c r="C434" t="s">
        <v>43</v>
      </c>
      <c r="D434" s="2" t="s">
        <v>24</v>
      </c>
      <c r="E434" t="s">
        <v>13</v>
      </c>
      <c r="F434" t="s">
        <v>14</v>
      </c>
      <c r="G434" t="s">
        <v>49</v>
      </c>
      <c r="H434">
        <v>0</v>
      </c>
      <c r="I434">
        <v>0</v>
      </c>
      <c r="J434">
        <v>31</v>
      </c>
      <c r="K434" t="str">
        <f t="shared" si="31"/>
        <v>ChileParaguay</v>
      </c>
      <c r="L434" t="str">
        <f t="shared" si="32"/>
        <v>ParaguayChile</v>
      </c>
      <c r="M434">
        <f t="shared" si="33"/>
        <v>0</v>
      </c>
      <c r="N434">
        <f t="shared" si="34"/>
        <v>0</v>
      </c>
      <c r="O434">
        <f t="shared" si="35"/>
        <v>1</v>
      </c>
    </row>
    <row r="435" spans="1:15" hidden="1" x14ac:dyDescent="0.25">
      <c r="A435" t="s">
        <v>253</v>
      </c>
      <c r="B435" t="s">
        <v>16</v>
      </c>
      <c r="C435" t="s">
        <v>99</v>
      </c>
      <c r="D435" s="3">
        <v>42037</v>
      </c>
      <c r="E435" t="s">
        <v>225</v>
      </c>
      <c r="F435" t="s">
        <v>14</v>
      </c>
      <c r="G435" t="s">
        <v>106</v>
      </c>
      <c r="H435">
        <v>2</v>
      </c>
      <c r="I435">
        <v>2</v>
      </c>
      <c r="J435">
        <v>32</v>
      </c>
      <c r="K435" t="str">
        <f t="shared" si="31"/>
        <v>ArgentinaEcuador</v>
      </c>
      <c r="L435" t="str">
        <f t="shared" si="32"/>
        <v>EcuadorArgentina</v>
      </c>
      <c r="M435">
        <f t="shared" si="33"/>
        <v>0</v>
      </c>
      <c r="N435">
        <f t="shared" si="34"/>
        <v>0</v>
      </c>
      <c r="O435">
        <f t="shared" si="35"/>
        <v>1</v>
      </c>
    </row>
    <row r="436" spans="1:15" hidden="1" x14ac:dyDescent="0.25">
      <c r="A436" t="s">
        <v>254</v>
      </c>
      <c r="B436" t="s">
        <v>56</v>
      </c>
      <c r="C436" t="s">
        <v>125</v>
      </c>
      <c r="D436" s="2" t="s">
        <v>33</v>
      </c>
      <c r="E436" t="s">
        <v>201</v>
      </c>
      <c r="F436" t="s">
        <v>14</v>
      </c>
      <c r="G436" t="s">
        <v>137</v>
      </c>
      <c r="H436">
        <v>0</v>
      </c>
      <c r="I436">
        <v>1</v>
      </c>
      <c r="J436">
        <v>32</v>
      </c>
      <c r="K436" t="str">
        <f t="shared" si="31"/>
        <v>BoliviaColombia</v>
      </c>
      <c r="L436" t="str">
        <f t="shared" si="32"/>
        <v>ColombiaBolivia</v>
      </c>
      <c r="M436">
        <f t="shared" si="33"/>
        <v>0</v>
      </c>
      <c r="N436">
        <f t="shared" si="34"/>
        <v>1</v>
      </c>
      <c r="O436">
        <f t="shared" si="35"/>
        <v>0</v>
      </c>
    </row>
    <row r="437" spans="1:15" hidden="1" x14ac:dyDescent="0.25">
      <c r="A437" t="s">
        <v>255</v>
      </c>
      <c r="B437" t="s">
        <v>99</v>
      </c>
      <c r="C437" t="s">
        <v>19</v>
      </c>
      <c r="D437" s="2" t="s">
        <v>33</v>
      </c>
      <c r="E437" t="s">
        <v>225</v>
      </c>
      <c r="F437" t="s">
        <v>14</v>
      </c>
      <c r="G437" t="s">
        <v>121</v>
      </c>
      <c r="H437">
        <v>0</v>
      </c>
      <c r="I437">
        <v>1</v>
      </c>
      <c r="J437">
        <v>32</v>
      </c>
      <c r="K437" t="str">
        <f t="shared" si="31"/>
        <v>EcuadorBrazil</v>
      </c>
      <c r="L437" t="str">
        <f t="shared" si="32"/>
        <v>BrazilEcuador</v>
      </c>
      <c r="M437">
        <f t="shared" si="33"/>
        <v>0</v>
      </c>
      <c r="N437">
        <f t="shared" si="34"/>
        <v>1</v>
      </c>
      <c r="O437">
        <f t="shared" si="35"/>
        <v>0</v>
      </c>
    </row>
    <row r="438" spans="1:15" hidden="1" x14ac:dyDescent="0.25">
      <c r="A438" t="s">
        <v>255</v>
      </c>
      <c r="B438" t="s">
        <v>125</v>
      </c>
      <c r="C438" t="s">
        <v>66</v>
      </c>
      <c r="D438" s="2" t="s">
        <v>33</v>
      </c>
      <c r="E438" t="s">
        <v>65</v>
      </c>
      <c r="F438" t="s">
        <v>14</v>
      </c>
      <c r="G438" t="s">
        <v>158</v>
      </c>
      <c r="H438">
        <v>0</v>
      </c>
      <c r="I438">
        <v>1</v>
      </c>
      <c r="J438">
        <v>32</v>
      </c>
      <c r="K438" t="str">
        <f t="shared" si="31"/>
        <v>ColombiaPeru</v>
      </c>
      <c r="L438" t="str">
        <f t="shared" si="32"/>
        <v>PeruColombia</v>
      </c>
      <c r="M438">
        <f t="shared" si="33"/>
        <v>0</v>
      </c>
      <c r="N438">
        <f t="shared" si="34"/>
        <v>1</v>
      </c>
      <c r="O438">
        <f t="shared" si="35"/>
        <v>0</v>
      </c>
    </row>
    <row r="439" spans="1:15" hidden="1" x14ac:dyDescent="0.25">
      <c r="A439" t="s">
        <v>256</v>
      </c>
      <c r="B439" t="s">
        <v>56</v>
      </c>
      <c r="C439" t="s">
        <v>66</v>
      </c>
      <c r="D439" s="3">
        <v>42005</v>
      </c>
      <c r="E439" t="s">
        <v>201</v>
      </c>
      <c r="F439" t="s">
        <v>14</v>
      </c>
      <c r="G439" t="s">
        <v>71</v>
      </c>
      <c r="H439">
        <v>1</v>
      </c>
      <c r="I439">
        <v>1</v>
      </c>
      <c r="J439">
        <v>32</v>
      </c>
      <c r="K439" t="str">
        <f t="shared" si="31"/>
        <v>BoliviaPeru</v>
      </c>
      <c r="L439" t="str">
        <f t="shared" si="32"/>
        <v>PeruBolivia</v>
      </c>
      <c r="M439">
        <f t="shared" si="33"/>
        <v>0</v>
      </c>
      <c r="N439">
        <f t="shared" si="34"/>
        <v>0</v>
      </c>
      <c r="O439">
        <f t="shared" si="35"/>
        <v>1</v>
      </c>
    </row>
    <row r="440" spans="1:15" hidden="1" x14ac:dyDescent="0.25">
      <c r="A440" t="s">
        <v>257</v>
      </c>
      <c r="B440" t="s">
        <v>16</v>
      </c>
      <c r="C440" t="s">
        <v>19</v>
      </c>
      <c r="D440" s="2" t="s">
        <v>29</v>
      </c>
      <c r="E440" t="s">
        <v>17</v>
      </c>
      <c r="F440" t="s">
        <v>14</v>
      </c>
      <c r="G440" t="s">
        <v>21</v>
      </c>
      <c r="H440">
        <v>1</v>
      </c>
      <c r="I440">
        <v>0</v>
      </c>
      <c r="J440">
        <v>32</v>
      </c>
      <c r="K440" t="str">
        <f t="shared" si="31"/>
        <v>ArgentinaBrazil</v>
      </c>
      <c r="L440" t="str">
        <f t="shared" si="32"/>
        <v>BrazilArgentina</v>
      </c>
      <c r="M440">
        <f t="shared" si="33"/>
        <v>1</v>
      </c>
      <c r="N440">
        <f t="shared" si="34"/>
        <v>0</v>
      </c>
      <c r="O440">
        <f t="shared" si="35"/>
        <v>0</v>
      </c>
    </row>
    <row r="441" spans="1:15" hidden="1" x14ac:dyDescent="0.25">
      <c r="A441" t="s">
        <v>258</v>
      </c>
      <c r="B441" t="s">
        <v>125</v>
      </c>
      <c r="C441" t="s">
        <v>66</v>
      </c>
      <c r="D441" s="3">
        <v>42037</v>
      </c>
      <c r="E441" t="s">
        <v>223</v>
      </c>
      <c r="F441" t="s">
        <v>14</v>
      </c>
      <c r="G441" t="s">
        <v>158</v>
      </c>
      <c r="H441">
        <v>2</v>
      </c>
      <c r="I441">
        <v>2</v>
      </c>
      <c r="J441">
        <v>32</v>
      </c>
      <c r="K441" t="str">
        <f t="shared" si="31"/>
        <v>ColombiaPeru</v>
      </c>
      <c r="L441" t="str">
        <f t="shared" si="32"/>
        <v>PeruColombia</v>
      </c>
      <c r="M441">
        <f t="shared" si="33"/>
        <v>0</v>
      </c>
      <c r="N441">
        <f t="shared" si="34"/>
        <v>0</v>
      </c>
      <c r="O441">
        <f t="shared" si="35"/>
        <v>1</v>
      </c>
    </row>
    <row r="442" spans="1:15" hidden="1" x14ac:dyDescent="0.25">
      <c r="A442" t="s">
        <v>259</v>
      </c>
      <c r="B442" t="s">
        <v>56</v>
      </c>
      <c r="C442" t="s">
        <v>125</v>
      </c>
      <c r="D442" s="3">
        <v>42037</v>
      </c>
      <c r="E442" t="s">
        <v>260</v>
      </c>
      <c r="F442" t="s">
        <v>14</v>
      </c>
      <c r="G442" t="s">
        <v>137</v>
      </c>
      <c r="H442">
        <v>2</v>
      </c>
      <c r="I442">
        <v>2</v>
      </c>
      <c r="J442">
        <v>32</v>
      </c>
      <c r="K442" t="str">
        <f t="shared" si="31"/>
        <v>BoliviaColombia</v>
      </c>
      <c r="L442" t="str">
        <f t="shared" si="32"/>
        <v>ColombiaBolivia</v>
      </c>
      <c r="M442">
        <f t="shared" si="33"/>
        <v>0</v>
      </c>
      <c r="N442">
        <f t="shared" si="34"/>
        <v>0</v>
      </c>
      <c r="O442">
        <f t="shared" si="35"/>
        <v>1</v>
      </c>
    </row>
    <row r="443" spans="1:15" hidden="1" x14ac:dyDescent="0.25">
      <c r="A443" s="1">
        <v>30560</v>
      </c>
      <c r="B443" t="s">
        <v>99</v>
      </c>
      <c r="C443" t="s">
        <v>19</v>
      </c>
      <c r="D443" s="2" t="s">
        <v>32</v>
      </c>
      <c r="E443" t="s">
        <v>167</v>
      </c>
      <c r="F443" t="s">
        <v>14</v>
      </c>
      <c r="G443" t="s">
        <v>121</v>
      </c>
      <c r="H443">
        <v>0</v>
      </c>
      <c r="I443">
        <v>5</v>
      </c>
      <c r="J443">
        <v>32</v>
      </c>
      <c r="K443" t="str">
        <f t="shared" si="31"/>
        <v>EcuadorBrazil</v>
      </c>
      <c r="L443" t="str">
        <f t="shared" si="32"/>
        <v>BrazilEcuador</v>
      </c>
      <c r="M443">
        <f t="shared" si="33"/>
        <v>0</v>
      </c>
      <c r="N443">
        <f t="shared" si="34"/>
        <v>1</v>
      </c>
      <c r="O443">
        <f t="shared" si="35"/>
        <v>0</v>
      </c>
    </row>
    <row r="444" spans="1:15" hidden="1" x14ac:dyDescent="0.25">
      <c r="A444" s="1">
        <v>30560</v>
      </c>
      <c r="B444" t="s">
        <v>10</v>
      </c>
      <c r="C444" t="s">
        <v>11</v>
      </c>
      <c r="D444" s="3">
        <v>42036</v>
      </c>
      <c r="E444" t="s">
        <v>27</v>
      </c>
      <c r="F444" t="s">
        <v>14</v>
      </c>
      <c r="G444" t="s">
        <v>15</v>
      </c>
      <c r="H444">
        <v>1</v>
      </c>
      <c r="I444">
        <v>2</v>
      </c>
      <c r="J444">
        <v>32</v>
      </c>
      <c r="K444" t="str">
        <f t="shared" si="31"/>
        <v>ChileUruguay</v>
      </c>
      <c r="L444" t="str">
        <f t="shared" si="32"/>
        <v>UruguayChile</v>
      </c>
      <c r="M444">
        <f t="shared" si="33"/>
        <v>0</v>
      </c>
      <c r="N444">
        <f t="shared" si="34"/>
        <v>1</v>
      </c>
      <c r="O444">
        <f t="shared" si="35"/>
        <v>0</v>
      </c>
    </row>
    <row r="445" spans="1:15" hidden="1" x14ac:dyDescent="0.25">
      <c r="A445" s="1">
        <v>30563</v>
      </c>
      <c r="B445" t="s">
        <v>56</v>
      </c>
      <c r="C445" t="s">
        <v>66</v>
      </c>
      <c r="D445" s="3">
        <v>42036</v>
      </c>
      <c r="E445" t="s">
        <v>69</v>
      </c>
      <c r="F445" t="s">
        <v>14</v>
      </c>
      <c r="G445" t="s">
        <v>71</v>
      </c>
      <c r="H445">
        <v>1</v>
      </c>
      <c r="I445">
        <v>2</v>
      </c>
      <c r="J445">
        <v>32</v>
      </c>
      <c r="K445" t="str">
        <f t="shared" si="31"/>
        <v>BoliviaPeru</v>
      </c>
      <c r="L445" t="str">
        <f t="shared" si="32"/>
        <v>PeruBolivia</v>
      </c>
      <c r="M445">
        <f t="shared" si="33"/>
        <v>0</v>
      </c>
      <c r="N445">
        <f t="shared" si="34"/>
        <v>1</v>
      </c>
      <c r="O445">
        <f t="shared" si="35"/>
        <v>0</v>
      </c>
    </row>
    <row r="446" spans="1:15" x14ac:dyDescent="0.25">
      <c r="A446" s="1">
        <v>30563</v>
      </c>
      <c r="B446" t="s">
        <v>11</v>
      </c>
      <c r="C446" t="s">
        <v>211</v>
      </c>
      <c r="D446" s="2" t="s">
        <v>47</v>
      </c>
      <c r="E446" t="s">
        <v>31</v>
      </c>
      <c r="F446" t="s">
        <v>14</v>
      </c>
      <c r="G446" t="s">
        <v>214</v>
      </c>
      <c r="H446">
        <v>3</v>
      </c>
      <c r="I446">
        <v>0</v>
      </c>
      <c r="J446">
        <v>32</v>
      </c>
      <c r="K446" t="str">
        <f t="shared" si="31"/>
        <v>UruguayVenezuela</v>
      </c>
      <c r="L446" t="str">
        <f t="shared" si="32"/>
        <v>VenezuelaUruguay</v>
      </c>
      <c r="M446">
        <f t="shared" si="33"/>
        <v>1</v>
      </c>
      <c r="N446">
        <f t="shared" si="34"/>
        <v>0</v>
      </c>
      <c r="O446">
        <f t="shared" si="35"/>
        <v>0</v>
      </c>
    </row>
    <row r="447" spans="1:15" hidden="1" x14ac:dyDescent="0.25">
      <c r="A447" s="1">
        <v>30566</v>
      </c>
      <c r="B447" t="s">
        <v>16</v>
      </c>
      <c r="C447" t="s">
        <v>99</v>
      </c>
      <c r="D447" s="3">
        <v>42037</v>
      </c>
      <c r="E447" t="s">
        <v>17</v>
      </c>
      <c r="F447" t="s">
        <v>14</v>
      </c>
      <c r="G447" t="s">
        <v>106</v>
      </c>
      <c r="H447">
        <v>2</v>
      </c>
      <c r="I447">
        <v>2</v>
      </c>
      <c r="J447">
        <v>32</v>
      </c>
      <c r="K447" t="str">
        <f t="shared" si="31"/>
        <v>ArgentinaEcuador</v>
      </c>
      <c r="L447" t="str">
        <f t="shared" si="32"/>
        <v>EcuadorArgentina</v>
      </c>
      <c r="M447">
        <f t="shared" si="33"/>
        <v>0</v>
      </c>
      <c r="N447">
        <f t="shared" si="34"/>
        <v>0</v>
      </c>
      <c r="O447">
        <f t="shared" si="35"/>
        <v>1</v>
      </c>
    </row>
    <row r="448" spans="1:15" hidden="1" x14ac:dyDescent="0.25">
      <c r="A448" s="1">
        <v>30567</v>
      </c>
      <c r="B448" t="s">
        <v>10</v>
      </c>
      <c r="C448" t="s">
        <v>211</v>
      </c>
      <c r="D448" s="2" t="s">
        <v>59</v>
      </c>
      <c r="E448" t="s">
        <v>60</v>
      </c>
      <c r="F448" t="s">
        <v>14</v>
      </c>
      <c r="G448" t="s">
        <v>212</v>
      </c>
      <c r="H448">
        <v>5</v>
      </c>
      <c r="I448">
        <v>0</v>
      </c>
      <c r="J448">
        <v>32</v>
      </c>
      <c r="K448" t="str">
        <f t="shared" si="31"/>
        <v>ChileVenezuela</v>
      </c>
      <c r="L448" t="str">
        <f t="shared" si="32"/>
        <v>VenezuelaChile</v>
      </c>
      <c r="M448">
        <f t="shared" si="33"/>
        <v>1</v>
      </c>
      <c r="N448">
        <f t="shared" si="34"/>
        <v>0</v>
      </c>
      <c r="O448">
        <f t="shared" si="35"/>
        <v>0</v>
      </c>
    </row>
    <row r="449" spans="1:15" hidden="1" x14ac:dyDescent="0.25">
      <c r="A449" s="1">
        <v>30570</v>
      </c>
      <c r="B449" t="s">
        <v>10</v>
      </c>
      <c r="C449" t="s">
        <v>11</v>
      </c>
      <c r="D449" s="2" t="s">
        <v>42</v>
      </c>
      <c r="E449" t="s">
        <v>60</v>
      </c>
      <c r="F449" t="s">
        <v>14</v>
      </c>
      <c r="G449" t="s">
        <v>15</v>
      </c>
      <c r="H449">
        <v>2</v>
      </c>
      <c r="I449">
        <v>0</v>
      </c>
      <c r="J449">
        <v>32</v>
      </c>
      <c r="K449" t="str">
        <f t="shared" si="31"/>
        <v>ChileUruguay</v>
      </c>
      <c r="L449" t="str">
        <f t="shared" si="32"/>
        <v>UruguayChile</v>
      </c>
      <c r="M449">
        <f t="shared" si="33"/>
        <v>1</v>
      </c>
      <c r="N449">
        <f t="shared" si="34"/>
        <v>0</v>
      </c>
      <c r="O449">
        <f t="shared" si="35"/>
        <v>0</v>
      </c>
    </row>
    <row r="450" spans="1:15" hidden="1" x14ac:dyDescent="0.25">
      <c r="A450" s="1">
        <v>30573</v>
      </c>
      <c r="B450" t="s">
        <v>16</v>
      </c>
      <c r="C450" t="s">
        <v>19</v>
      </c>
      <c r="D450" s="2" t="s">
        <v>24</v>
      </c>
      <c r="E450" t="s">
        <v>36</v>
      </c>
      <c r="F450" t="s">
        <v>14</v>
      </c>
      <c r="G450" t="s">
        <v>21</v>
      </c>
      <c r="H450">
        <v>0</v>
      </c>
      <c r="I450">
        <v>0</v>
      </c>
      <c r="J450">
        <v>32</v>
      </c>
      <c r="K450" t="str">
        <f t="shared" si="31"/>
        <v>ArgentinaBrazil</v>
      </c>
      <c r="L450" t="str">
        <f t="shared" si="32"/>
        <v>BrazilArgentina</v>
      </c>
      <c r="M450">
        <f t="shared" si="33"/>
        <v>0</v>
      </c>
      <c r="N450">
        <f t="shared" si="34"/>
        <v>0</v>
      </c>
      <c r="O450">
        <f t="shared" si="35"/>
        <v>1</v>
      </c>
    </row>
    <row r="451" spans="1:15" x14ac:dyDescent="0.25">
      <c r="A451" s="1">
        <v>30577</v>
      </c>
      <c r="B451" t="s">
        <v>11</v>
      </c>
      <c r="C451" t="s">
        <v>211</v>
      </c>
      <c r="D451" s="3">
        <v>42006</v>
      </c>
      <c r="E451" t="s">
        <v>261</v>
      </c>
      <c r="F451" t="s">
        <v>14</v>
      </c>
      <c r="G451" t="s">
        <v>214</v>
      </c>
      <c r="H451">
        <v>2</v>
      </c>
      <c r="I451">
        <v>1</v>
      </c>
      <c r="J451">
        <v>32</v>
      </c>
      <c r="K451" t="str">
        <f t="shared" ref="K451:K514" si="36">CONCATENATE(B451,C451)</f>
        <v>UruguayVenezuela</v>
      </c>
      <c r="L451" t="str">
        <f t="shared" ref="L451:L514" si="37">CONCATENATE(C451,B451)</f>
        <v>VenezuelaUruguay</v>
      </c>
      <c r="M451">
        <f t="shared" ref="M451:M514" si="38">IF(H451&gt;I451,1,0)</f>
        <v>1</v>
      </c>
      <c r="N451">
        <f t="shared" ref="N451:N514" si="39">IF(I451&gt;H451,1,0)</f>
        <v>0</v>
      </c>
      <c r="O451">
        <f t="shared" ref="O451:O514" si="40">IF(I451=H451,1,0)</f>
        <v>0</v>
      </c>
    </row>
    <row r="452" spans="1:15" hidden="1" x14ac:dyDescent="0.25">
      <c r="A452" s="1">
        <v>30580</v>
      </c>
      <c r="B452" t="s">
        <v>10</v>
      </c>
      <c r="C452" t="s">
        <v>211</v>
      </c>
      <c r="D452" s="2" t="s">
        <v>24</v>
      </c>
      <c r="E452" t="s">
        <v>262</v>
      </c>
      <c r="F452" t="s">
        <v>14</v>
      </c>
      <c r="G452" t="s">
        <v>212</v>
      </c>
      <c r="H452">
        <v>0</v>
      </c>
      <c r="I452">
        <v>0</v>
      </c>
      <c r="J452">
        <v>32</v>
      </c>
      <c r="K452" t="str">
        <f t="shared" si="36"/>
        <v>ChileVenezuela</v>
      </c>
      <c r="L452" t="str">
        <f t="shared" si="37"/>
        <v>VenezuelaChile</v>
      </c>
      <c r="M452">
        <f t="shared" si="38"/>
        <v>0</v>
      </c>
      <c r="N452">
        <f t="shared" si="39"/>
        <v>0</v>
      </c>
      <c r="O452">
        <f t="shared" si="40"/>
        <v>1</v>
      </c>
    </row>
    <row r="453" spans="1:15" hidden="1" x14ac:dyDescent="0.25">
      <c r="A453" s="1">
        <v>30602</v>
      </c>
      <c r="B453" t="s">
        <v>66</v>
      </c>
      <c r="C453" t="s">
        <v>11</v>
      </c>
      <c r="D453" s="2" t="s">
        <v>33</v>
      </c>
      <c r="E453" t="s">
        <v>65</v>
      </c>
      <c r="F453" t="s">
        <v>14</v>
      </c>
      <c r="G453" t="s">
        <v>67</v>
      </c>
      <c r="H453">
        <v>0</v>
      </c>
      <c r="I453">
        <v>1</v>
      </c>
      <c r="J453">
        <v>32</v>
      </c>
      <c r="K453" t="str">
        <f t="shared" si="36"/>
        <v>PeruUruguay</v>
      </c>
      <c r="L453" t="str">
        <f t="shared" si="37"/>
        <v>UruguayPeru</v>
      </c>
      <c r="M453">
        <f t="shared" si="38"/>
        <v>0</v>
      </c>
      <c r="N453">
        <f t="shared" si="39"/>
        <v>1</v>
      </c>
      <c r="O453">
        <f t="shared" si="40"/>
        <v>0</v>
      </c>
    </row>
    <row r="454" spans="1:15" hidden="1" x14ac:dyDescent="0.25">
      <c r="A454" s="1">
        <v>30602</v>
      </c>
      <c r="B454" t="s">
        <v>43</v>
      </c>
      <c r="C454" t="s">
        <v>19</v>
      </c>
      <c r="D454" s="3">
        <v>42005</v>
      </c>
      <c r="E454" t="s">
        <v>226</v>
      </c>
      <c r="F454" t="s">
        <v>14</v>
      </c>
      <c r="G454" t="s">
        <v>46</v>
      </c>
      <c r="H454">
        <v>1</v>
      </c>
      <c r="I454">
        <v>1</v>
      </c>
      <c r="J454">
        <v>32</v>
      </c>
      <c r="K454" t="str">
        <f t="shared" si="36"/>
        <v>ParaguayBrazil</v>
      </c>
      <c r="L454" t="str">
        <f t="shared" si="37"/>
        <v>BrazilParaguay</v>
      </c>
      <c r="M454">
        <f t="shared" si="38"/>
        <v>0</v>
      </c>
      <c r="N454">
        <f t="shared" si="39"/>
        <v>0</v>
      </c>
      <c r="O454">
        <f t="shared" si="40"/>
        <v>1</v>
      </c>
    </row>
    <row r="455" spans="1:15" hidden="1" x14ac:dyDescent="0.25">
      <c r="A455" s="1">
        <v>30609</v>
      </c>
      <c r="B455" t="s">
        <v>66</v>
      </c>
      <c r="C455" t="s">
        <v>11</v>
      </c>
      <c r="D455" s="3">
        <v>42005</v>
      </c>
      <c r="E455" t="s">
        <v>28</v>
      </c>
      <c r="F455" t="s">
        <v>14</v>
      </c>
      <c r="G455" t="s">
        <v>67</v>
      </c>
      <c r="H455">
        <v>1</v>
      </c>
      <c r="I455">
        <v>1</v>
      </c>
      <c r="J455">
        <v>32</v>
      </c>
      <c r="K455" t="str">
        <f t="shared" si="36"/>
        <v>PeruUruguay</v>
      </c>
      <c r="L455" t="str">
        <f t="shared" si="37"/>
        <v>UruguayPeru</v>
      </c>
      <c r="M455">
        <f t="shared" si="38"/>
        <v>0</v>
      </c>
      <c r="N455">
        <f t="shared" si="39"/>
        <v>0</v>
      </c>
      <c r="O455">
        <f t="shared" si="40"/>
        <v>1</v>
      </c>
    </row>
    <row r="456" spans="1:15" hidden="1" x14ac:dyDescent="0.25">
      <c r="A456" s="1">
        <v>30609</v>
      </c>
      <c r="B456" t="s">
        <v>43</v>
      </c>
      <c r="C456" t="s">
        <v>19</v>
      </c>
      <c r="D456" s="2" t="s">
        <v>24</v>
      </c>
      <c r="E456" t="s">
        <v>263</v>
      </c>
      <c r="F456" t="s">
        <v>14</v>
      </c>
      <c r="G456" t="s">
        <v>46</v>
      </c>
      <c r="H456">
        <v>0</v>
      </c>
      <c r="I456">
        <v>0</v>
      </c>
      <c r="J456">
        <v>32</v>
      </c>
      <c r="K456" t="str">
        <f t="shared" si="36"/>
        <v>ParaguayBrazil</v>
      </c>
      <c r="L456" t="str">
        <f t="shared" si="37"/>
        <v>BrazilParaguay</v>
      </c>
      <c r="M456">
        <f t="shared" si="38"/>
        <v>0</v>
      </c>
      <c r="N456">
        <f t="shared" si="39"/>
        <v>0</v>
      </c>
      <c r="O456">
        <f t="shared" si="40"/>
        <v>1</v>
      </c>
    </row>
    <row r="457" spans="1:15" x14ac:dyDescent="0.25">
      <c r="A457" s="1">
        <v>30616</v>
      </c>
      <c r="B457" t="s">
        <v>11</v>
      </c>
      <c r="C457" t="s">
        <v>19</v>
      </c>
      <c r="D457" s="2" t="s">
        <v>42</v>
      </c>
      <c r="E457" t="s">
        <v>31</v>
      </c>
      <c r="F457" t="s">
        <v>14</v>
      </c>
      <c r="G457" t="s">
        <v>23</v>
      </c>
      <c r="H457">
        <v>2</v>
      </c>
      <c r="I457">
        <v>0</v>
      </c>
      <c r="J457">
        <v>32</v>
      </c>
      <c r="K457" t="str">
        <f t="shared" si="36"/>
        <v>UruguayBrazil</v>
      </c>
      <c r="L457" t="str">
        <f t="shared" si="37"/>
        <v>BrazilUruguay</v>
      </c>
      <c r="M457">
        <f t="shared" si="38"/>
        <v>1</v>
      </c>
      <c r="N457">
        <f t="shared" si="39"/>
        <v>0</v>
      </c>
      <c r="O457">
        <f t="shared" si="40"/>
        <v>0</v>
      </c>
    </row>
    <row r="458" spans="1:15" x14ac:dyDescent="0.25">
      <c r="A458" s="1">
        <v>30624</v>
      </c>
      <c r="B458" t="s">
        <v>11</v>
      </c>
      <c r="C458" t="s">
        <v>19</v>
      </c>
      <c r="D458" s="3">
        <v>42005</v>
      </c>
      <c r="E458" t="s">
        <v>264</v>
      </c>
      <c r="F458" t="s">
        <v>14</v>
      </c>
      <c r="G458" t="s">
        <v>23</v>
      </c>
      <c r="H458">
        <v>1</v>
      </c>
      <c r="I458">
        <v>1</v>
      </c>
      <c r="J458">
        <v>32</v>
      </c>
      <c r="K458" t="str">
        <f t="shared" si="36"/>
        <v>UruguayBrazil</v>
      </c>
      <c r="L458" t="str">
        <f t="shared" si="37"/>
        <v>BrazilUruguay</v>
      </c>
      <c r="M458">
        <f t="shared" si="38"/>
        <v>0</v>
      </c>
      <c r="N458">
        <f t="shared" si="39"/>
        <v>0</v>
      </c>
      <c r="O458">
        <f t="shared" si="40"/>
        <v>1</v>
      </c>
    </row>
    <row r="459" spans="1:15" hidden="1" x14ac:dyDescent="0.25">
      <c r="A459" s="1">
        <v>31955</v>
      </c>
      <c r="B459" t="s">
        <v>16</v>
      </c>
      <c r="C459" t="s">
        <v>66</v>
      </c>
      <c r="D459" s="3">
        <v>42005</v>
      </c>
      <c r="E459" t="s">
        <v>17</v>
      </c>
      <c r="F459" t="s">
        <v>14</v>
      </c>
      <c r="G459" t="s">
        <v>72</v>
      </c>
      <c r="H459">
        <v>1</v>
      </c>
      <c r="I459">
        <v>1</v>
      </c>
      <c r="J459">
        <v>33</v>
      </c>
      <c r="K459" t="str">
        <f t="shared" si="36"/>
        <v>ArgentinaPeru</v>
      </c>
      <c r="L459" t="str">
        <f t="shared" si="37"/>
        <v>PeruArgentina</v>
      </c>
      <c r="M459">
        <f t="shared" si="38"/>
        <v>0</v>
      </c>
      <c r="N459">
        <f t="shared" si="39"/>
        <v>0</v>
      </c>
      <c r="O459">
        <f t="shared" si="40"/>
        <v>1</v>
      </c>
    </row>
    <row r="460" spans="1:15" hidden="1" x14ac:dyDescent="0.25">
      <c r="A460" s="1">
        <v>31956</v>
      </c>
      <c r="B460" t="s">
        <v>56</v>
      </c>
      <c r="C460" t="s">
        <v>43</v>
      </c>
      <c r="D460" s="2" t="s">
        <v>24</v>
      </c>
      <c r="E460" t="s">
        <v>265</v>
      </c>
      <c r="F460" t="s">
        <v>14</v>
      </c>
      <c r="G460" t="s">
        <v>63</v>
      </c>
      <c r="H460">
        <v>0</v>
      </c>
      <c r="I460">
        <v>0</v>
      </c>
      <c r="J460">
        <v>33</v>
      </c>
      <c r="K460" t="str">
        <f t="shared" si="36"/>
        <v>BoliviaParaguay</v>
      </c>
      <c r="L460" t="str">
        <f t="shared" si="37"/>
        <v>ParaguayBolivia</v>
      </c>
      <c r="M460">
        <f t="shared" si="38"/>
        <v>0</v>
      </c>
      <c r="N460">
        <f t="shared" si="39"/>
        <v>0</v>
      </c>
      <c r="O460">
        <f t="shared" si="40"/>
        <v>1</v>
      </c>
    </row>
    <row r="461" spans="1:15" hidden="1" x14ac:dyDescent="0.25">
      <c r="A461" s="1">
        <v>31956</v>
      </c>
      <c r="B461" t="s">
        <v>211</v>
      </c>
      <c r="C461" t="s">
        <v>19</v>
      </c>
      <c r="D461" s="2" t="s">
        <v>32</v>
      </c>
      <c r="E461" t="s">
        <v>266</v>
      </c>
      <c r="F461" t="s">
        <v>14</v>
      </c>
      <c r="G461" t="s">
        <v>228</v>
      </c>
      <c r="H461">
        <v>0</v>
      </c>
      <c r="I461">
        <v>5</v>
      </c>
      <c r="J461">
        <v>33</v>
      </c>
      <c r="K461" t="str">
        <f t="shared" si="36"/>
        <v>VenezuelaBrazil</v>
      </c>
      <c r="L461" t="str">
        <f t="shared" si="37"/>
        <v>BrazilVenezuela</v>
      </c>
      <c r="M461">
        <f t="shared" si="38"/>
        <v>0</v>
      </c>
      <c r="N461">
        <f t="shared" si="39"/>
        <v>1</v>
      </c>
      <c r="O461">
        <f t="shared" si="40"/>
        <v>0</v>
      </c>
    </row>
    <row r="462" spans="1:15" hidden="1" x14ac:dyDescent="0.25">
      <c r="A462" s="1">
        <v>31958</v>
      </c>
      <c r="B462" t="s">
        <v>10</v>
      </c>
      <c r="C462" t="s">
        <v>211</v>
      </c>
      <c r="D462" s="3">
        <v>42007</v>
      </c>
      <c r="E462" t="s">
        <v>267</v>
      </c>
      <c r="F462" t="s">
        <v>14</v>
      </c>
      <c r="G462" t="s">
        <v>212</v>
      </c>
      <c r="H462">
        <v>3</v>
      </c>
      <c r="I462">
        <v>1</v>
      </c>
      <c r="J462">
        <v>33</v>
      </c>
      <c r="K462" t="str">
        <f t="shared" si="36"/>
        <v>ChileVenezuela</v>
      </c>
      <c r="L462" t="str">
        <f t="shared" si="37"/>
        <v>VenezuelaChile</v>
      </c>
      <c r="M462">
        <f t="shared" si="38"/>
        <v>1</v>
      </c>
      <c r="N462">
        <f t="shared" si="39"/>
        <v>0</v>
      </c>
      <c r="O462">
        <f t="shared" si="40"/>
        <v>0</v>
      </c>
    </row>
    <row r="463" spans="1:15" hidden="1" x14ac:dyDescent="0.25">
      <c r="A463" s="1">
        <v>31959</v>
      </c>
      <c r="B463" t="s">
        <v>56</v>
      </c>
      <c r="C463" t="s">
        <v>125</v>
      </c>
      <c r="D463" s="2" t="s">
        <v>37</v>
      </c>
      <c r="E463" t="s">
        <v>265</v>
      </c>
      <c r="F463" t="s">
        <v>14</v>
      </c>
      <c r="G463" t="s">
        <v>137</v>
      </c>
      <c r="H463">
        <v>0</v>
      </c>
      <c r="I463">
        <v>2</v>
      </c>
      <c r="J463">
        <v>33</v>
      </c>
      <c r="K463" t="str">
        <f t="shared" si="36"/>
        <v>BoliviaColombia</v>
      </c>
      <c r="L463" t="str">
        <f t="shared" si="37"/>
        <v>ColombiaBolivia</v>
      </c>
      <c r="M463">
        <f t="shared" si="38"/>
        <v>0</v>
      </c>
      <c r="N463">
        <f t="shared" si="39"/>
        <v>1</v>
      </c>
      <c r="O463">
        <f t="shared" si="40"/>
        <v>0</v>
      </c>
    </row>
    <row r="464" spans="1:15" hidden="1" x14ac:dyDescent="0.25">
      <c r="A464" s="1">
        <v>31960</v>
      </c>
      <c r="B464" t="s">
        <v>16</v>
      </c>
      <c r="C464" t="s">
        <v>99</v>
      </c>
      <c r="D464" s="2" t="s">
        <v>47</v>
      </c>
      <c r="E464" t="s">
        <v>17</v>
      </c>
      <c r="F464" t="s">
        <v>14</v>
      </c>
      <c r="G464" t="s">
        <v>106</v>
      </c>
      <c r="H464">
        <v>3</v>
      </c>
      <c r="I464">
        <v>0</v>
      </c>
      <c r="J464">
        <v>33</v>
      </c>
      <c r="K464" t="str">
        <f t="shared" si="36"/>
        <v>ArgentinaEcuador</v>
      </c>
      <c r="L464" t="str">
        <f t="shared" si="37"/>
        <v>EcuadorArgentina</v>
      </c>
      <c r="M464">
        <f t="shared" si="38"/>
        <v>1</v>
      </c>
      <c r="N464">
        <f t="shared" si="39"/>
        <v>0</v>
      </c>
      <c r="O464">
        <f t="shared" si="40"/>
        <v>0</v>
      </c>
    </row>
    <row r="465" spans="1:15" hidden="1" x14ac:dyDescent="0.25">
      <c r="A465" s="1">
        <v>31961</v>
      </c>
      <c r="B465" t="s">
        <v>10</v>
      </c>
      <c r="C465" t="s">
        <v>19</v>
      </c>
      <c r="D465" s="2" t="s">
        <v>30</v>
      </c>
      <c r="E465" t="s">
        <v>267</v>
      </c>
      <c r="F465" t="s">
        <v>14</v>
      </c>
      <c r="G465" t="s">
        <v>20</v>
      </c>
      <c r="H465">
        <v>4</v>
      </c>
      <c r="I465">
        <v>0</v>
      </c>
      <c r="J465">
        <v>33</v>
      </c>
      <c r="K465" t="str">
        <f t="shared" si="36"/>
        <v>ChileBrazil</v>
      </c>
      <c r="L465" t="str">
        <f t="shared" si="37"/>
        <v>BrazilChile</v>
      </c>
      <c r="M465">
        <f t="shared" si="38"/>
        <v>1</v>
      </c>
      <c r="N465">
        <f t="shared" si="39"/>
        <v>0</v>
      </c>
      <c r="O465">
        <f t="shared" si="40"/>
        <v>0</v>
      </c>
    </row>
    <row r="466" spans="1:15" hidden="1" x14ac:dyDescent="0.25">
      <c r="A466" s="1">
        <v>31962</v>
      </c>
      <c r="B466" t="s">
        <v>99</v>
      </c>
      <c r="C466" t="s">
        <v>66</v>
      </c>
      <c r="D466" s="3">
        <v>42005</v>
      </c>
      <c r="E466" t="s">
        <v>13</v>
      </c>
      <c r="F466" t="s">
        <v>14</v>
      </c>
      <c r="G466" t="s">
        <v>100</v>
      </c>
      <c r="H466">
        <v>1</v>
      </c>
      <c r="I466">
        <v>1</v>
      </c>
      <c r="J466">
        <v>33</v>
      </c>
      <c r="K466" t="str">
        <f t="shared" si="36"/>
        <v>EcuadorPeru</v>
      </c>
      <c r="L466" t="str">
        <f t="shared" si="37"/>
        <v>PeruEcuador</v>
      </c>
      <c r="M466">
        <f t="shared" si="38"/>
        <v>0</v>
      </c>
      <c r="N466">
        <f t="shared" si="39"/>
        <v>0</v>
      </c>
      <c r="O466">
        <f t="shared" si="40"/>
        <v>1</v>
      </c>
    </row>
    <row r="467" spans="1:15" hidden="1" x14ac:dyDescent="0.25">
      <c r="A467" s="1">
        <v>31963</v>
      </c>
      <c r="B467" t="s">
        <v>125</v>
      </c>
      <c r="C467" t="s">
        <v>43</v>
      </c>
      <c r="D467" s="2" t="s">
        <v>47</v>
      </c>
      <c r="E467" t="s">
        <v>235</v>
      </c>
      <c r="F467" t="s">
        <v>14</v>
      </c>
      <c r="G467" t="s">
        <v>156</v>
      </c>
      <c r="H467">
        <v>3</v>
      </c>
      <c r="I467">
        <v>0</v>
      </c>
      <c r="J467">
        <v>33</v>
      </c>
      <c r="K467" t="str">
        <f t="shared" si="36"/>
        <v>ColombiaParaguay</v>
      </c>
      <c r="L467" t="str">
        <f t="shared" si="37"/>
        <v>ParaguayColombia</v>
      </c>
      <c r="M467">
        <f t="shared" si="38"/>
        <v>1</v>
      </c>
      <c r="N467">
        <f t="shared" si="39"/>
        <v>0</v>
      </c>
      <c r="O467">
        <f t="shared" si="40"/>
        <v>0</v>
      </c>
    </row>
    <row r="468" spans="1:15" hidden="1" x14ac:dyDescent="0.25">
      <c r="A468" s="1">
        <v>31966</v>
      </c>
      <c r="B468" t="s">
        <v>10</v>
      </c>
      <c r="C468" t="s">
        <v>125</v>
      </c>
      <c r="D468" s="3">
        <v>42006</v>
      </c>
      <c r="E468" t="s">
        <v>267</v>
      </c>
      <c r="F468" t="s">
        <v>14</v>
      </c>
      <c r="G468" t="s">
        <v>132</v>
      </c>
      <c r="H468">
        <v>2</v>
      </c>
      <c r="I468">
        <v>1</v>
      </c>
      <c r="J468">
        <v>33</v>
      </c>
      <c r="K468" t="str">
        <f t="shared" si="36"/>
        <v>ChileColombia</v>
      </c>
      <c r="L468" t="str">
        <f t="shared" si="37"/>
        <v>ColombiaChile</v>
      </c>
      <c r="M468">
        <f t="shared" si="38"/>
        <v>1</v>
      </c>
      <c r="N468">
        <f t="shared" si="39"/>
        <v>0</v>
      </c>
      <c r="O468">
        <f t="shared" si="40"/>
        <v>0</v>
      </c>
    </row>
    <row r="469" spans="1:15" hidden="1" x14ac:dyDescent="0.25">
      <c r="A469" s="1">
        <v>31967</v>
      </c>
      <c r="B469" t="s">
        <v>16</v>
      </c>
      <c r="C469" t="s">
        <v>11</v>
      </c>
      <c r="D469" s="2" t="s">
        <v>33</v>
      </c>
      <c r="E469" t="s">
        <v>17</v>
      </c>
      <c r="F469" t="s">
        <v>14</v>
      </c>
      <c r="G469" t="s">
        <v>26</v>
      </c>
      <c r="H469">
        <v>0</v>
      </c>
      <c r="I469">
        <v>1</v>
      </c>
      <c r="J469">
        <v>33</v>
      </c>
      <c r="K469" t="str">
        <f t="shared" si="36"/>
        <v>ArgentinaUruguay</v>
      </c>
      <c r="L469" t="str">
        <f t="shared" si="37"/>
        <v>UruguayArgentina</v>
      </c>
      <c r="M469">
        <f t="shared" si="38"/>
        <v>0</v>
      </c>
      <c r="N469">
        <f t="shared" si="39"/>
        <v>1</v>
      </c>
      <c r="O469">
        <f t="shared" si="40"/>
        <v>0</v>
      </c>
    </row>
    <row r="470" spans="1:15" hidden="1" x14ac:dyDescent="0.25">
      <c r="A470" s="1">
        <v>31969</v>
      </c>
      <c r="B470" t="s">
        <v>16</v>
      </c>
      <c r="C470" t="s">
        <v>125</v>
      </c>
      <c r="D470" s="3">
        <v>42036</v>
      </c>
      <c r="E470" t="s">
        <v>17</v>
      </c>
      <c r="F470" t="s">
        <v>14</v>
      </c>
      <c r="G470" t="s">
        <v>133</v>
      </c>
      <c r="H470">
        <v>1</v>
      </c>
      <c r="I470">
        <v>2</v>
      </c>
      <c r="J470">
        <v>33</v>
      </c>
      <c r="K470" t="str">
        <f t="shared" si="36"/>
        <v>ArgentinaColombia</v>
      </c>
      <c r="L470" t="str">
        <f t="shared" si="37"/>
        <v>ColombiaArgentina</v>
      </c>
      <c r="M470">
        <f t="shared" si="38"/>
        <v>0</v>
      </c>
      <c r="N470">
        <f t="shared" si="39"/>
        <v>1</v>
      </c>
      <c r="O470">
        <f t="shared" si="40"/>
        <v>0</v>
      </c>
    </row>
    <row r="471" spans="1:15" hidden="1" x14ac:dyDescent="0.25">
      <c r="A471" s="1">
        <v>31970</v>
      </c>
      <c r="B471" t="s">
        <v>10</v>
      </c>
      <c r="C471" t="s">
        <v>11</v>
      </c>
      <c r="D471" s="2" t="s">
        <v>33</v>
      </c>
      <c r="E471" t="s">
        <v>13</v>
      </c>
      <c r="F471" t="s">
        <v>14</v>
      </c>
      <c r="G471" t="s">
        <v>15</v>
      </c>
      <c r="H471">
        <v>0</v>
      </c>
      <c r="I471">
        <v>1</v>
      </c>
      <c r="J471">
        <v>33</v>
      </c>
      <c r="K471" t="str">
        <f t="shared" si="36"/>
        <v>ChileUruguay</v>
      </c>
      <c r="L471" t="str">
        <f t="shared" si="37"/>
        <v>UruguayChile</v>
      </c>
      <c r="M471">
        <f t="shared" si="38"/>
        <v>0</v>
      </c>
      <c r="N471">
        <f t="shared" si="39"/>
        <v>1</v>
      </c>
      <c r="O471">
        <f t="shared" si="40"/>
        <v>0</v>
      </c>
    </row>
    <row r="472" spans="1:15" hidden="1" x14ac:dyDescent="0.25">
      <c r="A472" s="1">
        <v>32690</v>
      </c>
      <c r="B472" t="s">
        <v>43</v>
      </c>
      <c r="C472" t="s">
        <v>66</v>
      </c>
      <c r="D472" s="3">
        <v>42040</v>
      </c>
      <c r="E472" t="s">
        <v>268</v>
      </c>
      <c r="F472" t="s">
        <v>14</v>
      </c>
      <c r="G472" t="s">
        <v>74</v>
      </c>
      <c r="H472">
        <v>5</v>
      </c>
      <c r="I472">
        <v>2</v>
      </c>
      <c r="J472">
        <v>34</v>
      </c>
      <c r="K472" t="str">
        <f t="shared" si="36"/>
        <v>ParaguayPeru</v>
      </c>
      <c r="L472" t="str">
        <f t="shared" si="37"/>
        <v>PeruParaguay</v>
      </c>
      <c r="M472">
        <f t="shared" si="38"/>
        <v>1</v>
      </c>
      <c r="N472">
        <f t="shared" si="39"/>
        <v>0</v>
      </c>
      <c r="O472">
        <f t="shared" si="40"/>
        <v>0</v>
      </c>
    </row>
    <row r="473" spans="1:15" hidden="1" x14ac:dyDescent="0.25">
      <c r="A473" s="1">
        <v>32690</v>
      </c>
      <c r="B473" t="s">
        <v>211</v>
      </c>
      <c r="C473" t="s">
        <v>19</v>
      </c>
      <c r="D473" s="3">
        <v>42064</v>
      </c>
      <c r="E473" t="s">
        <v>269</v>
      </c>
      <c r="F473" t="s">
        <v>14</v>
      </c>
      <c r="G473" t="s">
        <v>228</v>
      </c>
      <c r="H473">
        <v>1</v>
      </c>
      <c r="I473">
        <v>3</v>
      </c>
      <c r="J473">
        <v>34</v>
      </c>
      <c r="K473" t="str">
        <f t="shared" si="36"/>
        <v>VenezuelaBrazil</v>
      </c>
      <c r="L473" t="str">
        <f t="shared" si="37"/>
        <v>BrazilVenezuela</v>
      </c>
      <c r="M473">
        <f t="shared" si="38"/>
        <v>0</v>
      </c>
      <c r="N473">
        <f t="shared" si="39"/>
        <v>1</v>
      </c>
      <c r="O473">
        <f t="shared" si="40"/>
        <v>0</v>
      </c>
    </row>
    <row r="474" spans="1:15" hidden="1" x14ac:dyDescent="0.25">
      <c r="A474" s="1">
        <v>32691</v>
      </c>
      <c r="B474" t="s">
        <v>16</v>
      </c>
      <c r="C474" t="s">
        <v>10</v>
      </c>
      <c r="D474" s="2" t="s">
        <v>29</v>
      </c>
      <c r="E474" t="s">
        <v>270</v>
      </c>
      <c r="F474" t="s">
        <v>14</v>
      </c>
      <c r="G474" t="s">
        <v>18</v>
      </c>
      <c r="H474">
        <v>1</v>
      </c>
      <c r="I474">
        <v>0</v>
      </c>
      <c r="J474">
        <v>34</v>
      </c>
      <c r="K474" t="str">
        <f t="shared" si="36"/>
        <v>ArgentinaChile</v>
      </c>
      <c r="L474" t="str">
        <f t="shared" si="37"/>
        <v>ChileArgentina</v>
      </c>
      <c r="M474">
        <f t="shared" si="38"/>
        <v>1</v>
      </c>
      <c r="N474">
        <f t="shared" si="39"/>
        <v>0</v>
      </c>
      <c r="O474">
        <f t="shared" si="40"/>
        <v>0</v>
      </c>
    </row>
    <row r="475" spans="1:15" hidden="1" x14ac:dyDescent="0.25">
      <c r="A475" s="1">
        <v>32691</v>
      </c>
      <c r="B475" t="s">
        <v>99</v>
      </c>
      <c r="C475" t="s">
        <v>11</v>
      </c>
      <c r="D475" s="2" t="s">
        <v>29</v>
      </c>
      <c r="E475" t="s">
        <v>271</v>
      </c>
      <c r="F475" t="s">
        <v>14</v>
      </c>
      <c r="G475" t="s">
        <v>102</v>
      </c>
      <c r="H475">
        <v>1</v>
      </c>
      <c r="I475">
        <v>0</v>
      </c>
      <c r="J475">
        <v>34</v>
      </c>
      <c r="K475" t="str">
        <f t="shared" si="36"/>
        <v>EcuadorUruguay</v>
      </c>
      <c r="L475" t="str">
        <f t="shared" si="37"/>
        <v>UruguayEcuador</v>
      </c>
      <c r="M475">
        <f t="shared" si="38"/>
        <v>1</v>
      </c>
      <c r="N475">
        <f t="shared" si="39"/>
        <v>0</v>
      </c>
      <c r="O475">
        <f t="shared" si="40"/>
        <v>0</v>
      </c>
    </row>
    <row r="476" spans="1:15" hidden="1" x14ac:dyDescent="0.25">
      <c r="A476" s="1">
        <v>32692</v>
      </c>
      <c r="B476" t="s">
        <v>125</v>
      </c>
      <c r="C476" t="s">
        <v>211</v>
      </c>
      <c r="D476" s="3">
        <v>42039</v>
      </c>
      <c r="E476" t="s">
        <v>269</v>
      </c>
      <c r="F476" t="s">
        <v>14</v>
      </c>
      <c r="G476" t="s">
        <v>241</v>
      </c>
      <c r="H476">
        <v>4</v>
      </c>
      <c r="I476">
        <v>2</v>
      </c>
      <c r="J476">
        <v>34</v>
      </c>
      <c r="K476" t="str">
        <f t="shared" si="36"/>
        <v>ColombiaVenezuela</v>
      </c>
      <c r="L476" t="str">
        <f t="shared" si="37"/>
        <v>VenezuelaColombia</v>
      </c>
      <c r="M476">
        <f t="shared" si="38"/>
        <v>1</v>
      </c>
      <c r="N476">
        <f t="shared" si="39"/>
        <v>0</v>
      </c>
      <c r="O476">
        <f t="shared" si="40"/>
        <v>0</v>
      </c>
    </row>
    <row r="477" spans="1:15" hidden="1" x14ac:dyDescent="0.25">
      <c r="A477" s="1">
        <v>32692</v>
      </c>
      <c r="B477" t="s">
        <v>66</v>
      </c>
      <c r="C477" t="s">
        <v>19</v>
      </c>
      <c r="D477" s="2" t="s">
        <v>24</v>
      </c>
      <c r="E477" t="s">
        <v>269</v>
      </c>
      <c r="F477" t="s">
        <v>14</v>
      </c>
      <c r="G477" t="s">
        <v>83</v>
      </c>
      <c r="H477">
        <v>0</v>
      </c>
      <c r="I477">
        <v>0</v>
      </c>
      <c r="J477">
        <v>34</v>
      </c>
      <c r="K477" t="str">
        <f t="shared" si="36"/>
        <v>PeruBrazil</v>
      </c>
      <c r="L477" t="str">
        <f t="shared" si="37"/>
        <v>BrazilPeru</v>
      </c>
      <c r="M477">
        <f t="shared" si="38"/>
        <v>0</v>
      </c>
      <c r="N477">
        <f t="shared" si="39"/>
        <v>0</v>
      </c>
      <c r="O477">
        <f t="shared" si="40"/>
        <v>1</v>
      </c>
    </row>
    <row r="478" spans="1:15" hidden="1" x14ac:dyDescent="0.25">
      <c r="A478" s="1">
        <v>32693</v>
      </c>
      <c r="B478" t="s">
        <v>16</v>
      </c>
      <c r="C478" t="s">
        <v>99</v>
      </c>
      <c r="D478" s="2" t="s">
        <v>24</v>
      </c>
      <c r="E478" t="s">
        <v>270</v>
      </c>
      <c r="F478" t="s">
        <v>14</v>
      </c>
      <c r="G478" t="s">
        <v>106</v>
      </c>
      <c r="H478">
        <v>0</v>
      </c>
      <c r="I478">
        <v>0</v>
      </c>
      <c r="J478">
        <v>34</v>
      </c>
      <c r="K478" t="str">
        <f t="shared" si="36"/>
        <v>ArgentinaEcuador</v>
      </c>
      <c r="L478" t="str">
        <f t="shared" si="37"/>
        <v>EcuadorArgentina</v>
      </c>
      <c r="M478">
        <f t="shared" si="38"/>
        <v>0</v>
      </c>
      <c r="N478">
        <f t="shared" si="39"/>
        <v>0</v>
      </c>
      <c r="O478">
        <f t="shared" si="40"/>
        <v>1</v>
      </c>
    </row>
    <row r="479" spans="1:15" hidden="1" x14ac:dyDescent="0.25">
      <c r="A479" s="1">
        <v>32693</v>
      </c>
      <c r="B479" t="s">
        <v>56</v>
      </c>
      <c r="C479" t="s">
        <v>11</v>
      </c>
      <c r="D479" s="2" t="s">
        <v>45</v>
      </c>
      <c r="E479" t="s">
        <v>272</v>
      </c>
      <c r="F479" t="s">
        <v>14</v>
      </c>
      <c r="G479" t="s">
        <v>64</v>
      </c>
      <c r="H479">
        <v>0</v>
      </c>
      <c r="I479">
        <v>3</v>
      </c>
      <c r="J479">
        <v>34</v>
      </c>
      <c r="K479" t="str">
        <f t="shared" si="36"/>
        <v>BoliviaUruguay</v>
      </c>
      <c r="L479" t="str">
        <f t="shared" si="37"/>
        <v>UruguayBolivia</v>
      </c>
      <c r="M479">
        <f t="shared" si="38"/>
        <v>0</v>
      </c>
      <c r="N479">
        <f t="shared" si="39"/>
        <v>1</v>
      </c>
      <c r="O479">
        <f t="shared" si="40"/>
        <v>0</v>
      </c>
    </row>
    <row r="480" spans="1:15" hidden="1" x14ac:dyDescent="0.25">
      <c r="A480" s="1">
        <v>32694</v>
      </c>
      <c r="B480" t="s">
        <v>125</v>
      </c>
      <c r="C480" t="s">
        <v>43</v>
      </c>
      <c r="D480" s="2" t="s">
        <v>33</v>
      </c>
      <c r="E480" t="s">
        <v>269</v>
      </c>
      <c r="F480" t="s">
        <v>14</v>
      </c>
      <c r="G480" t="s">
        <v>156</v>
      </c>
      <c r="H480">
        <v>0</v>
      </c>
      <c r="I480">
        <v>1</v>
      </c>
      <c r="J480">
        <v>34</v>
      </c>
      <c r="K480" t="str">
        <f t="shared" si="36"/>
        <v>ColombiaParaguay</v>
      </c>
      <c r="L480" t="str">
        <f t="shared" si="37"/>
        <v>ParaguayColombia</v>
      </c>
      <c r="M480">
        <f t="shared" si="38"/>
        <v>0</v>
      </c>
      <c r="N480">
        <f t="shared" si="39"/>
        <v>1</v>
      </c>
      <c r="O480">
        <f t="shared" si="40"/>
        <v>0</v>
      </c>
    </row>
    <row r="481" spans="1:15" hidden="1" x14ac:dyDescent="0.25">
      <c r="A481" s="1">
        <v>32694</v>
      </c>
      <c r="B481" t="s">
        <v>66</v>
      </c>
      <c r="C481" t="s">
        <v>211</v>
      </c>
      <c r="D481" s="3">
        <v>42005</v>
      </c>
      <c r="E481" t="s">
        <v>269</v>
      </c>
      <c r="F481" t="s">
        <v>14</v>
      </c>
      <c r="G481" t="s">
        <v>273</v>
      </c>
      <c r="H481">
        <v>1</v>
      </c>
      <c r="I481">
        <v>1</v>
      </c>
      <c r="J481">
        <v>34</v>
      </c>
      <c r="K481" t="str">
        <f t="shared" si="36"/>
        <v>PeruVenezuela</v>
      </c>
      <c r="L481" t="str">
        <f t="shared" si="37"/>
        <v>VenezuelaPeru</v>
      </c>
      <c r="M481">
        <f t="shared" si="38"/>
        <v>0</v>
      </c>
      <c r="N481">
        <f t="shared" si="39"/>
        <v>0</v>
      </c>
      <c r="O481">
        <f t="shared" si="40"/>
        <v>1</v>
      </c>
    </row>
    <row r="482" spans="1:15" hidden="1" x14ac:dyDescent="0.25">
      <c r="A482" s="1">
        <v>32695</v>
      </c>
      <c r="B482" t="s">
        <v>56</v>
      </c>
      <c r="C482" t="s">
        <v>99</v>
      </c>
      <c r="D482" s="2" t="s">
        <v>24</v>
      </c>
      <c r="E482" t="s">
        <v>272</v>
      </c>
      <c r="F482" t="s">
        <v>14</v>
      </c>
      <c r="G482" t="s">
        <v>135</v>
      </c>
      <c r="H482">
        <v>0</v>
      </c>
      <c r="I482">
        <v>0</v>
      </c>
      <c r="J482">
        <v>34</v>
      </c>
      <c r="K482" t="str">
        <f t="shared" si="36"/>
        <v>BoliviaEcuador</v>
      </c>
      <c r="L482" t="str">
        <f t="shared" si="37"/>
        <v>EcuadorBolivia</v>
      </c>
      <c r="M482">
        <f t="shared" si="38"/>
        <v>0</v>
      </c>
      <c r="N482">
        <f t="shared" si="39"/>
        <v>0</v>
      </c>
      <c r="O482">
        <f t="shared" si="40"/>
        <v>1</v>
      </c>
    </row>
    <row r="483" spans="1:15" hidden="1" x14ac:dyDescent="0.25">
      <c r="A483" s="1">
        <v>32695</v>
      </c>
      <c r="B483" t="s">
        <v>10</v>
      </c>
      <c r="C483" t="s">
        <v>11</v>
      </c>
      <c r="D483" s="2" t="s">
        <v>45</v>
      </c>
      <c r="E483" t="s">
        <v>274</v>
      </c>
      <c r="F483" t="s">
        <v>14</v>
      </c>
      <c r="G483" t="s">
        <v>15</v>
      </c>
      <c r="H483">
        <v>0</v>
      </c>
      <c r="I483">
        <v>3</v>
      </c>
      <c r="J483">
        <v>34</v>
      </c>
      <c r="K483" t="str">
        <f t="shared" si="36"/>
        <v>ChileUruguay</v>
      </c>
      <c r="L483" t="str">
        <f t="shared" si="37"/>
        <v>UruguayChile</v>
      </c>
      <c r="M483">
        <f t="shared" si="38"/>
        <v>0</v>
      </c>
      <c r="N483">
        <f t="shared" si="39"/>
        <v>1</v>
      </c>
      <c r="O483">
        <f t="shared" si="40"/>
        <v>0</v>
      </c>
    </row>
    <row r="484" spans="1:15" hidden="1" x14ac:dyDescent="0.25">
      <c r="A484" s="1">
        <v>32696</v>
      </c>
      <c r="B484" t="s">
        <v>43</v>
      </c>
      <c r="C484" t="s">
        <v>211</v>
      </c>
      <c r="D484" s="2" t="s">
        <v>47</v>
      </c>
      <c r="E484" t="s">
        <v>268</v>
      </c>
      <c r="F484" t="s">
        <v>14</v>
      </c>
      <c r="G484" t="s">
        <v>222</v>
      </c>
      <c r="H484">
        <v>3</v>
      </c>
      <c r="I484">
        <v>0</v>
      </c>
      <c r="J484">
        <v>34</v>
      </c>
      <c r="K484" t="str">
        <f t="shared" si="36"/>
        <v>ParaguayVenezuela</v>
      </c>
      <c r="L484" t="str">
        <f t="shared" si="37"/>
        <v>VenezuelaParaguay</v>
      </c>
      <c r="M484">
        <f t="shared" si="38"/>
        <v>1</v>
      </c>
      <c r="N484">
        <f t="shared" si="39"/>
        <v>0</v>
      </c>
      <c r="O484">
        <f t="shared" si="40"/>
        <v>0</v>
      </c>
    </row>
    <row r="485" spans="1:15" hidden="1" x14ac:dyDescent="0.25">
      <c r="A485" s="1">
        <v>32696</v>
      </c>
      <c r="B485" t="s">
        <v>125</v>
      </c>
      <c r="C485" t="s">
        <v>19</v>
      </c>
      <c r="D485" s="2" t="s">
        <v>24</v>
      </c>
      <c r="E485" t="s">
        <v>269</v>
      </c>
      <c r="F485" t="s">
        <v>14</v>
      </c>
      <c r="G485" t="s">
        <v>126</v>
      </c>
      <c r="H485">
        <v>0</v>
      </c>
      <c r="I485">
        <v>0</v>
      </c>
      <c r="J485">
        <v>34</v>
      </c>
      <c r="K485" t="str">
        <f t="shared" si="36"/>
        <v>ColombiaBrazil</v>
      </c>
      <c r="L485" t="str">
        <f t="shared" si="37"/>
        <v>BrazilColombia</v>
      </c>
      <c r="M485">
        <f t="shared" si="38"/>
        <v>0</v>
      </c>
      <c r="N485">
        <f t="shared" si="39"/>
        <v>0</v>
      </c>
      <c r="O485">
        <f t="shared" si="40"/>
        <v>1</v>
      </c>
    </row>
    <row r="486" spans="1:15" hidden="1" x14ac:dyDescent="0.25">
      <c r="A486" s="1">
        <v>32697</v>
      </c>
      <c r="B486" t="s">
        <v>16</v>
      </c>
      <c r="C486" t="s">
        <v>11</v>
      </c>
      <c r="D486" s="2" t="s">
        <v>29</v>
      </c>
      <c r="E486" t="s">
        <v>270</v>
      </c>
      <c r="F486" t="s">
        <v>14</v>
      </c>
      <c r="G486" t="s">
        <v>26</v>
      </c>
      <c r="H486">
        <v>1</v>
      </c>
      <c r="I486">
        <v>0</v>
      </c>
      <c r="J486">
        <v>34</v>
      </c>
      <c r="K486" t="str">
        <f t="shared" si="36"/>
        <v>ArgentinaUruguay</v>
      </c>
      <c r="L486" t="str">
        <f t="shared" si="37"/>
        <v>UruguayArgentina</v>
      </c>
      <c r="M486">
        <f t="shared" si="38"/>
        <v>1</v>
      </c>
      <c r="N486">
        <f t="shared" si="39"/>
        <v>0</v>
      </c>
      <c r="O486">
        <f t="shared" si="40"/>
        <v>0</v>
      </c>
    </row>
    <row r="487" spans="1:15" hidden="1" x14ac:dyDescent="0.25">
      <c r="A487" s="1">
        <v>32697</v>
      </c>
      <c r="B487" t="s">
        <v>56</v>
      </c>
      <c r="C487" t="s">
        <v>10</v>
      </c>
      <c r="D487" s="2" t="s">
        <v>32</v>
      </c>
      <c r="E487" t="s">
        <v>272</v>
      </c>
      <c r="F487" t="s">
        <v>14</v>
      </c>
      <c r="G487" t="s">
        <v>58</v>
      </c>
      <c r="H487">
        <v>0</v>
      </c>
      <c r="I487">
        <v>5</v>
      </c>
      <c r="J487">
        <v>34</v>
      </c>
      <c r="K487" t="str">
        <f t="shared" si="36"/>
        <v>BoliviaChile</v>
      </c>
      <c r="L487" t="str">
        <f t="shared" si="37"/>
        <v>ChileBolivia</v>
      </c>
      <c r="M487">
        <f t="shared" si="38"/>
        <v>0</v>
      </c>
      <c r="N487">
        <f t="shared" si="39"/>
        <v>1</v>
      </c>
      <c r="O487">
        <f t="shared" si="40"/>
        <v>0</v>
      </c>
    </row>
    <row r="488" spans="1:15" hidden="1" x14ac:dyDescent="0.25">
      <c r="A488" s="1">
        <v>32698</v>
      </c>
      <c r="B488" t="s">
        <v>125</v>
      </c>
      <c r="C488" t="s">
        <v>66</v>
      </c>
      <c r="D488" s="3">
        <v>42005</v>
      </c>
      <c r="E488" t="s">
        <v>275</v>
      </c>
      <c r="F488" t="s">
        <v>14</v>
      </c>
      <c r="G488" t="s">
        <v>158</v>
      </c>
      <c r="H488">
        <v>1</v>
      </c>
      <c r="I488">
        <v>1</v>
      </c>
      <c r="J488">
        <v>34</v>
      </c>
      <c r="K488" t="str">
        <f t="shared" si="36"/>
        <v>ColombiaPeru</v>
      </c>
      <c r="L488" t="str">
        <f t="shared" si="37"/>
        <v>PeruColombia</v>
      </c>
      <c r="M488">
        <f t="shared" si="38"/>
        <v>0</v>
      </c>
      <c r="N488">
        <f t="shared" si="39"/>
        <v>0</v>
      </c>
      <c r="O488">
        <f t="shared" si="40"/>
        <v>1</v>
      </c>
    </row>
    <row r="489" spans="1:15" hidden="1" x14ac:dyDescent="0.25">
      <c r="A489" s="1">
        <v>32698</v>
      </c>
      <c r="B489" t="s">
        <v>43</v>
      </c>
      <c r="C489" t="s">
        <v>19</v>
      </c>
      <c r="D489" s="2" t="s">
        <v>37</v>
      </c>
      <c r="E489" t="s">
        <v>276</v>
      </c>
      <c r="F489" t="s">
        <v>14</v>
      </c>
      <c r="G489" t="s">
        <v>46</v>
      </c>
      <c r="H489">
        <v>0</v>
      </c>
      <c r="I489">
        <v>2</v>
      </c>
      <c r="J489">
        <v>34</v>
      </c>
      <c r="K489" t="str">
        <f t="shared" si="36"/>
        <v>ParaguayBrazil</v>
      </c>
      <c r="L489" t="str">
        <f t="shared" si="37"/>
        <v>BrazilParaguay</v>
      </c>
      <c r="M489">
        <f t="shared" si="38"/>
        <v>0</v>
      </c>
      <c r="N489">
        <f t="shared" si="39"/>
        <v>1</v>
      </c>
      <c r="O489">
        <f t="shared" si="40"/>
        <v>0</v>
      </c>
    </row>
    <row r="490" spans="1:15" hidden="1" x14ac:dyDescent="0.25">
      <c r="A490" s="1">
        <v>32699</v>
      </c>
      <c r="B490" t="s">
        <v>10</v>
      </c>
      <c r="C490" t="s">
        <v>99</v>
      </c>
      <c r="D490" s="3">
        <v>42006</v>
      </c>
      <c r="E490" t="s">
        <v>274</v>
      </c>
      <c r="F490" t="s">
        <v>14</v>
      </c>
      <c r="G490" t="s">
        <v>104</v>
      </c>
      <c r="H490">
        <v>2</v>
      </c>
      <c r="I490">
        <v>1</v>
      </c>
      <c r="J490">
        <v>34</v>
      </c>
      <c r="K490" t="str">
        <f t="shared" si="36"/>
        <v>ChileEcuador</v>
      </c>
      <c r="L490" t="str">
        <f t="shared" si="37"/>
        <v>EcuadorChile</v>
      </c>
      <c r="M490">
        <f t="shared" si="38"/>
        <v>1</v>
      </c>
      <c r="N490">
        <f t="shared" si="39"/>
        <v>0</v>
      </c>
      <c r="O490">
        <f t="shared" si="40"/>
        <v>0</v>
      </c>
    </row>
    <row r="491" spans="1:15" hidden="1" x14ac:dyDescent="0.25">
      <c r="A491" s="1">
        <v>32699</v>
      </c>
      <c r="B491" t="s">
        <v>16</v>
      </c>
      <c r="C491" t="s">
        <v>56</v>
      </c>
      <c r="D491" s="2" t="s">
        <v>24</v>
      </c>
      <c r="E491" t="s">
        <v>270</v>
      </c>
      <c r="F491" t="s">
        <v>14</v>
      </c>
      <c r="G491" t="s">
        <v>61</v>
      </c>
      <c r="H491">
        <v>0</v>
      </c>
      <c r="I491">
        <v>0</v>
      </c>
      <c r="J491">
        <v>34</v>
      </c>
      <c r="K491" t="str">
        <f t="shared" si="36"/>
        <v>ArgentinaBolivia</v>
      </c>
      <c r="L491" t="str">
        <f t="shared" si="37"/>
        <v>BoliviaArgentina</v>
      </c>
      <c r="M491">
        <f t="shared" si="38"/>
        <v>0</v>
      </c>
      <c r="N491">
        <f t="shared" si="39"/>
        <v>0</v>
      </c>
      <c r="O491">
        <f t="shared" si="40"/>
        <v>1</v>
      </c>
    </row>
    <row r="492" spans="1:15" hidden="1" x14ac:dyDescent="0.25">
      <c r="A492" s="1">
        <v>32701</v>
      </c>
      <c r="B492" t="s">
        <v>43</v>
      </c>
      <c r="C492" t="s">
        <v>11</v>
      </c>
      <c r="D492" s="2" t="s">
        <v>45</v>
      </c>
      <c r="E492" t="s">
        <v>35</v>
      </c>
      <c r="F492" t="s">
        <v>14</v>
      </c>
      <c r="G492" t="s">
        <v>44</v>
      </c>
      <c r="H492">
        <v>0</v>
      </c>
      <c r="I492">
        <v>3</v>
      </c>
      <c r="J492">
        <v>34</v>
      </c>
      <c r="K492" t="str">
        <f t="shared" si="36"/>
        <v>ParaguayUruguay</v>
      </c>
      <c r="L492" t="str">
        <f t="shared" si="37"/>
        <v>UruguayParaguay</v>
      </c>
      <c r="M492">
        <f t="shared" si="38"/>
        <v>0</v>
      </c>
      <c r="N492">
        <f t="shared" si="39"/>
        <v>1</v>
      </c>
      <c r="O492">
        <f t="shared" si="40"/>
        <v>0</v>
      </c>
    </row>
    <row r="493" spans="1:15" hidden="1" x14ac:dyDescent="0.25">
      <c r="A493" s="1">
        <v>32701</v>
      </c>
      <c r="B493" t="s">
        <v>16</v>
      </c>
      <c r="C493" t="s">
        <v>19</v>
      </c>
      <c r="D493" s="2" t="s">
        <v>37</v>
      </c>
      <c r="E493" t="s">
        <v>36</v>
      </c>
      <c r="F493" t="s">
        <v>14</v>
      </c>
      <c r="G493" t="s">
        <v>21</v>
      </c>
      <c r="H493">
        <v>0</v>
      </c>
      <c r="I493">
        <v>2</v>
      </c>
      <c r="J493">
        <v>34</v>
      </c>
      <c r="K493" t="str">
        <f t="shared" si="36"/>
        <v>ArgentinaBrazil</v>
      </c>
      <c r="L493" t="str">
        <f t="shared" si="37"/>
        <v>BrazilArgentina</v>
      </c>
      <c r="M493">
        <f t="shared" si="38"/>
        <v>0</v>
      </c>
      <c r="N493">
        <f t="shared" si="39"/>
        <v>1</v>
      </c>
      <c r="O493">
        <f t="shared" si="40"/>
        <v>0</v>
      </c>
    </row>
    <row r="494" spans="1:15" hidden="1" x14ac:dyDescent="0.25">
      <c r="A494" s="1">
        <v>32703</v>
      </c>
      <c r="B494" t="s">
        <v>16</v>
      </c>
      <c r="C494" t="s">
        <v>11</v>
      </c>
      <c r="D494" s="2" t="s">
        <v>37</v>
      </c>
      <c r="E494" t="s">
        <v>36</v>
      </c>
      <c r="F494" t="s">
        <v>14</v>
      </c>
      <c r="G494" t="s">
        <v>26</v>
      </c>
      <c r="H494">
        <v>0</v>
      </c>
      <c r="I494">
        <v>2</v>
      </c>
      <c r="J494">
        <v>34</v>
      </c>
      <c r="K494" t="str">
        <f t="shared" si="36"/>
        <v>ArgentinaUruguay</v>
      </c>
      <c r="L494" t="str">
        <f t="shared" si="37"/>
        <v>UruguayArgentina</v>
      </c>
      <c r="M494">
        <f t="shared" si="38"/>
        <v>0</v>
      </c>
      <c r="N494">
        <f t="shared" si="39"/>
        <v>1</v>
      </c>
      <c r="O494">
        <f t="shared" si="40"/>
        <v>0</v>
      </c>
    </row>
    <row r="495" spans="1:15" hidden="1" x14ac:dyDescent="0.25">
      <c r="A495" s="1">
        <v>32703</v>
      </c>
      <c r="B495" t="s">
        <v>43</v>
      </c>
      <c r="C495" t="s">
        <v>19</v>
      </c>
      <c r="D495" s="2" t="s">
        <v>45</v>
      </c>
      <c r="E495" t="s">
        <v>35</v>
      </c>
      <c r="F495" t="s">
        <v>14</v>
      </c>
      <c r="G495" t="s">
        <v>46</v>
      </c>
      <c r="H495">
        <v>0</v>
      </c>
      <c r="I495">
        <v>3</v>
      </c>
      <c r="J495">
        <v>34</v>
      </c>
      <c r="K495" t="str">
        <f t="shared" si="36"/>
        <v>ParaguayBrazil</v>
      </c>
      <c r="L495" t="str">
        <f t="shared" si="37"/>
        <v>BrazilParaguay</v>
      </c>
      <c r="M495">
        <f t="shared" si="38"/>
        <v>0</v>
      </c>
      <c r="N495">
        <f t="shared" si="39"/>
        <v>1</v>
      </c>
      <c r="O495">
        <f t="shared" si="40"/>
        <v>0</v>
      </c>
    </row>
    <row r="496" spans="1:15" hidden="1" x14ac:dyDescent="0.25">
      <c r="A496" s="1">
        <v>32705</v>
      </c>
      <c r="B496" t="s">
        <v>16</v>
      </c>
      <c r="C496" t="s">
        <v>43</v>
      </c>
      <c r="D496" s="2" t="s">
        <v>24</v>
      </c>
      <c r="E496" t="s">
        <v>36</v>
      </c>
      <c r="F496" t="s">
        <v>14</v>
      </c>
      <c r="G496" t="s">
        <v>48</v>
      </c>
      <c r="H496">
        <v>0</v>
      </c>
      <c r="I496">
        <v>0</v>
      </c>
      <c r="J496">
        <v>34</v>
      </c>
      <c r="K496" t="str">
        <f t="shared" si="36"/>
        <v>ArgentinaParaguay</v>
      </c>
      <c r="L496" t="str">
        <f t="shared" si="37"/>
        <v>ParaguayArgentina</v>
      </c>
      <c r="M496">
        <f t="shared" si="38"/>
        <v>0</v>
      </c>
      <c r="N496">
        <f t="shared" si="39"/>
        <v>0</v>
      </c>
      <c r="O496">
        <f t="shared" si="40"/>
        <v>1</v>
      </c>
    </row>
    <row r="497" spans="1:15" x14ac:dyDescent="0.25">
      <c r="A497" s="1">
        <v>32705</v>
      </c>
      <c r="B497" t="s">
        <v>11</v>
      </c>
      <c r="C497" t="s">
        <v>19</v>
      </c>
      <c r="D497" s="2" t="s">
        <v>33</v>
      </c>
      <c r="E497" t="s">
        <v>38</v>
      </c>
      <c r="F497" t="s">
        <v>14</v>
      </c>
      <c r="G497" t="s">
        <v>23</v>
      </c>
      <c r="H497">
        <v>0</v>
      </c>
      <c r="I497">
        <v>1</v>
      </c>
      <c r="J497">
        <v>34</v>
      </c>
      <c r="K497" t="str">
        <f t="shared" si="36"/>
        <v>UruguayBrazil</v>
      </c>
      <c r="L497" t="str">
        <f t="shared" si="37"/>
        <v>BrazilUruguay</v>
      </c>
      <c r="M497">
        <f t="shared" si="38"/>
        <v>0</v>
      </c>
      <c r="N497">
        <f t="shared" si="39"/>
        <v>1</v>
      </c>
      <c r="O497">
        <f t="shared" si="40"/>
        <v>0</v>
      </c>
    </row>
    <row r="498" spans="1:15" hidden="1" x14ac:dyDescent="0.25">
      <c r="A498" s="1">
        <v>33425</v>
      </c>
      <c r="B498" t="s">
        <v>10</v>
      </c>
      <c r="C498" t="s">
        <v>211</v>
      </c>
      <c r="D498" s="2" t="s">
        <v>42</v>
      </c>
      <c r="E498" t="s">
        <v>60</v>
      </c>
      <c r="F498" t="s">
        <v>14</v>
      </c>
      <c r="G498" t="s">
        <v>212</v>
      </c>
      <c r="H498">
        <v>2</v>
      </c>
      <c r="I498">
        <v>0</v>
      </c>
      <c r="J498">
        <v>35</v>
      </c>
      <c r="K498" t="str">
        <f t="shared" si="36"/>
        <v>ChileVenezuela</v>
      </c>
      <c r="L498" t="str">
        <f t="shared" si="37"/>
        <v>VenezuelaChile</v>
      </c>
      <c r="M498">
        <f t="shared" si="38"/>
        <v>1</v>
      </c>
      <c r="N498">
        <f t="shared" si="39"/>
        <v>0</v>
      </c>
      <c r="O498">
        <f t="shared" si="40"/>
        <v>0</v>
      </c>
    </row>
    <row r="499" spans="1:15" hidden="1" x14ac:dyDescent="0.25">
      <c r="A499" s="1">
        <v>33425</v>
      </c>
      <c r="B499" t="s">
        <v>43</v>
      </c>
      <c r="C499" t="s">
        <v>66</v>
      </c>
      <c r="D499" s="2" t="s">
        <v>29</v>
      </c>
      <c r="E499" t="s">
        <v>57</v>
      </c>
      <c r="F499" t="s">
        <v>14</v>
      </c>
      <c r="G499" t="s">
        <v>74</v>
      </c>
      <c r="H499">
        <v>1</v>
      </c>
      <c r="I499">
        <v>0</v>
      </c>
      <c r="J499">
        <v>35</v>
      </c>
      <c r="K499" t="str">
        <f t="shared" si="36"/>
        <v>ParaguayPeru</v>
      </c>
      <c r="L499" t="str">
        <f t="shared" si="37"/>
        <v>PeruParaguay</v>
      </c>
      <c r="M499">
        <f t="shared" si="38"/>
        <v>1</v>
      </c>
      <c r="N499">
        <f t="shared" si="39"/>
        <v>0</v>
      </c>
      <c r="O499">
        <f t="shared" si="40"/>
        <v>0</v>
      </c>
    </row>
    <row r="500" spans="1:15" hidden="1" x14ac:dyDescent="0.25">
      <c r="A500" s="1">
        <v>33426</v>
      </c>
      <c r="B500" t="s">
        <v>56</v>
      </c>
      <c r="C500" t="s">
        <v>11</v>
      </c>
      <c r="D500" s="3">
        <v>42005</v>
      </c>
      <c r="E500" t="s">
        <v>277</v>
      </c>
      <c r="F500" t="s">
        <v>14</v>
      </c>
      <c r="G500" t="s">
        <v>64</v>
      </c>
      <c r="H500">
        <v>1</v>
      </c>
      <c r="I500">
        <v>1</v>
      </c>
      <c r="J500">
        <v>35</v>
      </c>
      <c r="K500" t="str">
        <f t="shared" si="36"/>
        <v>BoliviaUruguay</v>
      </c>
      <c r="L500" t="str">
        <f t="shared" si="37"/>
        <v>UruguayBolivia</v>
      </c>
      <c r="M500">
        <f t="shared" si="38"/>
        <v>0</v>
      </c>
      <c r="N500">
        <f t="shared" si="39"/>
        <v>0</v>
      </c>
      <c r="O500">
        <f t="shared" si="40"/>
        <v>1</v>
      </c>
    </row>
    <row r="501" spans="1:15" hidden="1" x14ac:dyDescent="0.25">
      <c r="A501" s="1">
        <v>33426</v>
      </c>
      <c r="B501" t="s">
        <v>125</v>
      </c>
      <c r="C501" t="s">
        <v>99</v>
      </c>
      <c r="D501" s="2" t="s">
        <v>29</v>
      </c>
      <c r="E501" t="s">
        <v>278</v>
      </c>
      <c r="F501" t="s">
        <v>14</v>
      </c>
      <c r="G501" t="s">
        <v>136</v>
      </c>
      <c r="H501">
        <v>1</v>
      </c>
      <c r="I501">
        <v>0</v>
      </c>
      <c r="J501">
        <v>35</v>
      </c>
      <c r="K501" t="str">
        <f t="shared" si="36"/>
        <v>ColombiaEcuador</v>
      </c>
      <c r="L501" t="str">
        <f t="shared" si="37"/>
        <v>EcuadorColombia</v>
      </c>
      <c r="M501">
        <f t="shared" si="38"/>
        <v>1</v>
      </c>
      <c r="N501">
        <f t="shared" si="39"/>
        <v>0</v>
      </c>
      <c r="O501">
        <f t="shared" si="40"/>
        <v>0</v>
      </c>
    </row>
    <row r="502" spans="1:15" hidden="1" x14ac:dyDescent="0.25">
      <c r="A502" s="1">
        <v>33427</v>
      </c>
      <c r="B502" t="s">
        <v>16</v>
      </c>
      <c r="C502" t="s">
        <v>211</v>
      </c>
      <c r="D502" s="2" t="s">
        <v>47</v>
      </c>
      <c r="E502" t="s">
        <v>60</v>
      </c>
      <c r="F502" t="s">
        <v>14</v>
      </c>
      <c r="G502" t="s">
        <v>217</v>
      </c>
      <c r="H502">
        <v>3</v>
      </c>
      <c r="I502">
        <v>0</v>
      </c>
      <c r="J502">
        <v>35</v>
      </c>
      <c r="K502" t="str">
        <f t="shared" si="36"/>
        <v>ArgentinaVenezuela</v>
      </c>
      <c r="L502" t="str">
        <f t="shared" si="37"/>
        <v>VenezuelaArgentina</v>
      </c>
      <c r="M502">
        <f t="shared" si="38"/>
        <v>1</v>
      </c>
      <c r="N502">
        <f t="shared" si="39"/>
        <v>0</v>
      </c>
      <c r="O502">
        <f t="shared" si="40"/>
        <v>0</v>
      </c>
    </row>
    <row r="503" spans="1:15" hidden="1" x14ac:dyDescent="0.25">
      <c r="A503" s="1">
        <v>33427</v>
      </c>
      <c r="B503" t="s">
        <v>10</v>
      </c>
      <c r="C503" t="s">
        <v>66</v>
      </c>
      <c r="D503" s="3">
        <v>42039</v>
      </c>
      <c r="E503" t="s">
        <v>279</v>
      </c>
      <c r="F503" t="s">
        <v>14</v>
      </c>
      <c r="G503" t="s">
        <v>80</v>
      </c>
      <c r="H503">
        <v>4</v>
      </c>
      <c r="I503">
        <v>2</v>
      </c>
      <c r="J503">
        <v>35</v>
      </c>
      <c r="K503" t="str">
        <f t="shared" si="36"/>
        <v>ChilePeru</v>
      </c>
      <c r="L503" t="str">
        <f t="shared" si="37"/>
        <v>PeruChile</v>
      </c>
      <c r="M503">
        <f t="shared" si="38"/>
        <v>1</v>
      </c>
      <c r="N503">
        <f t="shared" si="39"/>
        <v>0</v>
      </c>
      <c r="O503">
        <f t="shared" si="40"/>
        <v>0</v>
      </c>
    </row>
    <row r="504" spans="1:15" hidden="1" x14ac:dyDescent="0.25">
      <c r="A504" s="1">
        <v>33428</v>
      </c>
      <c r="B504" t="s">
        <v>56</v>
      </c>
      <c r="C504" t="s">
        <v>19</v>
      </c>
      <c r="D504" s="3">
        <v>42036</v>
      </c>
      <c r="E504" t="s">
        <v>280</v>
      </c>
      <c r="F504" t="s">
        <v>14</v>
      </c>
      <c r="G504" t="s">
        <v>130</v>
      </c>
      <c r="H504">
        <v>1</v>
      </c>
      <c r="I504">
        <v>2</v>
      </c>
      <c r="J504">
        <v>35</v>
      </c>
      <c r="K504" t="str">
        <f t="shared" si="36"/>
        <v>BoliviaBrazil</v>
      </c>
      <c r="L504" t="str">
        <f t="shared" si="37"/>
        <v>BrazilBolivia</v>
      </c>
      <c r="M504">
        <f t="shared" si="38"/>
        <v>0</v>
      </c>
      <c r="N504">
        <f t="shared" si="39"/>
        <v>1</v>
      </c>
      <c r="O504">
        <f t="shared" si="40"/>
        <v>0</v>
      </c>
    </row>
    <row r="505" spans="1:15" hidden="1" x14ac:dyDescent="0.25">
      <c r="A505" s="1">
        <v>33428</v>
      </c>
      <c r="B505" t="s">
        <v>99</v>
      </c>
      <c r="C505" t="s">
        <v>11</v>
      </c>
      <c r="D505" s="3">
        <v>42005</v>
      </c>
      <c r="E505" t="s">
        <v>281</v>
      </c>
      <c r="F505" t="s">
        <v>14</v>
      </c>
      <c r="G505" t="s">
        <v>102</v>
      </c>
      <c r="H505">
        <v>1</v>
      </c>
      <c r="I505">
        <v>1</v>
      </c>
      <c r="J505">
        <v>35</v>
      </c>
      <c r="K505" t="str">
        <f t="shared" si="36"/>
        <v>EcuadorUruguay</v>
      </c>
      <c r="L505" t="str">
        <f t="shared" si="37"/>
        <v>UruguayEcuador</v>
      </c>
      <c r="M505">
        <f t="shared" si="38"/>
        <v>0</v>
      </c>
      <c r="N505">
        <f t="shared" si="39"/>
        <v>0</v>
      </c>
      <c r="O505">
        <f t="shared" si="40"/>
        <v>1</v>
      </c>
    </row>
    <row r="506" spans="1:15" hidden="1" x14ac:dyDescent="0.25">
      <c r="A506" s="1">
        <v>33429</v>
      </c>
      <c r="B506" t="s">
        <v>43</v>
      </c>
      <c r="C506" t="s">
        <v>211</v>
      </c>
      <c r="D506" s="2" t="s">
        <v>59</v>
      </c>
      <c r="E506" t="s">
        <v>57</v>
      </c>
      <c r="F506" t="s">
        <v>14</v>
      </c>
      <c r="G506" t="s">
        <v>222</v>
      </c>
      <c r="H506">
        <v>5</v>
      </c>
      <c r="I506">
        <v>0</v>
      </c>
      <c r="J506">
        <v>35</v>
      </c>
      <c r="K506" t="str">
        <f t="shared" si="36"/>
        <v>ParaguayVenezuela</v>
      </c>
      <c r="L506" t="str">
        <f t="shared" si="37"/>
        <v>VenezuelaParaguay</v>
      </c>
      <c r="M506">
        <f t="shared" si="38"/>
        <v>1</v>
      </c>
      <c r="N506">
        <f t="shared" si="39"/>
        <v>0</v>
      </c>
      <c r="O506">
        <f t="shared" si="40"/>
        <v>0</v>
      </c>
    </row>
    <row r="507" spans="1:15" hidden="1" x14ac:dyDescent="0.25">
      <c r="A507" s="1">
        <v>33429</v>
      </c>
      <c r="B507" t="s">
        <v>16</v>
      </c>
      <c r="C507" t="s">
        <v>10</v>
      </c>
      <c r="D507" s="2" t="s">
        <v>29</v>
      </c>
      <c r="E507" t="s">
        <v>60</v>
      </c>
      <c r="F507" t="s">
        <v>14</v>
      </c>
      <c r="G507" t="s">
        <v>18</v>
      </c>
      <c r="H507">
        <v>1</v>
      </c>
      <c r="I507">
        <v>0</v>
      </c>
      <c r="J507">
        <v>35</v>
      </c>
      <c r="K507" t="str">
        <f t="shared" si="36"/>
        <v>ArgentinaChile</v>
      </c>
      <c r="L507" t="str">
        <f t="shared" si="37"/>
        <v>ChileArgentina</v>
      </c>
      <c r="M507">
        <f t="shared" si="38"/>
        <v>1</v>
      </c>
      <c r="N507">
        <f t="shared" si="39"/>
        <v>0</v>
      </c>
      <c r="O507">
        <f t="shared" si="40"/>
        <v>0</v>
      </c>
    </row>
    <row r="508" spans="1:15" hidden="1" x14ac:dyDescent="0.25">
      <c r="A508" s="1">
        <v>33430</v>
      </c>
      <c r="B508" t="s">
        <v>56</v>
      </c>
      <c r="C508" t="s">
        <v>125</v>
      </c>
      <c r="D508" s="2" t="s">
        <v>24</v>
      </c>
      <c r="E508" t="s">
        <v>280</v>
      </c>
      <c r="F508" t="s">
        <v>14</v>
      </c>
      <c r="G508" t="s">
        <v>137</v>
      </c>
      <c r="H508">
        <v>0</v>
      </c>
      <c r="I508">
        <v>0</v>
      </c>
      <c r="J508">
        <v>35</v>
      </c>
      <c r="K508" t="str">
        <f t="shared" si="36"/>
        <v>BoliviaColombia</v>
      </c>
      <c r="L508" t="str">
        <f t="shared" si="37"/>
        <v>ColombiaBolivia</v>
      </c>
      <c r="M508">
        <f t="shared" si="38"/>
        <v>0</v>
      </c>
      <c r="N508">
        <f t="shared" si="39"/>
        <v>0</v>
      </c>
      <c r="O508">
        <f t="shared" si="40"/>
        <v>1</v>
      </c>
    </row>
    <row r="509" spans="1:15" x14ac:dyDescent="0.25">
      <c r="A509" s="1">
        <v>33430</v>
      </c>
      <c r="B509" t="s">
        <v>11</v>
      </c>
      <c r="C509" t="s">
        <v>19</v>
      </c>
      <c r="D509" s="3">
        <v>42005</v>
      </c>
      <c r="E509" t="s">
        <v>282</v>
      </c>
      <c r="F509" t="s">
        <v>14</v>
      </c>
      <c r="G509" t="s">
        <v>23</v>
      </c>
      <c r="H509">
        <v>1</v>
      </c>
      <c r="I509">
        <v>1</v>
      </c>
      <c r="J509">
        <v>35</v>
      </c>
      <c r="K509" t="str">
        <f t="shared" si="36"/>
        <v>UruguayBrazil</v>
      </c>
      <c r="L509" t="str">
        <f t="shared" si="37"/>
        <v>BrazilUruguay</v>
      </c>
      <c r="M509">
        <f t="shared" si="38"/>
        <v>0</v>
      </c>
      <c r="N509">
        <f t="shared" si="39"/>
        <v>0</v>
      </c>
      <c r="O509">
        <f t="shared" si="40"/>
        <v>1</v>
      </c>
    </row>
    <row r="510" spans="1:15" hidden="1" x14ac:dyDescent="0.25">
      <c r="A510" s="1">
        <v>33431</v>
      </c>
      <c r="B510" t="s">
        <v>16</v>
      </c>
      <c r="C510" t="s">
        <v>43</v>
      </c>
      <c r="D510" s="3">
        <v>42008</v>
      </c>
      <c r="E510" t="s">
        <v>279</v>
      </c>
      <c r="F510" t="s">
        <v>14</v>
      </c>
      <c r="G510" t="s">
        <v>48</v>
      </c>
      <c r="H510">
        <v>4</v>
      </c>
      <c r="I510">
        <v>1</v>
      </c>
      <c r="J510">
        <v>35</v>
      </c>
      <c r="K510" t="str">
        <f t="shared" si="36"/>
        <v>ArgentinaParaguay</v>
      </c>
      <c r="L510" t="str">
        <f t="shared" si="37"/>
        <v>ParaguayArgentina</v>
      </c>
      <c r="M510">
        <f t="shared" si="38"/>
        <v>1</v>
      </c>
      <c r="N510">
        <f t="shared" si="39"/>
        <v>0</v>
      </c>
      <c r="O510">
        <f t="shared" si="40"/>
        <v>0</v>
      </c>
    </row>
    <row r="511" spans="1:15" hidden="1" x14ac:dyDescent="0.25">
      <c r="A511" s="1">
        <v>33431</v>
      </c>
      <c r="B511" t="s">
        <v>66</v>
      </c>
      <c r="C511" t="s">
        <v>211</v>
      </c>
      <c r="D511" s="3">
        <v>42009</v>
      </c>
      <c r="E511" t="s">
        <v>107</v>
      </c>
      <c r="F511" t="s">
        <v>14</v>
      </c>
      <c r="G511" t="s">
        <v>273</v>
      </c>
      <c r="H511">
        <v>5</v>
      </c>
      <c r="I511">
        <v>1</v>
      </c>
      <c r="J511">
        <v>35</v>
      </c>
      <c r="K511" t="str">
        <f t="shared" si="36"/>
        <v>PeruVenezuela</v>
      </c>
      <c r="L511" t="str">
        <f t="shared" si="37"/>
        <v>VenezuelaPeru</v>
      </c>
      <c r="M511">
        <f t="shared" si="38"/>
        <v>1</v>
      </c>
      <c r="N511">
        <f t="shared" si="39"/>
        <v>0</v>
      </c>
      <c r="O511">
        <f t="shared" si="40"/>
        <v>0</v>
      </c>
    </row>
    <row r="512" spans="1:15" hidden="1" x14ac:dyDescent="0.25">
      <c r="A512" s="1">
        <v>33432</v>
      </c>
      <c r="B512" t="s">
        <v>125</v>
      </c>
      <c r="C512" t="s">
        <v>19</v>
      </c>
      <c r="D512" s="2" t="s">
        <v>42</v>
      </c>
      <c r="E512" t="s">
        <v>39</v>
      </c>
      <c r="F512" t="s">
        <v>14</v>
      </c>
      <c r="G512" t="s">
        <v>126</v>
      </c>
      <c r="H512">
        <v>2</v>
      </c>
      <c r="I512">
        <v>0</v>
      </c>
      <c r="J512">
        <v>35</v>
      </c>
      <c r="K512" t="str">
        <f t="shared" si="36"/>
        <v>ColombiaBrazil</v>
      </c>
      <c r="L512" t="str">
        <f t="shared" si="37"/>
        <v>BrazilColombia</v>
      </c>
      <c r="M512">
        <f t="shared" si="38"/>
        <v>1</v>
      </c>
      <c r="N512">
        <f t="shared" si="39"/>
        <v>0</v>
      </c>
      <c r="O512">
        <f t="shared" si="40"/>
        <v>0</v>
      </c>
    </row>
    <row r="513" spans="1:15" hidden="1" x14ac:dyDescent="0.25">
      <c r="A513" s="1">
        <v>33432</v>
      </c>
      <c r="B513" t="s">
        <v>56</v>
      </c>
      <c r="C513" t="s">
        <v>99</v>
      </c>
      <c r="D513" s="2" t="s">
        <v>12</v>
      </c>
      <c r="E513" t="s">
        <v>280</v>
      </c>
      <c r="F513" t="s">
        <v>14</v>
      </c>
      <c r="G513" t="s">
        <v>135</v>
      </c>
      <c r="H513">
        <v>0</v>
      </c>
      <c r="I513">
        <v>4</v>
      </c>
      <c r="J513">
        <v>35</v>
      </c>
      <c r="K513" t="str">
        <f t="shared" si="36"/>
        <v>BoliviaEcuador</v>
      </c>
      <c r="L513" t="str">
        <f t="shared" si="37"/>
        <v>EcuadorBolivia</v>
      </c>
      <c r="M513">
        <f t="shared" si="38"/>
        <v>0</v>
      </c>
      <c r="N513">
        <f t="shared" si="39"/>
        <v>1</v>
      </c>
      <c r="O513">
        <f t="shared" si="40"/>
        <v>0</v>
      </c>
    </row>
    <row r="514" spans="1:15" hidden="1" x14ac:dyDescent="0.25">
      <c r="A514" s="1">
        <v>33433</v>
      </c>
      <c r="B514" t="s">
        <v>16</v>
      </c>
      <c r="C514" t="s">
        <v>66</v>
      </c>
      <c r="D514" s="3">
        <v>42038</v>
      </c>
      <c r="E514" t="s">
        <v>60</v>
      </c>
      <c r="F514" t="s">
        <v>14</v>
      </c>
      <c r="G514" t="s">
        <v>72</v>
      </c>
      <c r="H514">
        <v>3</v>
      </c>
      <c r="I514">
        <v>2</v>
      </c>
      <c r="J514">
        <v>35</v>
      </c>
      <c r="K514" t="str">
        <f t="shared" si="36"/>
        <v>ArgentinaPeru</v>
      </c>
      <c r="L514" t="str">
        <f t="shared" si="37"/>
        <v>PeruArgentina</v>
      </c>
      <c r="M514">
        <f t="shared" si="38"/>
        <v>1</v>
      </c>
      <c r="N514">
        <f t="shared" si="39"/>
        <v>0</v>
      </c>
      <c r="O514">
        <f t="shared" si="40"/>
        <v>0</v>
      </c>
    </row>
    <row r="515" spans="1:15" hidden="1" x14ac:dyDescent="0.25">
      <c r="A515" s="1">
        <v>33433</v>
      </c>
      <c r="B515" t="s">
        <v>10</v>
      </c>
      <c r="C515" t="s">
        <v>43</v>
      </c>
      <c r="D515" s="2" t="s">
        <v>30</v>
      </c>
      <c r="E515" t="s">
        <v>60</v>
      </c>
      <c r="F515" t="s">
        <v>14</v>
      </c>
      <c r="G515" t="s">
        <v>49</v>
      </c>
      <c r="H515">
        <v>4</v>
      </c>
      <c r="I515">
        <v>0</v>
      </c>
      <c r="J515">
        <v>35</v>
      </c>
      <c r="K515" t="str">
        <f t="shared" ref="K515:K578" si="41">CONCATENATE(B515,C515)</f>
        <v>ChileParaguay</v>
      </c>
      <c r="L515" t="str">
        <f t="shared" ref="L515:L578" si="42">CONCATENATE(C515,B515)</f>
        <v>ParaguayChile</v>
      </c>
      <c r="M515">
        <f t="shared" ref="M515:M578" si="43">IF(H515&gt;I515,1,0)</f>
        <v>1</v>
      </c>
      <c r="N515">
        <f t="shared" ref="N515:N578" si="44">IF(I515&gt;H515,1,0)</f>
        <v>0</v>
      </c>
      <c r="O515">
        <f t="shared" ref="O515:O578" si="45">IF(I515=H515,1,0)</f>
        <v>0</v>
      </c>
    </row>
    <row r="516" spans="1:15" hidden="1" x14ac:dyDescent="0.25">
      <c r="A516" s="1">
        <v>33434</v>
      </c>
      <c r="B516" t="s">
        <v>125</v>
      </c>
      <c r="C516" t="s">
        <v>11</v>
      </c>
      <c r="D516" s="2" t="s">
        <v>33</v>
      </c>
      <c r="E516" t="s">
        <v>39</v>
      </c>
      <c r="F516" t="s">
        <v>14</v>
      </c>
      <c r="G516" t="s">
        <v>129</v>
      </c>
      <c r="H516">
        <v>0</v>
      </c>
      <c r="I516">
        <v>1</v>
      </c>
      <c r="J516">
        <v>35</v>
      </c>
      <c r="K516" t="str">
        <f t="shared" si="41"/>
        <v>ColombiaUruguay</v>
      </c>
      <c r="L516" t="str">
        <f t="shared" si="42"/>
        <v>UruguayColombia</v>
      </c>
      <c r="M516">
        <f t="shared" si="43"/>
        <v>0</v>
      </c>
      <c r="N516">
        <f t="shared" si="44"/>
        <v>1</v>
      </c>
      <c r="O516">
        <f t="shared" si="45"/>
        <v>0</v>
      </c>
    </row>
    <row r="517" spans="1:15" hidden="1" x14ac:dyDescent="0.25">
      <c r="A517" s="1">
        <v>33434</v>
      </c>
      <c r="B517" t="s">
        <v>99</v>
      </c>
      <c r="C517" t="s">
        <v>19</v>
      </c>
      <c r="D517" s="3">
        <v>42064</v>
      </c>
      <c r="E517" t="s">
        <v>281</v>
      </c>
      <c r="F517" t="s">
        <v>14</v>
      </c>
      <c r="G517" t="s">
        <v>121</v>
      </c>
      <c r="H517">
        <v>1</v>
      </c>
      <c r="I517">
        <v>3</v>
      </c>
      <c r="J517">
        <v>35</v>
      </c>
      <c r="K517" t="str">
        <f t="shared" si="41"/>
        <v>EcuadorBrazil</v>
      </c>
      <c r="L517" t="str">
        <f t="shared" si="42"/>
        <v>BrazilEcuador</v>
      </c>
      <c r="M517">
        <f t="shared" si="43"/>
        <v>0</v>
      </c>
      <c r="N517">
        <f t="shared" si="44"/>
        <v>1</v>
      </c>
      <c r="O517">
        <f t="shared" si="45"/>
        <v>0</v>
      </c>
    </row>
    <row r="518" spans="1:15" hidden="1" x14ac:dyDescent="0.25">
      <c r="A518" s="1">
        <v>33436</v>
      </c>
      <c r="B518" t="s">
        <v>10</v>
      </c>
      <c r="C518" t="s">
        <v>125</v>
      </c>
      <c r="D518" s="3">
        <v>42005</v>
      </c>
      <c r="E518" t="s">
        <v>60</v>
      </c>
      <c r="F518" t="s">
        <v>14</v>
      </c>
      <c r="G518" t="s">
        <v>132</v>
      </c>
      <c r="H518">
        <v>1</v>
      </c>
      <c r="I518">
        <v>1</v>
      </c>
      <c r="J518">
        <v>35</v>
      </c>
      <c r="K518" t="str">
        <f t="shared" si="41"/>
        <v>ChileColombia</v>
      </c>
      <c r="L518" t="str">
        <f t="shared" si="42"/>
        <v>ColombiaChile</v>
      </c>
      <c r="M518">
        <f t="shared" si="43"/>
        <v>0</v>
      </c>
      <c r="N518">
        <f t="shared" si="44"/>
        <v>0</v>
      </c>
      <c r="O518">
        <f t="shared" si="45"/>
        <v>1</v>
      </c>
    </row>
    <row r="519" spans="1:15" hidden="1" x14ac:dyDescent="0.25">
      <c r="A519" s="1">
        <v>33436</v>
      </c>
      <c r="B519" t="s">
        <v>16</v>
      </c>
      <c r="C519" t="s">
        <v>19</v>
      </c>
      <c r="D519" s="3">
        <v>42038</v>
      </c>
      <c r="E519" t="s">
        <v>60</v>
      </c>
      <c r="F519" t="s">
        <v>14</v>
      </c>
      <c r="G519" t="s">
        <v>21</v>
      </c>
      <c r="H519">
        <v>3</v>
      </c>
      <c r="I519">
        <v>2</v>
      </c>
      <c r="J519">
        <v>35</v>
      </c>
      <c r="K519" t="str">
        <f t="shared" si="41"/>
        <v>ArgentinaBrazil</v>
      </c>
      <c r="L519" t="str">
        <f t="shared" si="42"/>
        <v>BrazilArgentina</v>
      </c>
      <c r="M519">
        <f t="shared" si="43"/>
        <v>1</v>
      </c>
      <c r="N519">
        <f t="shared" si="44"/>
        <v>0</v>
      </c>
      <c r="O519">
        <f t="shared" si="45"/>
        <v>0</v>
      </c>
    </row>
    <row r="520" spans="1:15" hidden="1" x14ac:dyDescent="0.25">
      <c r="A520" s="1">
        <v>33438</v>
      </c>
      <c r="B520" t="s">
        <v>125</v>
      </c>
      <c r="C520" t="s">
        <v>19</v>
      </c>
      <c r="D520" s="2" t="s">
        <v>37</v>
      </c>
      <c r="E520" t="s">
        <v>60</v>
      </c>
      <c r="F520" t="s">
        <v>14</v>
      </c>
      <c r="G520" t="s">
        <v>126</v>
      </c>
      <c r="H520">
        <v>0</v>
      </c>
      <c r="I520">
        <v>2</v>
      </c>
      <c r="J520">
        <v>35</v>
      </c>
      <c r="K520" t="str">
        <f t="shared" si="41"/>
        <v>ColombiaBrazil</v>
      </c>
      <c r="L520" t="str">
        <f t="shared" si="42"/>
        <v>BrazilColombia</v>
      </c>
      <c r="M520">
        <f t="shared" si="43"/>
        <v>0</v>
      </c>
      <c r="N520">
        <f t="shared" si="44"/>
        <v>1</v>
      </c>
      <c r="O520">
        <f t="shared" si="45"/>
        <v>0</v>
      </c>
    </row>
    <row r="521" spans="1:15" hidden="1" x14ac:dyDescent="0.25">
      <c r="A521" s="1">
        <v>33438</v>
      </c>
      <c r="B521" t="s">
        <v>16</v>
      </c>
      <c r="C521" t="s">
        <v>10</v>
      </c>
      <c r="D521" s="2" t="s">
        <v>24</v>
      </c>
      <c r="E521" t="s">
        <v>60</v>
      </c>
      <c r="F521" t="s">
        <v>14</v>
      </c>
      <c r="G521" t="s">
        <v>18</v>
      </c>
      <c r="H521">
        <v>0</v>
      </c>
      <c r="I521">
        <v>0</v>
      </c>
      <c r="J521">
        <v>35</v>
      </c>
      <c r="K521" t="str">
        <f t="shared" si="41"/>
        <v>ArgentinaChile</v>
      </c>
      <c r="L521" t="str">
        <f t="shared" si="42"/>
        <v>ChileArgentina</v>
      </c>
      <c r="M521">
        <f t="shared" si="43"/>
        <v>0</v>
      </c>
      <c r="N521">
        <f t="shared" si="44"/>
        <v>0</v>
      </c>
      <c r="O521">
        <f t="shared" si="45"/>
        <v>1</v>
      </c>
    </row>
    <row r="522" spans="1:15" hidden="1" x14ac:dyDescent="0.25">
      <c r="A522" s="1">
        <v>33440</v>
      </c>
      <c r="B522" t="s">
        <v>16</v>
      </c>
      <c r="C522" t="s">
        <v>125</v>
      </c>
      <c r="D522" s="3">
        <v>42006</v>
      </c>
      <c r="E522" t="s">
        <v>60</v>
      </c>
      <c r="F522" t="s">
        <v>14</v>
      </c>
      <c r="G522" t="s">
        <v>133</v>
      </c>
      <c r="H522">
        <v>2</v>
      </c>
      <c r="I522">
        <v>1</v>
      </c>
      <c r="J522">
        <v>35</v>
      </c>
      <c r="K522" t="str">
        <f t="shared" si="41"/>
        <v>ArgentinaColombia</v>
      </c>
      <c r="L522" t="str">
        <f t="shared" si="42"/>
        <v>ColombiaArgentina</v>
      </c>
      <c r="M522">
        <f t="shared" si="43"/>
        <v>1</v>
      </c>
      <c r="N522">
        <f t="shared" si="44"/>
        <v>0</v>
      </c>
      <c r="O522">
        <f t="shared" si="45"/>
        <v>0</v>
      </c>
    </row>
    <row r="523" spans="1:15" hidden="1" x14ac:dyDescent="0.25">
      <c r="A523" s="1">
        <v>33440</v>
      </c>
      <c r="B523" t="s">
        <v>10</v>
      </c>
      <c r="C523" t="s">
        <v>19</v>
      </c>
      <c r="D523" s="2" t="s">
        <v>37</v>
      </c>
      <c r="E523" t="s">
        <v>60</v>
      </c>
      <c r="F523" t="s">
        <v>14</v>
      </c>
      <c r="G523" t="s">
        <v>20</v>
      </c>
      <c r="H523">
        <v>0</v>
      </c>
      <c r="I523">
        <v>2</v>
      </c>
      <c r="J523">
        <v>35</v>
      </c>
      <c r="K523" t="str">
        <f t="shared" si="41"/>
        <v>ChileBrazil</v>
      </c>
      <c r="L523" t="str">
        <f t="shared" si="42"/>
        <v>BrazilChile</v>
      </c>
      <c r="M523">
        <f t="shared" si="43"/>
        <v>0</v>
      </c>
      <c r="N523">
        <f t="shared" si="44"/>
        <v>1</v>
      </c>
      <c r="O523">
        <f t="shared" si="45"/>
        <v>0</v>
      </c>
    </row>
    <row r="524" spans="1:15" hidden="1" x14ac:dyDescent="0.25">
      <c r="A524" s="1">
        <v>34135</v>
      </c>
      <c r="B524" t="s">
        <v>99</v>
      </c>
      <c r="C524" t="s">
        <v>211</v>
      </c>
      <c r="D524" s="3">
        <v>42010</v>
      </c>
      <c r="E524" t="s">
        <v>225</v>
      </c>
      <c r="F524" t="s">
        <v>14</v>
      </c>
      <c r="G524" t="s">
        <v>283</v>
      </c>
      <c r="H524">
        <v>6</v>
      </c>
      <c r="I524">
        <v>1</v>
      </c>
      <c r="J524">
        <v>36</v>
      </c>
      <c r="K524" t="str">
        <f t="shared" si="41"/>
        <v>EcuadorVenezuela</v>
      </c>
      <c r="L524" t="str">
        <f t="shared" si="42"/>
        <v>VenezuelaEcuador</v>
      </c>
      <c r="M524">
        <f t="shared" si="43"/>
        <v>1</v>
      </c>
      <c r="N524">
        <f t="shared" si="44"/>
        <v>0</v>
      </c>
      <c r="O524">
        <f t="shared" si="45"/>
        <v>0</v>
      </c>
    </row>
    <row r="525" spans="1:15" x14ac:dyDescent="0.25">
      <c r="A525" s="1">
        <v>34136</v>
      </c>
      <c r="B525" t="s">
        <v>11</v>
      </c>
      <c r="C525" t="s">
        <v>311</v>
      </c>
      <c r="D525" s="2" t="s">
        <v>29</v>
      </c>
      <c r="E525" t="s">
        <v>284</v>
      </c>
      <c r="F525" t="s">
        <v>14</v>
      </c>
      <c r="G525" t="s">
        <v>285</v>
      </c>
      <c r="H525">
        <v>1</v>
      </c>
      <c r="I525">
        <v>0</v>
      </c>
      <c r="J525">
        <v>36</v>
      </c>
      <c r="K525" t="str">
        <f t="shared" si="41"/>
        <v>UruguayUnited States</v>
      </c>
      <c r="L525" t="str">
        <f t="shared" si="42"/>
        <v>United StatesUruguay</v>
      </c>
      <c r="M525">
        <f t="shared" si="43"/>
        <v>1</v>
      </c>
      <c r="N525">
        <f t="shared" si="44"/>
        <v>0</v>
      </c>
      <c r="O525">
        <f t="shared" si="45"/>
        <v>0</v>
      </c>
    </row>
    <row r="526" spans="1:15" hidden="1" x14ac:dyDescent="0.25">
      <c r="A526" s="1">
        <v>34136</v>
      </c>
      <c r="B526" t="s">
        <v>125</v>
      </c>
      <c r="C526" t="s">
        <v>482</v>
      </c>
      <c r="D526" s="3">
        <v>42006</v>
      </c>
      <c r="E526" t="s">
        <v>286</v>
      </c>
      <c r="F526" t="s">
        <v>14</v>
      </c>
      <c r="G526" t="s">
        <v>287</v>
      </c>
      <c r="H526">
        <v>2</v>
      </c>
      <c r="I526">
        <v>1</v>
      </c>
      <c r="J526">
        <v>36</v>
      </c>
      <c r="K526" t="str">
        <f t="shared" si="41"/>
        <v>ColombiaMexico</v>
      </c>
      <c r="L526" t="str">
        <f t="shared" si="42"/>
        <v>MexicoColombia</v>
      </c>
      <c r="M526">
        <f t="shared" si="43"/>
        <v>1</v>
      </c>
      <c r="N526">
        <f t="shared" si="44"/>
        <v>0</v>
      </c>
      <c r="O526">
        <f t="shared" si="45"/>
        <v>0</v>
      </c>
    </row>
    <row r="527" spans="1:15" hidden="1" x14ac:dyDescent="0.25">
      <c r="A527" s="1">
        <v>34137</v>
      </c>
      <c r="B527" t="s">
        <v>16</v>
      </c>
      <c r="C527" t="s">
        <v>56</v>
      </c>
      <c r="D527" s="2" t="s">
        <v>29</v>
      </c>
      <c r="E527" t="s">
        <v>146</v>
      </c>
      <c r="F527" t="s">
        <v>14</v>
      </c>
      <c r="G527" t="s">
        <v>61</v>
      </c>
      <c r="H527">
        <v>1</v>
      </c>
      <c r="I527">
        <v>0</v>
      </c>
      <c r="J527">
        <v>36</v>
      </c>
      <c r="K527" t="str">
        <f t="shared" si="41"/>
        <v>ArgentinaBolivia</v>
      </c>
      <c r="L527" t="str">
        <f t="shared" si="42"/>
        <v>BoliviaArgentina</v>
      </c>
      <c r="M527">
        <f t="shared" si="43"/>
        <v>1</v>
      </c>
      <c r="N527">
        <f t="shared" si="44"/>
        <v>0</v>
      </c>
      <c r="O527">
        <f t="shared" si="45"/>
        <v>0</v>
      </c>
    </row>
    <row r="528" spans="1:15" hidden="1" x14ac:dyDescent="0.25">
      <c r="A528" s="1">
        <v>34138</v>
      </c>
      <c r="B528" t="s">
        <v>66</v>
      </c>
      <c r="C528" t="s">
        <v>19</v>
      </c>
      <c r="D528" s="2" t="s">
        <v>24</v>
      </c>
      <c r="E528" t="s">
        <v>288</v>
      </c>
      <c r="F528" t="s">
        <v>14</v>
      </c>
      <c r="G528" t="s">
        <v>83</v>
      </c>
      <c r="H528">
        <v>0</v>
      </c>
      <c r="I528">
        <v>0</v>
      </c>
      <c r="J528">
        <v>36</v>
      </c>
      <c r="K528" t="str">
        <f t="shared" si="41"/>
        <v>PeruBrazil</v>
      </c>
      <c r="L528" t="str">
        <f t="shared" si="42"/>
        <v>BrazilPeru</v>
      </c>
      <c r="M528">
        <f t="shared" si="43"/>
        <v>0</v>
      </c>
      <c r="N528">
        <f t="shared" si="44"/>
        <v>0</v>
      </c>
      <c r="O528">
        <f t="shared" si="45"/>
        <v>1</v>
      </c>
    </row>
    <row r="529" spans="1:15" hidden="1" x14ac:dyDescent="0.25">
      <c r="A529" s="1">
        <v>34138</v>
      </c>
      <c r="B529" t="s">
        <v>10</v>
      </c>
      <c r="C529" t="s">
        <v>43</v>
      </c>
      <c r="D529" s="2" t="s">
        <v>33</v>
      </c>
      <c r="E529" t="s">
        <v>289</v>
      </c>
      <c r="F529" t="s">
        <v>14</v>
      </c>
      <c r="G529" t="s">
        <v>49</v>
      </c>
      <c r="H529">
        <v>0</v>
      </c>
      <c r="I529">
        <v>1</v>
      </c>
      <c r="J529">
        <v>36</v>
      </c>
      <c r="K529" t="str">
        <f t="shared" si="41"/>
        <v>ChileParaguay</v>
      </c>
      <c r="L529" t="str">
        <f t="shared" si="42"/>
        <v>ParaguayChile</v>
      </c>
      <c r="M529">
        <f t="shared" si="43"/>
        <v>0</v>
      </c>
      <c r="N529">
        <f t="shared" si="44"/>
        <v>1</v>
      </c>
      <c r="O529">
        <f t="shared" si="45"/>
        <v>0</v>
      </c>
    </row>
    <row r="530" spans="1:15" x14ac:dyDescent="0.25">
      <c r="A530" s="1">
        <v>34139</v>
      </c>
      <c r="B530" t="s">
        <v>11</v>
      </c>
      <c r="C530" t="s">
        <v>211</v>
      </c>
      <c r="D530" s="3">
        <v>42037</v>
      </c>
      <c r="E530" t="s">
        <v>284</v>
      </c>
      <c r="F530" t="s">
        <v>14</v>
      </c>
      <c r="G530" t="s">
        <v>214</v>
      </c>
      <c r="H530">
        <v>2</v>
      </c>
      <c r="I530">
        <v>2</v>
      </c>
      <c r="J530">
        <v>36</v>
      </c>
      <c r="K530" t="str">
        <f t="shared" si="41"/>
        <v>UruguayVenezuela</v>
      </c>
      <c r="L530" t="str">
        <f t="shared" si="42"/>
        <v>VenezuelaUruguay</v>
      </c>
      <c r="M530">
        <f t="shared" si="43"/>
        <v>0</v>
      </c>
      <c r="N530">
        <f t="shared" si="44"/>
        <v>0</v>
      </c>
      <c r="O530">
        <f t="shared" si="45"/>
        <v>1</v>
      </c>
    </row>
    <row r="531" spans="1:15" hidden="1" x14ac:dyDescent="0.25">
      <c r="A531" s="1">
        <v>34139</v>
      </c>
      <c r="B531" t="s">
        <v>99</v>
      </c>
      <c r="C531" t="s">
        <v>311</v>
      </c>
      <c r="D531" s="2" t="s">
        <v>42</v>
      </c>
      <c r="E531" t="s">
        <v>225</v>
      </c>
      <c r="F531" t="s">
        <v>14</v>
      </c>
      <c r="G531" t="s">
        <v>290</v>
      </c>
      <c r="H531">
        <v>2</v>
      </c>
      <c r="I531">
        <v>0</v>
      </c>
      <c r="J531">
        <v>36</v>
      </c>
      <c r="K531" t="str">
        <f t="shared" si="41"/>
        <v>EcuadorUnited States</v>
      </c>
      <c r="L531" t="str">
        <f t="shared" si="42"/>
        <v>United StatesEcuador</v>
      </c>
      <c r="M531">
        <f t="shared" si="43"/>
        <v>1</v>
      </c>
      <c r="N531">
        <f t="shared" si="44"/>
        <v>0</v>
      </c>
      <c r="O531">
        <f t="shared" si="45"/>
        <v>0</v>
      </c>
    </row>
    <row r="532" spans="1:15" hidden="1" x14ac:dyDescent="0.25">
      <c r="A532" s="1">
        <v>34140</v>
      </c>
      <c r="B532" t="s">
        <v>16</v>
      </c>
      <c r="C532" t="s">
        <v>482</v>
      </c>
      <c r="D532" s="3">
        <v>42005</v>
      </c>
      <c r="E532" t="s">
        <v>146</v>
      </c>
      <c r="F532" t="s">
        <v>14</v>
      </c>
      <c r="G532" t="s">
        <v>291</v>
      </c>
      <c r="H532">
        <v>1</v>
      </c>
      <c r="I532">
        <v>1</v>
      </c>
      <c r="J532">
        <v>36</v>
      </c>
      <c r="K532" t="str">
        <f t="shared" si="41"/>
        <v>ArgentinaMexico</v>
      </c>
      <c r="L532" t="str">
        <f t="shared" si="42"/>
        <v>MexicoArgentina</v>
      </c>
      <c r="M532">
        <f t="shared" si="43"/>
        <v>0</v>
      </c>
      <c r="N532">
        <f t="shared" si="44"/>
        <v>0</v>
      </c>
      <c r="O532">
        <f t="shared" si="45"/>
        <v>1</v>
      </c>
    </row>
    <row r="533" spans="1:15" hidden="1" x14ac:dyDescent="0.25">
      <c r="A533" s="1">
        <v>34140</v>
      </c>
      <c r="B533" t="s">
        <v>56</v>
      </c>
      <c r="C533" t="s">
        <v>125</v>
      </c>
      <c r="D533" s="3">
        <v>42005</v>
      </c>
      <c r="E533" t="s">
        <v>292</v>
      </c>
      <c r="F533" t="s">
        <v>14</v>
      </c>
      <c r="G533" t="s">
        <v>137</v>
      </c>
      <c r="H533">
        <v>1</v>
      </c>
      <c r="I533">
        <v>1</v>
      </c>
      <c r="J533">
        <v>36</v>
      </c>
      <c r="K533" t="str">
        <f t="shared" si="41"/>
        <v>BoliviaColombia</v>
      </c>
      <c r="L533" t="str">
        <f t="shared" si="42"/>
        <v>ColombiaBolivia</v>
      </c>
      <c r="M533">
        <f t="shared" si="43"/>
        <v>0</v>
      </c>
      <c r="N533">
        <f t="shared" si="44"/>
        <v>0</v>
      </c>
      <c r="O533">
        <f t="shared" si="45"/>
        <v>1</v>
      </c>
    </row>
    <row r="534" spans="1:15" hidden="1" x14ac:dyDescent="0.25">
      <c r="A534" s="1">
        <v>34141</v>
      </c>
      <c r="B534" t="s">
        <v>10</v>
      </c>
      <c r="C534" t="s">
        <v>19</v>
      </c>
      <c r="D534" s="3">
        <v>42038</v>
      </c>
      <c r="E534" t="s">
        <v>289</v>
      </c>
      <c r="F534" t="s">
        <v>14</v>
      </c>
      <c r="G534" t="s">
        <v>20</v>
      </c>
      <c r="H534">
        <v>3</v>
      </c>
      <c r="I534">
        <v>2</v>
      </c>
      <c r="J534">
        <v>36</v>
      </c>
      <c r="K534" t="str">
        <f t="shared" si="41"/>
        <v>ChileBrazil</v>
      </c>
      <c r="L534" t="str">
        <f t="shared" si="42"/>
        <v>BrazilChile</v>
      </c>
      <c r="M534">
        <f t="shared" si="43"/>
        <v>1</v>
      </c>
      <c r="N534">
        <f t="shared" si="44"/>
        <v>0</v>
      </c>
      <c r="O534">
        <f t="shared" si="45"/>
        <v>0</v>
      </c>
    </row>
    <row r="535" spans="1:15" hidden="1" x14ac:dyDescent="0.25">
      <c r="A535" s="1">
        <v>34141</v>
      </c>
      <c r="B535" t="s">
        <v>43</v>
      </c>
      <c r="C535" t="s">
        <v>66</v>
      </c>
      <c r="D535" s="3">
        <v>42005</v>
      </c>
      <c r="E535" t="s">
        <v>289</v>
      </c>
      <c r="F535" t="s">
        <v>14</v>
      </c>
      <c r="G535" t="s">
        <v>74</v>
      </c>
      <c r="H535">
        <v>1</v>
      </c>
      <c r="I535">
        <v>1</v>
      </c>
      <c r="J535">
        <v>36</v>
      </c>
      <c r="K535" t="str">
        <f t="shared" si="41"/>
        <v>ParaguayPeru</v>
      </c>
      <c r="L535" t="str">
        <f t="shared" si="42"/>
        <v>PeruParaguay</v>
      </c>
      <c r="M535">
        <f t="shared" si="43"/>
        <v>0</v>
      </c>
      <c r="N535">
        <f t="shared" si="44"/>
        <v>0</v>
      </c>
      <c r="O535">
        <f t="shared" si="45"/>
        <v>1</v>
      </c>
    </row>
    <row r="536" spans="1:15" hidden="1" x14ac:dyDescent="0.25">
      <c r="A536" s="1">
        <v>34142</v>
      </c>
      <c r="B536" t="s">
        <v>211</v>
      </c>
      <c r="C536" t="s">
        <v>311</v>
      </c>
      <c r="D536" s="3">
        <v>42066</v>
      </c>
      <c r="E536" t="s">
        <v>225</v>
      </c>
      <c r="F536" t="s">
        <v>14</v>
      </c>
      <c r="G536" t="s">
        <v>293</v>
      </c>
      <c r="H536">
        <v>3</v>
      </c>
      <c r="I536">
        <v>3</v>
      </c>
      <c r="J536">
        <v>36</v>
      </c>
      <c r="K536" t="str">
        <f t="shared" si="41"/>
        <v>VenezuelaUnited States</v>
      </c>
      <c r="L536" t="str">
        <f t="shared" si="42"/>
        <v>United StatesVenezuela</v>
      </c>
      <c r="M536">
        <f t="shared" si="43"/>
        <v>0</v>
      </c>
      <c r="N536">
        <f t="shared" si="44"/>
        <v>0</v>
      </c>
      <c r="O536">
        <f t="shared" si="45"/>
        <v>1</v>
      </c>
    </row>
    <row r="537" spans="1:15" hidden="1" x14ac:dyDescent="0.25">
      <c r="A537" s="1">
        <v>34142</v>
      </c>
      <c r="B537" t="s">
        <v>99</v>
      </c>
      <c r="C537" t="s">
        <v>11</v>
      </c>
      <c r="D537" s="3">
        <v>42006</v>
      </c>
      <c r="E537" t="s">
        <v>225</v>
      </c>
      <c r="F537" t="s">
        <v>14</v>
      </c>
      <c r="G537" t="s">
        <v>102</v>
      </c>
      <c r="H537">
        <v>2</v>
      </c>
      <c r="I537">
        <v>1</v>
      </c>
      <c r="J537">
        <v>36</v>
      </c>
      <c r="K537" t="str">
        <f t="shared" si="41"/>
        <v>EcuadorUruguay</v>
      </c>
      <c r="L537" t="str">
        <f t="shared" si="42"/>
        <v>UruguayEcuador</v>
      </c>
      <c r="M537">
        <f t="shared" si="43"/>
        <v>1</v>
      </c>
      <c r="N537">
        <f t="shared" si="44"/>
        <v>0</v>
      </c>
      <c r="O537">
        <f t="shared" si="45"/>
        <v>0</v>
      </c>
    </row>
    <row r="538" spans="1:15" hidden="1" x14ac:dyDescent="0.25">
      <c r="A538" s="1">
        <v>34143</v>
      </c>
      <c r="B538" t="s">
        <v>56</v>
      </c>
      <c r="C538" t="s">
        <v>482</v>
      </c>
      <c r="D538" s="2" t="s">
        <v>24</v>
      </c>
      <c r="E538" t="s">
        <v>294</v>
      </c>
      <c r="F538" t="s">
        <v>14</v>
      </c>
      <c r="G538" t="s">
        <v>295</v>
      </c>
      <c r="H538">
        <v>0</v>
      </c>
      <c r="I538">
        <v>0</v>
      </c>
      <c r="J538">
        <v>36</v>
      </c>
      <c r="K538" t="str">
        <f t="shared" si="41"/>
        <v>BoliviaMexico</v>
      </c>
      <c r="L538" t="str">
        <f t="shared" si="42"/>
        <v>MexicoBolivia</v>
      </c>
      <c r="M538">
        <f t="shared" si="43"/>
        <v>0</v>
      </c>
      <c r="N538">
        <f t="shared" si="44"/>
        <v>0</v>
      </c>
      <c r="O538">
        <f t="shared" si="45"/>
        <v>1</v>
      </c>
    </row>
    <row r="539" spans="1:15" hidden="1" x14ac:dyDescent="0.25">
      <c r="A539" s="1">
        <v>34143</v>
      </c>
      <c r="B539" t="s">
        <v>16</v>
      </c>
      <c r="C539" t="s">
        <v>125</v>
      </c>
      <c r="D539" s="3">
        <v>42005</v>
      </c>
      <c r="E539" t="s">
        <v>146</v>
      </c>
      <c r="F539" t="s">
        <v>14</v>
      </c>
      <c r="G539" t="s">
        <v>133</v>
      </c>
      <c r="H539">
        <v>1</v>
      </c>
      <c r="I539">
        <v>1</v>
      </c>
      <c r="J539">
        <v>36</v>
      </c>
      <c r="K539" t="str">
        <f t="shared" si="41"/>
        <v>ArgentinaColombia</v>
      </c>
      <c r="L539" t="str">
        <f t="shared" si="42"/>
        <v>ColombiaArgentina</v>
      </c>
      <c r="M539">
        <f t="shared" si="43"/>
        <v>0</v>
      </c>
      <c r="N539">
        <f t="shared" si="44"/>
        <v>0</v>
      </c>
      <c r="O539">
        <f t="shared" si="45"/>
        <v>1</v>
      </c>
    </row>
    <row r="540" spans="1:15" hidden="1" x14ac:dyDescent="0.25">
      <c r="A540" s="1">
        <v>34144</v>
      </c>
      <c r="B540" t="s">
        <v>43</v>
      </c>
      <c r="C540" t="s">
        <v>19</v>
      </c>
      <c r="D540" s="2" t="s">
        <v>45</v>
      </c>
      <c r="E540" t="s">
        <v>289</v>
      </c>
      <c r="F540" t="s">
        <v>14</v>
      </c>
      <c r="G540" t="s">
        <v>46</v>
      </c>
      <c r="H540">
        <v>0</v>
      </c>
      <c r="I540">
        <v>3</v>
      </c>
      <c r="J540">
        <v>36</v>
      </c>
      <c r="K540" t="str">
        <f t="shared" si="41"/>
        <v>ParaguayBrazil</v>
      </c>
      <c r="L540" t="str">
        <f t="shared" si="42"/>
        <v>BrazilParaguay</v>
      </c>
      <c r="M540">
        <f t="shared" si="43"/>
        <v>0</v>
      </c>
      <c r="N540">
        <f t="shared" si="44"/>
        <v>1</v>
      </c>
      <c r="O540">
        <f t="shared" si="45"/>
        <v>0</v>
      </c>
    </row>
    <row r="541" spans="1:15" hidden="1" x14ac:dyDescent="0.25">
      <c r="A541" s="1">
        <v>34144</v>
      </c>
      <c r="B541" t="s">
        <v>10</v>
      </c>
      <c r="C541" t="s">
        <v>66</v>
      </c>
      <c r="D541" s="2" t="s">
        <v>33</v>
      </c>
      <c r="E541" t="s">
        <v>289</v>
      </c>
      <c r="F541" t="s">
        <v>14</v>
      </c>
      <c r="G541" t="s">
        <v>80</v>
      </c>
      <c r="H541">
        <v>0</v>
      </c>
      <c r="I541">
        <v>1</v>
      </c>
      <c r="J541">
        <v>36</v>
      </c>
      <c r="K541" t="str">
        <f t="shared" si="41"/>
        <v>ChilePeru</v>
      </c>
      <c r="L541" t="str">
        <f t="shared" si="42"/>
        <v>PeruChile</v>
      </c>
      <c r="M541">
        <f t="shared" si="43"/>
        <v>0</v>
      </c>
      <c r="N541">
        <f t="shared" si="44"/>
        <v>1</v>
      </c>
      <c r="O541">
        <f t="shared" si="45"/>
        <v>0</v>
      </c>
    </row>
    <row r="542" spans="1:15" hidden="1" x14ac:dyDescent="0.25">
      <c r="A542" s="1">
        <v>34146</v>
      </c>
      <c r="B542" t="s">
        <v>99</v>
      </c>
      <c r="C542" t="s">
        <v>43</v>
      </c>
      <c r="D542" s="2" t="s">
        <v>47</v>
      </c>
      <c r="E542" t="s">
        <v>225</v>
      </c>
      <c r="F542" t="s">
        <v>14</v>
      </c>
      <c r="G542" t="s">
        <v>105</v>
      </c>
      <c r="H542">
        <v>3</v>
      </c>
      <c r="I542">
        <v>0</v>
      </c>
      <c r="J542">
        <v>36</v>
      </c>
      <c r="K542" t="str">
        <f t="shared" si="41"/>
        <v>EcuadorParaguay</v>
      </c>
      <c r="L542" t="str">
        <f t="shared" si="42"/>
        <v>ParaguayEcuador</v>
      </c>
      <c r="M542">
        <f t="shared" si="43"/>
        <v>1</v>
      </c>
      <c r="N542">
        <f t="shared" si="44"/>
        <v>0</v>
      </c>
      <c r="O542">
        <f t="shared" si="45"/>
        <v>0</v>
      </c>
    </row>
    <row r="543" spans="1:15" hidden="1" x14ac:dyDescent="0.25">
      <c r="A543" s="1">
        <v>34146</v>
      </c>
      <c r="B543" t="s">
        <v>125</v>
      </c>
      <c r="C543" t="s">
        <v>11</v>
      </c>
      <c r="D543" s="3">
        <v>42005</v>
      </c>
      <c r="E543" t="s">
        <v>146</v>
      </c>
      <c r="F543" t="s">
        <v>14</v>
      </c>
      <c r="G543" t="s">
        <v>129</v>
      </c>
      <c r="H543">
        <v>1</v>
      </c>
      <c r="I543">
        <v>1</v>
      </c>
      <c r="J543">
        <v>36</v>
      </c>
      <c r="K543" t="str">
        <f t="shared" si="41"/>
        <v>ColombiaUruguay</v>
      </c>
      <c r="L543" t="str">
        <f t="shared" si="42"/>
        <v>UruguayColombia</v>
      </c>
      <c r="M543">
        <f t="shared" si="43"/>
        <v>0</v>
      </c>
      <c r="N543">
        <f t="shared" si="44"/>
        <v>0</v>
      </c>
      <c r="O543">
        <f t="shared" si="45"/>
        <v>1</v>
      </c>
    </row>
    <row r="544" spans="1:15" hidden="1" x14ac:dyDescent="0.25">
      <c r="A544" s="1">
        <v>34147</v>
      </c>
      <c r="B544" t="s">
        <v>66</v>
      </c>
      <c r="C544" t="s">
        <v>482</v>
      </c>
      <c r="D544" s="3">
        <v>42096</v>
      </c>
      <c r="E544" t="s">
        <v>225</v>
      </c>
      <c r="F544" t="s">
        <v>14</v>
      </c>
      <c r="G544" t="s">
        <v>296</v>
      </c>
      <c r="H544">
        <v>2</v>
      </c>
      <c r="I544">
        <v>4</v>
      </c>
      <c r="J544">
        <v>36</v>
      </c>
      <c r="K544" t="str">
        <f t="shared" si="41"/>
        <v>PeruMexico</v>
      </c>
      <c r="L544" t="str">
        <f t="shared" si="42"/>
        <v>MexicoPeru</v>
      </c>
      <c r="M544">
        <f t="shared" si="43"/>
        <v>0</v>
      </c>
      <c r="N544">
        <f t="shared" si="44"/>
        <v>1</v>
      </c>
      <c r="O544">
        <f t="shared" si="45"/>
        <v>0</v>
      </c>
    </row>
    <row r="545" spans="1:15" hidden="1" x14ac:dyDescent="0.25">
      <c r="A545" s="1">
        <v>34147</v>
      </c>
      <c r="B545" t="s">
        <v>16</v>
      </c>
      <c r="C545" t="s">
        <v>19</v>
      </c>
      <c r="D545" s="3">
        <v>42005</v>
      </c>
      <c r="E545" t="s">
        <v>146</v>
      </c>
      <c r="F545" t="s">
        <v>14</v>
      </c>
      <c r="G545" t="s">
        <v>21</v>
      </c>
      <c r="H545">
        <v>1</v>
      </c>
      <c r="I545">
        <v>1</v>
      </c>
      <c r="J545">
        <v>36</v>
      </c>
      <c r="K545" t="str">
        <f t="shared" si="41"/>
        <v>ArgentinaBrazil</v>
      </c>
      <c r="L545" t="str">
        <f t="shared" si="42"/>
        <v>BrazilArgentina</v>
      </c>
      <c r="M545">
        <f t="shared" si="43"/>
        <v>0</v>
      </c>
      <c r="N545">
        <f t="shared" si="44"/>
        <v>0</v>
      </c>
      <c r="O545">
        <f t="shared" si="45"/>
        <v>1</v>
      </c>
    </row>
    <row r="546" spans="1:15" hidden="1" x14ac:dyDescent="0.25">
      <c r="A546" s="1">
        <v>34150</v>
      </c>
      <c r="B546" t="s">
        <v>99</v>
      </c>
      <c r="C546" t="s">
        <v>482</v>
      </c>
      <c r="D546" s="2" t="s">
        <v>37</v>
      </c>
      <c r="E546" t="s">
        <v>225</v>
      </c>
      <c r="F546" t="s">
        <v>14</v>
      </c>
      <c r="G546" t="s">
        <v>297</v>
      </c>
      <c r="H546">
        <v>0</v>
      </c>
      <c r="I546">
        <v>2</v>
      </c>
      <c r="J546">
        <v>36</v>
      </c>
      <c r="K546" t="str">
        <f t="shared" si="41"/>
        <v>EcuadorMexico</v>
      </c>
      <c r="L546" t="str">
        <f t="shared" si="42"/>
        <v>MexicoEcuador</v>
      </c>
      <c r="M546">
        <f t="shared" si="43"/>
        <v>0</v>
      </c>
      <c r="N546">
        <f t="shared" si="44"/>
        <v>1</v>
      </c>
      <c r="O546">
        <f t="shared" si="45"/>
        <v>0</v>
      </c>
    </row>
    <row r="547" spans="1:15" hidden="1" x14ac:dyDescent="0.25">
      <c r="A547" s="1">
        <v>34151</v>
      </c>
      <c r="B547" t="s">
        <v>16</v>
      </c>
      <c r="C547" t="s">
        <v>125</v>
      </c>
      <c r="D547" s="2" t="s">
        <v>24</v>
      </c>
      <c r="E547" t="s">
        <v>146</v>
      </c>
      <c r="F547" t="s">
        <v>14</v>
      </c>
      <c r="G547" t="s">
        <v>133</v>
      </c>
      <c r="H547">
        <v>0</v>
      </c>
      <c r="I547">
        <v>0</v>
      </c>
      <c r="J547">
        <v>36</v>
      </c>
      <c r="K547" t="str">
        <f t="shared" si="41"/>
        <v>ArgentinaColombia</v>
      </c>
      <c r="L547" t="str">
        <f t="shared" si="42"/>
        <v>ColombiaArgentina</v>
      </c>
      <c r="M547">
        <f t="shared" si="43"/>
        <v>0</v>
      </c>
      <c r="N547">
        <f t="shared" si="44"/>
        <v>0</v>
      </c>
      <c r="O547">
        <f t="shared" si="45"/>
        <v>1</v>
      </c>
    </row>
    <row r="548" spans="1:15" hidden="1" x14ac:dyDescent="0.25">
      <c r="A548" s="1">
        <v>34153</v>
      </c>
      <c r="B548" t="s">
        <v>125</v>
      </c>
      <c r="C548" t="s">
        <v>99</v>
      </c>
      <c r="D548" s="2" t="s">
        <v>29</v>
      </c>
      <c r="E548" t="s">
        <v>298</v>
      </c>
      <c r="F548" t="s">
        <v>14</v>
      </c>
      <c r="G548" t="s">
        <v>136</v>
      </c>
      <c r="H548">
        <v>1</v>
      </c>
      <c r="I548">
        <v>0</v>
      </c>
      <c r="J548">
        <v>36</v>
      </c>
      <c r="K548" t="str">
        <f t="shared" si="41"/>
        <v>ColombiaEcuador</v>
      </c>
      <c r="L548" t="str">
        <f t="shared" si="42"/>
        <v>EcuadorColombia</v>
      </c>
      <c r="M548">
        <f t="shared" si="43"/>
        <v>1</v>
      </c>
      <c r="N548">
        <f t="shared" si="44"/>
        <v>0</v>
      </c>
      <c r="O548">
        <f t="shared" si="45"/>
        <v>0</v>
      </c>
    </row>
    <row r="549" spans="1:15" hidden="1" x14ac:dyDescent="0.25">
      <c r="A549" s="1">
        <v>34154</v>
      </c>
      <c r="B549" t="s">
        <v>16</v>
      </c>
      <c r="C549" t="s">
        <v>482</v>
      </c>
      <c r="D549" s="3">
        <v>42006</v>
      </c>
      <c r="E549" t="s">
        <v>146</v>
      </c>
      <c r="F549" t="s">
        <v>14</v>
      </c>
      <c r="G549" t="s">
        <v>291</v>
      </c>
      <c r="H549">
        <v>2</v>
      </c>
      <c r="I549">
        <v>1</v>
      </c>
      <c r="J549">
        <v>36</v>
      </c>
      <c r="K549" t="str">
        <f t="shared" si="41"/>
        <v>ArgentinaMexico</v>
      </c>
      <c r="L549" t="str">
        <f t="shared" si="42"/>
        <v>MexicoArgentina</v>
      </c>
      <c r="M549">
        <f t="shared" si="43"/>
        <v>1</v>
      </c>
      <c r="N549">
        <f t="shared" si="44"/>
        <v>0</v>
      </c>
      <c r="O549">
        <f t="shared" si="45"/>
        <v>0</v>
      </c>
    </row>
    <row r="550" spans="1:15" x14ac:dyDescent="0.25">
      <c r="A550" s="1">
        <v>34885</v>
      </c>
      <c r="B550" t="s">
        <v>11</v>
      </c>
      <c r="C550" t="s">
        <v>211</v>
      </c>
      <c r="D550" s="3">
        <v>42008</v>
      </c>
      <c r="E550" t="s">
        <v>31</v>
      </c>
      <c r="F550" t="s">
        <v>14</v>
      </c>
      <c r="G550" t="s">
        <v>214</v>
      </c>
      <c r="H550">
        <v>4</v>
      </c>
      <c r="I550">
        <v>1</v>
      </c>
      <c r="J550">
        <v>37</v>
      </c>
      <c r="K550" t="str">
        <f t="shared" si="41"/>
        <v>UruguayVenezuela</v>
      </c>
      <c r="L550" t="str">
        <f t="shared" si="42"/>
        <v>VenezuelaUruguay</v>
      </c>
      <c r="M550">
        <f t="shared" si="43"/>
        <v>1</v>
      </c>
      <c r="N550">
        <f t="shared" si="44"/>
        <v>0</v>
      </c>
      <c r="O550">
        <f t="shared" si="45"/>
        <v>0</v>
      </c>
    </row>
    <row r="551" spans="1:15" hidden="1" x14ac:dyDescent="0.25">
      <c r="A551" s="1">
        <v>34886</v>
      </c>
      <c r="B551" t="s">
        <v>43</v>
      </c>
      <c r="C551" t="s">
        <v>482</v>
      </c>
      <c r="D551" s="3">
        <v>42006</v>
      </c>
      <c r="E551" t="s">
        <v>299</v>
      </c>
      <c r="F551" t="s">
        <v>14</v>
      </c>
      <c r="G551" t="s">
        <v>300</v>
      </c>
      <c r="H551">
        <v>2</v>
      </c>
      <c r="I551">
        <v>1</v>
      </c>
      <c r="J551">
        <v>37</v>
      </c>
      <c r="K551" t="str">
        <f t="shared" si="41"/>
        <v>ParaguayMexico</v>
      </c>
      <c r="L551" t="str">
        <f t="shared" si="42"/>
        <v>MexicoParaguay</v>
      </c>
      <c r="M551">
        <f t="shared" si="43"/>
        <v>1</v>
      </c>
      <c r="N551">
        <f t="shared" si="44"/>
        <v>0</v>
      </c>
      <c r="O551">
        <f t="shared" si="45"/>
        <v>0</v>
      </c>
    </row>
    <row r="552" spans="1:15" hidden="1" x14ac:dyDescent="0.25">
      <c r="A552" s="1">
        <v>34887</v>
      </c>
      <c r="B552" t="s">
        <v>99</v>
      </c>
      <c r="C552" t="s">
        <v>19</v>
      </c>
      <c r="D552" s="2" t="s">
        <v>33</v>
      </c>
      <c r="E552" t="s">
        <v>301</v>
      </c>
      <c r="F552" t="s">
        <v>14</v>
      </c>
      <c r="G552" t="s">
        <v>121</v>
      </c>
      <c r="H552">
        <v>0</v>
      </c>
      <c r="I552">
        <v>1</v>
      </c>
      <c r="J552">
        <v>37</v>
      </c>
      <c r="K552" t="str">
        <f t="shared" si="41"/>
        <v>EcuadorBrazil</v>
      </c>
      <c r="L552" t="str">
        <f t="shared" si="42"/>
        <v>BrazilEcuador</v>
      </c>
      <c r="M552">
        <f t="shared" si="43"/>
        <v>0</v>
      </c>
      <c r="N552">
        <f t="shared" si="44"/>
        <v>1</v>
      </c>
      <c r="O552">
        <f t="shared" si="45"/>
        <v>0</v>
      </c>
    </row>
    <row r="553" spans="1:15" hidden="1" x14ac:dyDescent="0.25">
      <c r="A553" s="1">
        <v>34887</v>
      </c>
      <c r="B553" t="s">
        <v>125</v>
      </c>
      <c r="C553" t="s">
        <v>66</v>
      </c>
      <c r="D553" s="3">
        <v>42005</v>
      </c>
      <c r="E553" t="s">
        <v>302</v>
      </c>
      <c r="F553" t="s">
        <v>14</v>
      </c>
      <c r="G553" t="s">
        <v>158</v>
      </c>
      <c r="H553">
        <v>1</v>
      </c>
      <c r="I553">
        <v>1</v>
      </c>
      <c r="J553">
        <v>37</v>
      </c>
      <c r="K553" t="str">
        <f t="shared" si="41"/>
        <v>ColombiaPeru</v>
      </c>
      <c r="L553" t="str">
        <f t="shared" si="42"/>
        <v>PeruColombia</v>
      </c>
      <c r="M553">
        <f t="shared" si="43"/>
        <v>0</v>
      </c>
      <c r="N553">
        <f t="shared" si="44"/>
        <v>0</v>
      </c>
      <c r="O553">
        <f t="shared" si="45"/>
        <v>1</v>
      </c>
    </row>
    <row r="554" spans="1:15" hidden="1" x14ac:dyDescent="0.25">
      <c r="A554" s="1">
        <v>34888</v>
      </c>
      <c r="B554" t="s">
        <v>10</v>
      </c>
      <c r="C554" t="s">
        <v>311</v>
      </c>
      <c r="D554" s="3">
        <v>42036</v>
      </c>
      <c r="E554" t="s">
        <v>303</v>
      </c>
      <c r="F554" t="s">
        <v>14</v>
      </c>
      <c r="G554" t="s">
        <v>304</v>
      </c>
      <c r="H554">
        <v>1</v>
      </c>
      <c r="I554">
        <v>2</v>
      </c>
      <c r="J554">
        <v>37</v>
      </c>
      <c r="K554" t="str">
        <f t="shared" si="41"/>
        <v>ChileUnited States</v>
      </c>
      <c r="L554" t="str">
        <f t="shared" si="42"/>
        <v>United StatesChile</v>
      </c>
      <c r="M554">
        <f t="shared" si="43"/>
        <v>0</v>
      </c>
      <c r="N554">
        <f t="shared" si="44"/>
        <v>1</v>
      </c>
      <c r="O554">
        <f t="shared" si="45"/>
        <v>0</v>
      </c>
    </row>
    <row r="555" spans="1:15" hidden="1" x14ac:dyDescent="0.25">
      <c r="A555" s="1">
        <v>34888</v>
      </c>
      <c r="B555" t="s">
        <v>16</v>
      </c>
      <c r="C555" t="s">
        <v>56</v>
      </c>
      <c r="D555" s="3">
        <v>42006</v>
      </c>
      <c r="E555" t="s">
        <v>305</v>
      </c>
      <c r="F555" t="s">
        <v>14</v>
      </c>
      <c r="G555" t="s">
        <v>61</v>
      </c>
      <c r="H555">
        <v>2</v>
      </c>
      <c r="I555">
        <v>1</v>
      </c>
      <c r="J555">
        <v>37</v>
      </c>
      <c r="K555" t="str">
        <f t="shared" si="41"/>
        <v>ArgentinaBolivia</v>
      </c>
      <c r="L555" t="str">
        <f t="shared" si="42"/>
        <v>BoliviaArgentina</v>
      </c>
      <c r="M555">
        <f t="shared" si="43"/>
        <v>1</v>
      </c>
      <c r="N555">
        <f t="shared" si="44"/>
        <v>0</v>
      </c>
      <c r="O555">
        <f t="shared" si="45"/>
        <v>0</v>
      </c>
    </row>
    <row r="556" spans="1:15" hidden="1" x14ac:dyDescent="0.25">
      <c r="A556" s="1">
        <v>34889</v>
      </c>
      <c r="B556" t="s">
        <v>211</v>
      </c>
      <c r="C556" t="s">
        <v>482</v>
      </c>
      <c r="D556" s="3">
        <v>42064</v>
      </c>
      <c r="E556" t="s">
        <v>306</v>
      </c>
      <c r="F556" t="s">
        <v>14</v>
      </c>
      <c r="G556" t="s">
        <v>307</v>
      </c>
      <c r="H556">
        <v>1</v>
      </c>
      <c r="I556">
        <v>3</v>
      </c>
      <c r="J556">
        <v>37</v>
      </c>
      <c r="K556" t="str">
        <f t="shared" si="41"/>
        <v>VenezuelaMexico</v>
      </c>
      <c r="L556" t="str">
        <f t="shared" si="42"/>
        <v>MexicoVenezuela</v>
      </c>
      <c r="M556">
        <f t="shared" si="43"/>
        <v>0</v>
      </c>
      <c r="N556">
        <f t="shared" si="44"/>
        <v>1</v>
      </c>
      <c r="O556">
        <f t="shared" si="45"/>
        <v>0</v>
      </c>
    </row>
    <row r="557" spans="1:15" hidden="1" x14ac:dyDescent="0.25">
      <c r="A557" s="1">
        <v>34889</v>
      </c>
      <c r="B557" t="s">
        <v>43</v>
      </c>
      <c r="C557" t="s">
        <v>11</v>
      </c>
      <c r="D557" s="2" t="s">
        <v>33</v>
      </c>
      <c r="E557" t="s">
        <v>27</v>
      </c>
      <c r="F557" t="s">
        <v>14</v>
      </c>
      <c r="G557" t="s">
        <v>44</v>
      </c>
      <c r="H557">
        <v>0</v>
      </c>
      <c r="I557">
        <v>1</v>
      </c>
      <c r="J557">
        <v>37</v>
      </c>
      <c r="K557" t="str">
        <f t="shared" si="41"/>
        <v>ParaguayUruguay</v>
      </c>
      <c r="L557" t="str">
        <f t="shared" si="42"/>
        <v>UruguayParaguay</v>
      </c>
      <c r="M557">
        <f t="shared" si="43"/>
        <v>0</v>
      </c>
      <c r="N557">
        <f t="shared" si="44"/>
        <v>1</v>
      </c>
      <c r="O557">
        <f t="shared" si="45"/>
        <v>0</v>
      </c>
    </row>
    <row r="558" spans="1:15" hidden="1" x14ac:dyDescent="0.25">
      <c r="A558" s="1">
        <v>34890</v>
      </c>
      <c r="B558" t="s">
        <v>125</v>
      </c>
      <c r="C558" t="s">
        <v>99</v>
      </c>
      <c r="D558" s="2" t="s">
        <v>29</v>
      </c>
      <c r="E558" t="s">
        <v>302</v>
      </c>
      <c r="F558" t="s">
        <v>14</v>
      </c>
      <c r="G558" t="s">
        <v>136</v>
      </c>
      <c r="H558">
        <v>1</v>
      </c>
      <c r="I558">
        <v>0</v>
      </c>
      <c r="J558">
        <v>37</v>
      </c>
      <c r="K558" t="str">
        <f t="shared" si="41"/>
        <v>ColombiaEcuador</v>
      </c>
      <c r="L558" t="str">
        <f t="shared" si="42"/>
        <v>EcuadorColombia</v>
      </c>
      <c r="M558">
        <f t="shared" si="43"/>
        <v>1</v>
      </c>
      <c r="N558">
        <f t="shared" si="44"/>
        <v>0</v>
      </c>
      <c r="O558">
        <f t="shared" si="45"/>
        <v>0</v>
      </c>
    </row>
    <row r="559" spans="1:15" hidden="1" x14ac:dyDescent="0.25">
      <c r="A559" s="1">
        <v>34890</v>
      </c>
      <c r="B559" t="s">
        <v>66</v>
      </c>
      <c r="C559" t="s">
        <v>19</v>
      </c>
      <c r="D559" s="2" t="s">
        <v>37</v>
      </c>
      <c r="E559" t="s">
        <v>302</v>
      </c>
      <c r="F559" t="s">
        <v>14</v>
      </c>
      <c r="G559" t="s">
        <v>83</v>
      </c>
      <c r="H559">
        <v>0</v>
      </c>
      <c r="I559">
        <v>2</v>
      </c>
      <c r="J559">
        <v>37</v>
      </c>
      <c r="K559" t="str">
        <f t="shared" si="41"/>
        <v>PeruBrazil</v>
      </c>
      <c r="L559" t="str">
        <f t="shared" si="42"/>
        <v>BrazilPeru</v>
      </c>
      <c r="M559">
        <f t="shared" si="43"/>
        <v>0</v>
      </c>
      <c r="N559">
        <f t="shared" si="44"/>
        <v>1</v>
      </c>
      <c r="O559">
        <f t="shared" si="45"/>
        <v>0</v>
      </c>
    </row>
    <row r="560" spans="1:15" hidden="1" x14ac:dyDescent="0.25">
      <c r="A560" s="1">
        <v>34891</v>
      </c>
      <c r="B560" t="s">
        <v>16</v>
      </c>
      <c r="C560" t="s">
        <v>10</v>
      </c>
      <c r="D560" s="2" t="s">
        <v>30</v>
      </c>
      <c r="E560" t="s">
        <v>305</v>
      </c>
      <c r="F560" t="s">
        <v>14</v>
      </c>
      <c r="G560" t="s">
        <v>18</v>
      </c>
      <c r="H560">
        <v>4</v>
      </c>
      <c r="I560">
        <v>0</v>
      </c>
      <c r="J560">
        <v>37</v>
      </c>
      <c r="K560" t="str">
        <f t="shared" si="41"/>
        <v>ArgentinaChile</v>
      </c>
      <c r="L560" t="str">
        <f t="shared" si="42"/>
        <v>ChileArgentina</v>
      </c>
      <c r="M560">
        <f t="shared" si="43"/>
        <v>1</v>
      </c>
      <c r="N560">
        <f t="shared" si="44"/>
        <v>0</v>
      </c>
      <c r="O560">
        <f t="shared" si="45"/>
        <v>0</v>
      </c>
    </row>
    <row r="561" spans="1:15" hidden="1" x14ac:dyDescent="0.25">
      <c r="A561" s="1">
        <v>34891</v>
      </c>
      <c r="B561" t="s">
        <v>56</v>
      </c>
      <c r="C561" t="s">
        <v>311</v>
      </c>
      <c r="D561" s="2" t="s">
        <v>29</v>
      </c>
      <c r="E561" t="s">
        <v>308</v>
      </c>
      <c r="F561" t="s">
        <v>14</v>
      </c>
      <c r="G561" t="s">
        <v>309</v>
      </c>
      <c r="H561">
        <v>1</v>
      </c>
      <c r="I561">
        <v>0</v>
      </c>
      <c r="J561">
        <v>37</v>
      </c>
      <c r="K561" t="str">
        <f t="shared" si="41"/>
        <v>BoliviaUnited States</v>
      </c>
      <c r="L561" t="str">
        <f t="shared" si="42"/>
        <v>United StatesBolivia</v>
      </c>
      <c r="M561">
        <f t="shared" si="43"/>
        <v>1</v>
      </c>
      <c r="N561">
        <f t="shared" si="44"/>
        <v>0</v>
      </c>
      <c r="O561">
        <f t="shared" si="45"/>
        <v>0</v>
      </c>
    </row>
    <row r="562" spans="1:15" hidden="1" x14ac:dyDescent="0.25">
      <c r="A562" s="1">
        <v>34892</v>
      </c>
      <c r="B562" t="s">
        <v>43</v>
      </c>
      <c r="C562" t="s">
        <v>211</v>
      </c>
      <c r="D562" s="3">
        <v>42038</v>
      </c>
      <c r="E562" t="s">
        <v>299</v>
      </c>
      <c r="F562" t="s">
        <v>14</v>
      </c>
      <c r="G562" t="s">
        <v>222</v>
      </c>
      <c r="H562">
        <v>3</v>
      </c>
      <c r="I562">
        <v>2</v>
      </c>
      <c r="J562">
        <v>37</v>
      </c>
      <c r="K562" t="str">
        <f t="shared" si="41"/>
        <v>ParaguayVenezuela</v>
      </c>
      <c r="L562" t="str">
        <f t="shared" si="42"/>
        <v>VenezuelaParaguay</v>
      </c>
      <c r="M562">
        <f t="shared" si="43"/>
        <v>1</v>
      </c>
      <c r="N562">
        <f t="shared" si="44"/>
        <v>0</v>
      </c>
      <c r="O562">
        <f t="shared" si="45"/>
        <v>0</v>
      </c>
    </row>
    <row r="563" spans="1:15" hidden="1" x14ac:dyDescent="0.25">
      <c r="A563" s="1">
        <v>34893</v>
      </c>
      <c r="B563" t="s">
        <v>99</v>
      </c>
      <c r="C563" t="s">
        <v>66</v>
      </c>
      <c r="D563" s="3">
        <v>42006</v>
      </c>
      <c r="E563" t="s">
        <v>301</v>
      </c>
      <c r="F563" t="s">
        <v>14</v>
      </c>
      <c r="G563" t="s">
        <v>100</v>
      </c>
      <c r="H563">
        <v>2</v>
      </c>
      <c r="I563">
        <v>1</v>
      </c>
      <c r="J563">
        <v>37</v>
      </c>
      <c r="K563" t="str">
        <f t="shared" si="41"/>
        <v>EcuadorPeru</v>
      </c>
      <c r="L563" t="str">
        <f t="shared" si="42"/>
        <v>PeruEcuador</v>
      </c>
      <c r="M563">
        <f t="shared" si="43"/>
        <v>1</v>
      </c>
      <c r="N563">
        <f t="shared" si="44"/>
        <v>0</v>
      </c>
      <c r="O563">
        <f t="shared" si="45"/>
        <v>0</v>
      </c>
    </row>
    <row r="564" spans="1:15" x14ac:dyDescent="0.25">
      <c r="A564" s="1">
        <v>34893</v>
      </c>
      <c r="B564" t="s">
        <v>11</v>
      </c>
      <c r="C564" t="s">
        <v>482</v>
      </c>
      <c r="D564" s="3">
        <v>42005</v>
      </c>
      <c r="E564" t="s">
        <v>31</v>
      </c>
      <c r="F564" t="s">
        <v>14</v>
      </c>
      <c r="G564" t="s">
        <v>310</v>
      </c>
      <c r="H564">
        <v>1</v>
      </c>
      <c r="I564">
        <v>1</v>
      </c>
      <c r="J564">
        <v>37</v>
      </c>
      <c r="K564" t="str">
        <f t="shared" si="41"/>
        <v>UruguayMexico</v>
      </c>
      <c r="L564" t="str">
        <f t="shared" si="42"/>
        <v>MexicoUruguay</v>
      </c>
      <c r="M564">
        <f t="shared" si="43"/>
        <v>0</v>
      </c>
      <c r="N564">
        <f t="shared" si="44"/>
        <v>0</v>
      </c>
      <c r="O564">
        <f t="shared" si="45"/>
        <v>1</v>
      </c>
    </row>
    <row r="565" spans="1:15" hidden="1" x14ac:dyDescent="0.25">
      <c r="A565" s="1">
        <v>34893</v>
      </c>
      <c r="B565" t="s">
        <v>125</v>
      </c>
      <c r="C565" t="s">
        <v>19</v>
      </c>
      <c r="D565" s="2" t="s">
        <v>45</v>
      </c>
      <c r="E565" t="s">
        <v>302</v>
      </c>
      <c r="F565" t="s">
        <v>14</v>
      </c>
      <c r="G565" t="s">
        <v>126</v>
      </c>
      <c r="H565">
        <v>0</v>
      </c>
      <c r="I565">
        <v>3</v>
      </c>
      <c r="J565">
        <v>37</v>
      </c>
      <c r="K565" t="str">
        <f t="shared" si="41"/>
        <v>ColombiaBrazil</v>
      </c>
      <c r="L565" t="str">
        <f t="shared" si="42"/>
        <v>BrazilColombia</v>
      </c>
      <c r="M565">
        <f t="shared" si="43"/>
        <v>0</v>
      </c>
      <c r="N565">
        <f t="shared" si="44"/>
        <v>1</v>
      </c>
      <c r="O565">
        <f t="shared" si="45"/>
        <v>0</v>
      </c>
    </row>
    <row r="566" spans="1:15" hidden="1" x14ac:dyDescent="0.25">
      <c r="A566" s="1">
        <v>34894</v>
      </c>
      <c r="B566" t="s">
        <v>16</v>
      </c>
      <c r="C566" t="s">
        <v>311</v>
      </c>
      <c r="D566" s="2" t="s">
        <v>45</v>
      </c>
      <c r="E566" t="s">
        <v>305</v>
      </c>
      <c r="F566" t="s">
        <v>14</v>
      </c>
      <c r="G566" t="s">
        <v>312</v>
      </c>
      <c r="H566">
        <v>0</v>
      </c>
      <c r="I566">
        <v>3</v>
      </c>
      <c r="J566">
        <v>37</v>
      </c>
      <c r="K566" t="str">
        <f t="shared" si="41"/>
        <v>ArgentinaUnited States</v>
      </c>
      <c r="L566" t="str">
        <f t="shared" si="42"/>
        <v>United StatesArgentina</v>
      </c>
      <c r="M566">
        <f t="shared" si="43"/>
        <v>0</v>
      </c>
      <c r="N566">
        <f t="shared" si="44"/>
        <v>1</v>
      </c>
      <c r="O566">
        <f t="shared" si="45"/>
        <v>0</v>
      </c>
    </row>
    <row r="567" spans="1:15" hidden="1" x14ac:dyDescent="0.25">
      <c r="A567" s="1">
        <v>34894</v>
      </c>
      <c r="B567" t="s">
        <v>56</v>
      </c>
      <c r="C567" t="s">
        <v>10</v>
      </c>
      <c r="D567" s="3">
        <v>42037</v>
      </c>
      <c r="E567" t="s">
        <v>308</v>
      </c>
      <c r="F567" t="s">
        <v>14</v>
      </c>
      <c r="G567" t="s">
        <v>58</v>
      </c>
      <c r="H567">
        <v>2</v>
      </c>
      <c r="I567">
        <v>2</v>
      </c>
      <c r="J567">
        <v>37</v>
      </c>
      <c r="K567" t="str">
        <f t="shared" si="41"/>
        <v>BoliviaChile</v>
      </c>
      <c r="L567" t="str">
        <f t="shared" si="42"/>
        <v>ChileBolivia</v>
      </c>
      <c r="M567">
        <f t="shared" si="43"/>
        <v>0</v>
      </c>
      <c r="N567">
        <f t="shared" si="44"/>
        <v>0</v>
      </c>
      <c r="O567">
        <f t="shared" si="45"/>
        <v>1</v>
      </c>
    </row>
    <row r="568" spans="1:15" hidden="1" x14ac:dyDescent="0.25">
      <c r="A568" s="1">
        <v>34896</v>
      </c>
      <c r="B568" t="s">
        <v>125</v>
      </c>
      <c r="C568" t="s">
        <v>43</v>
      </c>
      <c r="D568" s="3">
        <v>42005</v>
      </c>
      <c r="E568" t="s">
        <v>28</v>
      </c>
      <c r="F568" t="s">
        <v>14</v>
      </c>
      <c r="G568" t="s">
        <v>156</v>
      </c>
      <c r="H568">
        <v>1</v>
      </c>
      <c r="I568">
        <v>1</v>
      </c>
      <c r="J568">
        <v>37</v>
      </c>
      <c r="K568" t="str">
        <f t="shared" si="41"/>
        <v>ColombiaParaguay</v>
      </c>
      <c r="L568" t="str">
        <f t="shared" si="42"/>
        <v>ParaguayColombia</v>
      </c>
      <c r="M568">
        <f t="shared" si="43"/>
        <v>0</v>
      </c>
      <c r="N568">
        <f t="shared" si="44"/>
        <v>0</v>
      </c>
      <c r="O568">
        <f t="shared" si="45"/>
        <v>1</v>
      </c>
    </row>
    <row r="569" spans="1:15" hidden="1" x14ac:dyDescent="0.25">
      <c r="A569" s="1">
        <v>34896</v>
      </c>
      <c r="B569" t="s">
        <v>56</v>
      </c>
      <c r="C569" t="s">
        <v>11</v>
      </c>
      <c r="D569" s="3">
        <v>42036</v>
      </c>
      <c r="E569" t="s">
        <v>27</v>
      </c>
      <c r="F569" t="s">
        <v>14</v>
      </c>
      <c r="G569" t="s">
        <v>64</v>
      </c>
      <c r="H569">
        <v>1</v>
      </c>
      <c r="I569">
        <v>2</v>
      </c>
      <c r="J569">
        <v>37</v>
      </c>
      <c r="K569" t="str">
        <f t="shared" si="41"/>
        <v>BoliviaUruguay</v>
      </c>
      <c r="L569" t="str">
        <f t="shared" si="42"/>
        <v>UruguayBolivia</v>
      </c>
      <c r="M569">
        <f t="shared" si="43"/>
        <v>0</v>
      </c>
      <c r="N569">
        <f t="shared" si="44"/>
        <v>1</v>
      </c>
      <c r="O569">
        <f t="shared" si="45"/>
        <v>0</v>
      </c>
    </row>
    <row r="570" spans="1:15" hidden="1" x14ac:dyDescent="0.25">
      <c r="A570" s="1">
        <v>34897</v>
      </c>
      <c r="B570" t="s">
        <v>482</v>
      </c>
      <c r="C570" t="s">
        <v>311</v>
      </c>
      <c r="D570" s="2" t="s">
        <v>24</v>
      </c>
      <c r="E570" t="s">
        <v>313</v>
      </c>
      <c r="F570" t="s">
        <v>14</v>
      </c>
      <c r="G570" t="s">
        <v>314</v>
      </c>
      <c r="H570">
        <v>0</v>
      </c>
      <c r="I570">
        <v>0</v>
      </c>
      <c r="J570">
        <v>37</v>
      </c>
      <c r="K570" t="str">
        <f t="shared" si="41"/>
        <v>MexicoUnited States</v>
      </c>
      <c r="L570" t="str">
        <f t="shared" si="42"/>
        <v>United StatesMexico</v>
      </c>
      <c r="M570">
        <f t="shared" si="43"/>
        <v>0</v>
      </c>
      <c r="N570">
        <f t="shared" si="44"/>
        <v>0</v>
      </c>
      <c r="O570">
        <f t="shared" si="45"/>
        <v>1</v>
      </c>
    </row>
    <row r="571" spans="1:15" hidden="1" x14ac:dyDescent="0.25">
      <c r="A571" s="1">
        <v>34897</v>
      </c>
      <c r="B571" t="s">
        <v>16</v>
      </c>
      <c r="C571" t="s">
        <v>19</v>
      </c>
      <c r="D571" s="3">
        <v>42037</v>
      </c>
      <c r="E571" t="s">
        <v>302</v>
      </c>
      <c r="F571" t="s">
        <v>14</v>
      </c>
      <c r="G571" t="s">
        <v>21</v>
      </c>
      <c r="H571">
        <v>2</v>
      </c>
      <c r="I571">
        <v>2</v>
      </c>
      <c r="J571">
        <v>37</v>
      </c>
      <c r="K571" t="str">
        <f t="shared" si="41"/>
        <v>ArgentinaBrazil</v>
      </c>
      <c r="L571" t="str">
        <f t="shared" si="42"/>
        <v>BrazilArgentina</v>
      </c>
      <c r="M571">
        <f t="shared" si="43"/>
        <v>0</v>
      </c>
      <c r="N571">
        <f t="shared" si="44"/>
        <v>0</v>
      </c>
      <c r="O571">
        <f t="shared" si="45"/>
        <v>1</v>
      </c>
    </row>
    <row r="572" spans="1:15" hidden="1" x14ac:dyDescent="0.25">
      <c r="A572" s="1">
        <v>34899</v>
      </c>
      <c r="B572" t="s">
        <v>125</v>
      </c>
      <c r="C572" t="s">
        <v>11</v>
      </c>
      <c r="D572" s="2" t="s">
        <v>37</v>
      </c>
      <c r="E572" t="s">
        <v>28</v>
      </c>
      <c r="F572" t="s">
        <v>14</v>
      </c>
      <c r="G572" t="s">
        <v>129</v>
      </c>
      <c r="H572">
        <v>0</v>
      </c>
      <c r="I572">
        <v>2</v>
      </c>
      <c r="J572">
        <v>37</v>
      </c>
      <c r="K572" t="str">
        <f t="shared" si="41"/>
        <v>ColombiaUruguay</v>
      </c>
      <c r="L572" t="str">
        <f t="shared" si="42"/>
        <v>UruguayColombia</v>
      </c>
      <c r="M572">
        <f t="shared" si="43"/>
        <v>0</v>
      </c>
      <c r="N572">
        <f t="shared" si="44"/>
        <v>1</v>
      </c>
      <c r="O572">
        <f t="shared" si="45"/>
        <v>0</v>
      </c>
    </row>
    <row r="573" spans="1:15" hidden="1" x14ac:dyDescent="0.25">
      <c r="A573" s="1">
        <v>34900</v>
      </c>
      <c r="B573" t="s">
        <v>19</v>
      </c>
      <c r="C573" t="s">
        <v>311</v>
      </c>
      <c r="D573" s="2" t="s">
        <v>29</v>
      </c>
      <c r="E573" t="s">
        <v>313</v>
      </c>
      <c r="F573" t="s">
        <v>14</v>
      </c>
      <c r="G573" t="s">
        <v>315</v>
      </c>
      <c r="H573">
        <v>1</v>
      </c>
      <c r="I573">
        <v>0</v>
      </c>
      <c r="J573">
        <v>37</v>
      </c>
      <c r="K573" t="str">
        <f t="shared" si="41"/>
        <v>BrazilUnited States</v>
      </c>
      <c r="L573" t="str">
        <f t="shared" si="42"/>
        <v>United StatesBrazil</v>
      </c>
      <c r="M573">
        <f t="shared" si="43"/>
        <v>1</v>
      </c>
      <c r="N573">
        <f t="shared" si="44"/>
        <v>0</v>
      </c>
      <c r="O573">
        <f t="shared" si="45"/>
        <v>0</v>
      </c>
    </row>
    <row r="574" spans="1:15" hidden="1" x14ac:dyDescent="0.25">
      <c r="A574" s="1">
        <v>34902</v>
      </c>
      <c r="B574" t="s">
        <v>125</v>
      </c>
      <c r="C574" t="s">
        <v>311</v>
      </c>
      <c r="D574" s="3">
        <v>42008</v>
      </c>
      <c r="E574" t="s">
        <v>306</v>
      </c>
      <c r="F574" t="s">
        <v>14</v>
      </c>
      <c r="G574" t="s">
        <v>316</v>
      </c>
      <c r="H574">
        <v>4</v>
      </c>
      <c r="I574">
        <v>1</v>
      </c>
      <c r="J574">
        <v>37</v>
      </c>
      <c r="K574" t="str">
        <f t="shared" si="41"/>
        <v>ColombiaUnited States</v>
      </c>
      <c r="L574" t="str">
        <f t="shared" si="42"/>
        <v>United StatesColombia</v>
      </c>
      <c r="M574">
        <f t="shared" si="43"/>
        <v>1</v>
      </c>
      <c r="N574">
        <f t="shared" si="44"/>
        <v>0</v>
      </c>
      <c r="O574">
        <f t="shared" si="45"/>
        <v>0</v>
      </c>
    </row>
    <row r="575" spans="1:15" x14ac:dyDescent="0.25">
      <c r="A575" s="1">
        <v>34903</v>
      </c>
      <c r="B575" t="s">
        <v>11</v>
      </c>
      <c r="C575" t="s">
        <v>19</v>
      </c>
      <c r="D575" s="3">
        <v>42005</v>
      </c>
      <c r="E575" t="s">
        <v>31</v>
      </c>
      <c r="F575" t="s">
        <v>14</v>
      </c>
      <c r="G575" t="s">
        <v>23</v>
      </c>
      <c r="H575">
        <v>1</v>
      </c>
      <c r="I575">
        <v>1</v>
      </c>
      <c r="J575">
        <v>37</v>
      </c>
      <c r="K575" t="str">
        <f t="shared" si="41"/>
        <v>UruguayBrazil</v>
      </c>
      <c r="L575" t="str">
        <f t="shared" si="42"/>
        <v>BrazilUruguay</v>
      </c>
      <c r="M575">
        <f t="shared" si="43"/>
        <v>0</v>
      </c>
      <c r="N575">
        <f t="shared" si="44"/>
        <v>0</v>
      </c>
      <c r="O575">
        <f t="shared" si="45"/>
        <v>1</v>
      </c>
    </row>
    <row r="576" spans="1:15" hidden="1" x14ac:dyDescent="0.25">
      <c r="A576" s="1">
        <v>35592</v>
      </c>
      <c r="B576" t="s">
        <v>10</v>
      </c>
      <c r="C576" t="s">
        <v>43</v>
      </c>
      <c r="D576" s="2" t="s">
        <v>33</v>
      </c>
      <c r="E576" t="s">
        <v>203</v>
      </c>
      <c r="F576" t="s">
        <v>14</v>
      </c>
      <c r="G576" t="s">
        <v>49</v>
      </c>
      <c r="H576">
        <v>0</v>
      </c>
      <c r="I576">
        <v>1</v>
      </c>
      <c r="J576">
        <v>38</v>
      </c>
      <c r="K576" t="str">
        <f t="shared" si="41"/>
        <v>ChileParaguay</v>
      </c>
      <c r="L576" t="str">
        <f t="shared" si="42"/>
        <v>ParaguayChile</v>
      </c>
      <c r="M576">
        <f t="shared" si="43"/>
        <v>0</v>
      </c>
      <c r="N576">
        <f t="shared" si="44"/>
        <v>1</v>
      </c>
      <c r="O576">
        <f t="shared" si="45"/>
        <v>0</v>
      </c>
    </row>
    <row r="577" spans="1:15" hidden="1" x14ac:dyDescent="0.25">
      <c r="A577" s="1">
        <v>35592</v>
      </c>
      <c r="B577" t="s">
        <v>16</v>
      </c>
      <c r="C577" t="s">
        <v>99</v>
      </c>
      <c r="D577" s="2" t="s">
        <v>24</v>
      </c>
      <c r="E577" t="s">
        <v>200</v>
      </c>
      <c r="F577" t="s">
        <v>14</v>
      </c>
      <c r="G577" t="s">
        <v>106</v>
      </c>
      <c r="H577">
        <v>0</v>
      </c>
      <c r="I577">
        <v>0</v>
      </c>
      <c r="J577">
        <v>38</v>
      </c>
      <c r="K577" t="str">
        <f t="shared" si="41"/>
        <v>ArgentinaEcuador</v>
      </c>
      <c r="L577" t="str">
        <f t="shared" si="42"/>
        <v>EcuadorArgentina</v>
      </c>
      <c r="M577">
        <f t="shared" si="43"/>
        <v>0</v>
      </c>
      <c r="N577">
        <f t="shared" si="44"/>
        <v>0</v>
      </c>
      <c r="O577">
        <f t="shared" si="45"/>
        <v>1</v>
      </c>
    </row>
    <row r="578" spans="1:15" hidden="1" x14ac:dyDescent="0.25">
      <c r="A578" s="1">
        <v>35593</v>
      </c>
      <c r="B578" t="s">
        <v>56</v>
      </c>
      <c r="C578" t="s">
        <v>211</v>
      </c>
      <c r="D578" s="2" t="s">
        <v>29</v>
      </c>
      <c r="E578" t="s">
        <v>201</v>
      </c>
      <c r="F578" t="s">
        <v>14</v>
      </c>
      <c r="G578" t="s">
        <v>220</v>
      </c>
      <c r="H578">
        <v>1</v>
      </c>
      <c r="I578">
        <v>0</v>
      </c>
      <c r="J578">
        <v>38</v>
      </c>
      <c r="K578" t="str">
        <f t="shared" si="41"/>
        <v>BoliviaVenezuela</v>
      </c>
      <c r="L578" t="str">
        <f t="shared" si="42"/>
        <v>VenezuelaBolivia</v>
      </c>
      <c r="M578">
        <f t="shared" si="43"/>
        <v>1</v>
      </c>
      <c r="N578">
        <f t="shared" si="44"/>
        <v>0</v>
      </c>
      <c r="O578">
        <f t="shared" si="45"/>
        <v>0</v>
      </c>
    </row>
    <row r="579" spans="1:15" hidden="1" x14ac:dyDescent="0.25">
      <c r="A579" s="1">
        <v>35593</v>
      </c>
      <c r="B579" t="s">
        <v>66</v>
      </c>
      <c r="C579" t="s">
        <v>11</v>
      </c>
      <c r="D579" s="2" t="s">
        <v>29</v>
      </c>
      <c r="E579" t="s">
        <v>317</v>
      </c>
      <c r="F579" t="s">
        <v>14</v>
      </c>
      <c r="G579" t="s">
        <v>67</v>
      </c>
      <c r="H579">
        <v>1</v>
      </c>
      <c r="I579">
        <v>0</v>
      </c>
      <c r="J579">
        <v>38</v>
      </c>
      <c r="K579" t="str">
        <f t="shared" ref="K579:K642" si="46">CONCATENATE(B579,C579)</f>
        <v>PeruUruguay</v>
      </c>
      <c r="L579" t="str">
        <f t="shared" ref="L579:L642" si="47">CONCATENATE(C579,B579)</f>
        <v>UruguayPeru</v>
      </c>
      <c r="M579">
        <f t="shared" ref="M579:M642" si="48">IF(H579&gt;I579,1,0)</f>
        <v>1</v>
      </c>
      <c r="N579">
        <f t="shared" ref="N579:N642" si="49">IF(I579&gt;H579,1,0)</f>
        <v>0</v>
      </c>
      <c r="O579">
        <f t="shared" ref="O579:O642" si="50">IF(I579=H579,1,0)</f>
        <v>0</v>
      </c>
    </row>
    <row r="580" spans="1:15" hidden="1" x14ac:dyDescent="0.25">
      <c r="A580" s="1">
        <v>35594</v>
      </c>
      <c r="B580" t="s">
        <v>125</v>
      </c>
      <c r="C580" t="s">
        <v>482</v>
      </c>
      <c r="D580" s="3">
        <v>42036</v>
      </c>
      <c r="E580" t="s">
        <v>318</v>
      </c>
      <c r="F580" t="s">
        <v>14</v>
      </c>
      <c r="G580" t="s">
        <v>287</v>
      </c>
      <c r="H580">
        <v>1</v>
      </c>
      <c r="I580">
        <v>2</v>
      </c>
      <c r="J580">
        <v>38</v>
      </c>
      <c r="K580" t="str">
        <f t="shared" si="46"/>
        <v>ColombiaMexico</v>
      </c>
      <c r="L580" t="str">
        <f t="shared" si="47"/>
        <v>MexicoColombia</v>
      </c>
      <c r="M580">
        <f t="shared" si="48"/>
        <v>0</v>
      </c>
      <c r="N580">
        <f t="shared" si="49"/>
        <v>1</v>
      </c>
      <c r="O580">
        <f t="shared" si="50"/>
        <v>0</v>
      </c>
    </row>
    <row r="581" spans="1:15" hidden="1" x14ac:dyDescent="0.25">
      <c r="A581" s="1">
        <v>35594</v>
      </c>
      <c r="B581" t="s">
        <v>19</v>
      </c>
      <c r="C581" t="s">
        <v>319</v>
      </c>
      <c r="D581" s="2" t="s">
        <v>59</v>
      </c>
      <c r="E581" t="s">
        <v>313</v>
      </c>
      <c r="F581" t="s">
        <v>14</v>
      </c>
      <c r="G581" t="s">
        <v>320</v>
      </c>
      <c r="H581">
        <v>5</v>
      </c>
      <c r="I581">
        <v>0</v>
      </c>
      <c r="J581">
        <v>38</v>
      </c>
      <c r="K581" t="str">
        <f t="shared" si="46"/>
        <v>BrazilCosta Rica</v>
      </c>
      <c r="L581" t="str">
        <f t="shared" si="47"/>
        <v>Costa RicaBrazil</v>
      </c>
      <c r="M581">
        <f t="shared" si="48"/>
        <v>1</v>
      </c>
      <c r="N581">
        <f t="shared" si="49"/>
        <v>0</v>
      </c>
      <c r="O581">
        <f t="shared" si="50"/>
        <v>0</v>
      </c>
    </row>
    <row r="582" spans="1:15" hidden="1" x14ac:dyDescent="0.25">
      <c r="A582" s="1">
        <v>35595</v>
      </c>
      <c r="B582" t="s">
        <v>16</v>
      </c>
      <c r="C582" t="s">
        <v>10</v>
      </c>
      <c r="D582" s="2" t="s">
        <v>42</v>
      </c>
      <c r="E582" t="s">
        <v>200</v>
      </c>
      <c r="F582" t="s">
        <v>14</v>
      </c>
      <c r="G582" t="s">
        <v>18</v>
      </c>
      <c r="H582">
        <v>2</v>
      </c>
      <c r="I582">
        <v>0</v>
      </c>
      <c r="J582">
        <v>38</v>
      </c>
      <c r="K582" t="str">
        <f t="shared" si="46"/>
        <v>ArgentinaChile</v>
      </c>
      <c r="L582" t="str">
        <f t="shared" si="47"/>
        <v>ChileArgentina</v>
      </c>
      <c r="M582">
        <f t="shared" si="48"/>
        <v>1</v>
      </c>
      <c r="N582">
        <f t="shared" si="49"/>
        <v>0</v>
      </c>
      <c r="O582">
        <f t="shared" si="50"/>
        <v>0</v>
      </c>
    </row>
    <row r="583" spans="1:15" hidden="1" x14ac:dyDescent="0.25">
      <c r="A583" s="1">
        <v>35595</v>
      </c>
      <c r="B583" t="s">
        <v>99</v>
      </c>
      <c r="C583" t="s">
        <v>43</v>
      </c>
      <c r="D583" s="2" t="s">
        <v>42</v>
      </c>
      <c r="E583" t="s">
        <v>203</v>
      </c>
      <c r="F583" t="s">
        <v>14</v>
      </c>
      <c r="G583" t="s">
        <v>105</v>
      </c>
      <c r="H583">
        <v>2</v>
      </c>
      <c r="I583">
        <v>0</v>
      </c>
      <c r="J583">
        <v>38</v>
      </c>
      <c r="K583" t="str">
        <f t="shared" si="46"/>
        <v>EcuadorParaguay</v>
      </c>
      <c r="L583" t="str">
        <f t="shared" si="47"/>
        <v>ParaguayEcuador</v>
      </c>
      <c r="M583">
        <f t="shared" si="48"/>
        <v>1</v>
      </c>
      <c r="N583">
        <f t="shared" si="49"/>
        <v>0</v>
      </c>
      <c r="O583">
        <f t="shared" si="50"/>
        <v>0</v>
      </c>
    </row>
    <row r="584" spans="1:15" hidden="1" x14ac:dyDescent="0.25">
      <c r="A584" s="1">
        <v>35596</v>
      </c>
      <c r="B584" t="s">
        <v>56</v>
      </c>
      <c r="C584" t="s">
        <v>66</v>
      </c>
      <c r="D584" s="2" t="s">
        <v>42</v>
      </c>
      <c r="E584" t="s">
        <v>201</v>
      </c>
      <c r="F584" t="s">
        <v>14</v>
      </c>
      <c r="G584" t="s">
        <v>71</v>
      </c>
      <c r="H584">
        <v>2</v>
      </c>
      <c r="I584">
        <v>0</v>
      </c>
      <c r="J584">
        <v>38</v>
      </c>
      <c r="K584" t="str">
        <f t="shared" si="46"/>
        <v>BoliviaPeru</v>
      </c>
      <c r="L584" t="str">
        <f t="shared" si="47"/>
        <v>PeruBolivia</v>
      </c>
      <c r="M584">
        <f t="shared" si="48"/>
        <v>1</v>
      </c>
      <c r="N584">
        <f t="shared" si="49"/>
        <v>0</v>
      </c>
      <c r="O584">
        <f t="shared" si="50"/>
        <v>0</v>
      </c>
    </row>
    <row r="585" spans="1:15" x14ac:dyDescent="0.25">
      <c r="A585" s="1">
        <v>35596</v>
      </c>
      <c r="B585" t="s">
        <v>11</v>
      </c>
      <c r="C585" t="s">
        <v>211</v>
      </c>
      <c r="D585" s="2" t="s">
        <v>42</v>
      </c>
      <c r="E585" t="s">
        <v>321</v>
      </c>
      <c r="F585" t="s">
        <v>14</v>
      </c>
      <c r="G585" t="s">
        <v>214</v>
      </c>
      <c r="H585">
        <v>2</v>
      </c>
      <c r="I585">
        <v>0</v>
      </c>
      <c r="J585">
        <v>38</v>
      </c>
      <c r="K585" t="str">
        <f t="shared" si="46"/>
        <v>UruguayVenezuela</v>
      </c>
      <c r="L585" t="str">
        <f t="shared" si="47"/>
        <v>VenezuelaUruguay</v>
      </c>
      <c r="M585">
        <f t="shared" si="48"/>
        <v>1</v>
      </c>
      <c r="N585">
        <f t="shared" si="49"/>
        <v>0</v>
      </c>
      <c r="O585">
        <f t="shared" si="50"/>
        <v>0</v>
      </c>
    </row>
    <row r="586" spans="1:15" hidden="1" x14ac:dyDescent="0.25">
      <c r="A586" s="1">
        <v>35597</v>
      </c>
      <c r="B586" t="s">
        <v>19</v>
      </c>
      <c r="C586" t="s">
        <v>482</v>
      </c>
      <c r="D586" s="3">
        <v>42038</v>
      </c>
      <c r="E586" t="s">
        <v>313</v>
      </c>
      <c r="F586" t="s">
        <v>14</v>
      </c>
      <c r="G586" t="s">
        <v>322</v>
      </c>
      <c r="H586">
        <v>3</v>
      </c>
      <c r="I586">
        <v>2</v>
      </c>
      <c r="J586">
        <v>38</v>
      </c>
      <c r="K586" t="str">
        <f t="shared" si="46"/>
        <v>BrazilMexico</v>
      </c>
      <c r="L586" t="str">
        <f t="shared" si="47"/>
        <v>MexicoBrazil</v>
      </c>
      <c r="M586">
        <f t="shared" si="48"/>
        <v>1</v>
      </c>
      <c r="N586">
        <f t="shared" si="49"/>
        <v>0</v>
      </c>
      <c r="O586">
        <f t="shared" si="50"/>
        <v>0</v>
      </c>
    </row>
    <row r="587" spans="1:15" hidden="1" x14ac:dyDescent="0.25">
      <c r="A587" s="1">
        <v>35597</v>
      </c>
      <c r="B587" t="s">
        <v>125</v>
      </c>
      <c r="C587" t="s">
        <v>319</v>
      </c>
      <c r="D587" s="3">
        <v>42008</v>
      </c>
      <c r="E587" t="s">
        <v>318</v>
      </c>
      <c r="F587" t="s">
        <v>14</v>
      </c>
      <c r="G587" t="s">
        <v>323</v>
      </c>
      <c r="H587">
        <v>4</v>
      </c>
      <c r="I587">
        <v>1</v>
      </c>
      <c r="J587">
        <v>38</v>
      </c>
      <c r="K587" t="str">
        <f t="shared" si="46"/>
        <v>ColombiaCosta Rica</v>
      </c>
      <c r="L587" t="str">
        <f t="shared" si="47"/>
        <v>Costa RicaColombia</v>
      </c>
      <c r="M587">
        <f t="shared" si="48"/>
        <v>1</v>
      </c>
      <c r="N587">
        <f t="shared" si="49"/>
        <v>0</v>
      </c>
      <c r="O587">
        <f t="shared" si="50"/>
        <v>0</v>
      </c>
    </row>
    <row r="588" spans="1:15" hidden="1" x14ac:dyDescent="0.25">
      <c r="A588" s="1">
        <v>35598</v>
      </c>
      <c r="B588" t="s">
        <v>16</v>
      </c>
      <c r="C588" t="s">
        <v>43</v>
      </c>
      <c r="D588" s="3">
        <v>42005</v>
      </c>
      <c r="E588" t="s">
        <v>200</v>
      </c>
      <c r="F588" t="s">
        <v>14</v>
      </c>
      <c r="G588" t="s">
        <v>48</v>
      </c>
      <c r="H588">
        <v>1</v>
      </c>
      <c r="I588">
        <v>1</v>
      </c>
      <c r="J588">
        <v>38</v>
      </c>
      <c r="K588" t="str">
        <f t="shared" si="46"/>
        <v>ArgentinaParaguay</v>
      </c>
      <c r="L588" t="str">
        <f t="shared" si="47"/>
        <v>ParaguayArgentina</v>
      </c>
      <c r="M588">
        <f t="shared" si="48"/>
        <v>0</v>
      </c>
      <c r="N588">
        <f t="shared" si="49"/>
        <v>0</v>
      </c>
      <c r="O588">
        <f t="shared" si="50"/>
        <v>1</v>
      </c>
    </row>
    <row r="589" spans="1:15" hidden="1" x14ac:dyDescent="0.25">
      <c r="A589" s="1">
        <v>35598</v>
      </c>
      <c r="B589" t="s">
        <v>10</v>
      </c>
      <c r="C589" t="s">
        <v>99</v>
      </c>
      <c r="D589" s="3">
        <v>42036</v>
      </c>
      <c r="E589" t="s">
        <v>203</v>
      </c>
      <c r="F589" t="s">
        <v>14</v>
      </c>
      <c r="G589" t="s">
        <v>104</v>
      </c>
      <c r="H589">
        <v>1</v>
      </c>
      <c r="I589">
        <v>2</v>
      </c>
      <c r="J589">
        <v>38</v>
      </c>
      <c r="K589" t="str">
        <f t="shared" si="46"/>
        <v>ChileEcuador</v>
      </c>
      <c r="L589" t="str">
        <f t="shared" si="47"/>
        <v>EcuadorChile</v>
      </c>
      <c r="M589">
        <f t="shared" si="48"/>
        <v>0</v>
      </c>
      <c r="N589">
        <f t="shared" si="49"/>
        <v>1</v>
      </c>
      <c r="O589">
        <f t="shared" si="50"/>
        <v>0</v>
      </c>
    </row>
    <row r="590" spans="1:15" hidden="1" x14ac:dyDescent="0.25">
      <c r="A590" s="1">
        <v>35599</v>
      </c>
      <c r="B590" t="s">
        <v>66</v>
      </c>
      <c r="C590" t="s">
        <v>211</v>
      </c>
      <c r="D590" s="2" t="s">
        <v>42</v>
      </c>
      <c r="E590" t="s">
        <v>317</v>
      </c>
      <c r="F590" t="s">
        <v>14</v>
      </c>
      <c r="G590" t="s">
        <v>273</v>
      </c>
      <c r="H590">
        <v>2</v>
      </c>
      <c r="I590">
        <v>0</v>
      </c>
      <c r="J590">
        <v>38</v>
      </c>
      <c r="K590" t="str">
        <f t="shared" si="46"/>
        <v>PeruVenezuela</v>
      </c>
      <c r="L590" t="str">
        <f t="shared" si="47"/>
        <v>VenezuelaPeru</v>
      </c>
      <c r="M590">
        <f t="shared" si="48"/>
        <v>1</v>
      </c>
      <c r="N590">
        <f t="shared" si="49"/>
        <v>0</v>
      </c>
      <c r="O590">
        <f t="shared" si="50"/>
        <v>0</v>
      </c>
    </row>
    <row r="591" spans="1:15" hidden="1" x14ac:dyDescent="0.25">
      <c r="A591" s="1">
        <v>35599</v>
      </c>
      <c r="B591" t="s">
        <v>56</v>
      </c>
      <c r="C591" t="s">
        <v>11</v>
      </c>
      <c r="D591" s="2" t="s">
        <v>29</v>
      </c>
      <c r="E591" t="s">
        <v>201</v>
      </c>
      <c r="F591" t="s">
        <v>14</v>
      </c>
      <c r="G591" t="s">
        <v>64</v>
      </c>
      <c r="H591">
        <v>1</v>
      </c>
      <c r="I591">
        <v>0</v>
      </c>
      <c r="J591">
        <v>38</v>
      </c>
      <c r="K591" t="str">
        <f t="shared" si="46"/>
        <v>BoliviaUruguay</v>
      </c>
      <c r="L591" t="str">
        <f t="shared" si="47"/>
        <v>UruguayBolivia</v>
      </c>
      <c r="M591">
        <f t="shared" si="48"/>
        <v>1</v>
      </c>
      <c r="N591">
        <f t="shared" si="49"/>
        <v>0</v>
      </c>
      <c r="O591">
        <f t="shared" si="50"/>
        <v>0</v>
      </c>
    </row>
    <row r="592" spans="1:15" hidden="1" x14ac:dyDescent="0.25">
      <c r="A592" s="1">
        <v>35600</v>
      </c>
      <c r="B592" t="s">
        <v>482</v>
      </c>
      <c r="C592" t="s">
        <v>319</v>
      </c>
      <c r="D592" s="3">
        <v>42005</v>
      </c>
      <c r="E592" t="s">
        <v>313</v>
      </c>
      <c r="F592" t="s">
        <v>14</v>
      </c>
      <c r="G592" t="s">
        <v>324</v>
      </c>
      <c r="H592">
        <v>1</v>
      </c>
      <c r="I592">
        <v>1</v>
      </c>
      <c r="J592">
        <v>38</v>
      </c>
      <c r="K592" t="str">
        <f t="shared" si="46"/>
        <v>MexicoCosta Rica</v>
      </c>
      <c r="L592" t="str">
        <f t="shared" si="47"/>
        <v>Costa RicaMexico</v>
      </c>
      <c r="M592">
        <f t="shared" si="48"/>
        <v>0</v>
      </c>
      <c r="N592">
        <f t="shared" si="49"/>
        <v>0</v>
      </c>
      <c r="O592">
        <f t="shared" si="50"/>
        <v>1</v>
      </c>
    </row>
    <row r="593" spans="1:15" hidden="1" x14ac:dyDescent="0.25">
      <c r="A593" s="1">
        <v>35600</v>
      </c>
      <c r="B593" t="s">
        <v>125</v>
      </c>
      <c r="C593" t="s">
        <v>19</v>
      </c>
      <c r="D593" s="2" t="s">
        <v>37</v>
      </c>
      <c r="E593" t="s">
        <v>318</v>
      </c>
      <c r="F593" t="s">
        <v>14</v>
      </c>
      <c r="G593" t="s">
        <v>126</v>
      </c>
      <c r="H593">
        <v>0</v>
      </c>
      <c r="I593">
        <v>2</v>
      </c>
      <c r="J593">
        <v>38</v>
      </c>
      <c r="K593" t="str">
        <f t="shared" si="46"/>
        <v>ColombiaBrazil</v>
      </c>
      <c r="L593" t="str">
        <f t="shared" si="47"/>
        <v>BrazilColombia</v>
      </c>
      <c r="M593">
        <f t="shared" si="48"/>
        <v>0</v>
      </c>
      <c r="N593">
        <f t="shared" si="49"/>
        <v>1</v>
      </c>
      <c r="O593">
        <f t="shared" si="50"/>
        <v>0</v>
      </c>
    </row>
    <row r="594" spans="1:15" hidden="1" x14ac:dyDescent="0.25">
      <c r="A594" s="1">
        <v>35602</v>
      </c>
      <c r="B594" t="s">
        <v>56</v>
      </c>
      <c r="C594" t="s">
        <v>125</v>
      </c>
      <c r="D594" s="3">
        <v>42006</v>
      </c>
      <c r="E594" t="s">
        <v>201</v>
      </c>
      <c r="F594" t="s">
        <v>14</v>
      </c>
      <c r="G594" t="s">
        <v>137</v>
      </c>
      <c r="H594">
        <v>2</v>
      </c>
      <c r="I594">
        <v>1</v>
      </c>
      <c r="J594">
        <v>38</v>
      </c>
      <c r="K594" t="str">
        <f t="shared" si="46"/>
        <v>BoliviaColombia</v>
      </c>
      <c r="L594" t="str">
        <f t="shared" si="47"/>
        <v>ColombiaBolivia</v>
      </c>
      <c r="M594">
        <f t="shared" si="48"/>
        <v>1</v>
      </c>
      <c r="N594">
        <f t="shared" si="49"/>
        <v>0</v>
      </c>
      <c r="O594">
        <f t="shared" si="50"/>
        <v>0</v>
      </c>
    </row>
    <row r="595" spans="1:15" hidden="1" x14ac:dyDescent="0.25">
      <c r="A595" s="1">
        <v>35602</v>
      </c>
      <c r="B595" t="s">
        <v>16</v>
      </c>
      <c r="C595" t="s">
        <v>66</v>
      </c>
      <c r="D595" s="3">
        <v>42036</v>
      </c>
      <c r="E595" t="s">
        <v>317</v>
      </c>
      <c r="F595" t="s">
        <v>14</v>
      </c>
      <c r="G595" t="s">
        <v>72</v>
      </c>
      <c r="H595">
        <v>1</v>
      </c>
      <c r="I595">
        <v>2</v>
      </c>
      <c r="J595">
        <v>38</v>
      </c>
      <c r="K595" t="str">
        <f t="shared" si="46"/>
        <v>ArgentinaPeru</v>
      </c>
      <c r="L595" t="str">
        <f t="shared" si="47"/>
        <v>PeruArgentina</v>
      </c>
      <c r="M595">
        <f t="shared" si="48"/>
        <v>0</v>
      </c>
      <c r="N595">
        <f t="shared" si="49"/>
        <v>1</v>
      </c>
      <c r="O595">
        <f t="shared" si="50"/>
        <v>0</v>
      </c>
    </row>
    <row r="596" spans="1:15" hidden="1" x14ac:dyDescent="0.25">
      <c r="A596" s="1">
        <v>35603</v>
      </c>
      <c r="B596" t="s">
        <v>99</v>
      </c>
      <c r="C596" t="s">
        <v>482</v>
      </c>
      <c r="D596" s="3">
        <v>42005</v>
      </c>
      <c r="E596" t="s">
        <v>203</v>
      </c>
      <c r="F596" t="s">
        <v>14</v>
      </c>
      <c r="G596" t="s">
        <v>297</v>
      </c>
      <c r="H596">
        <v>1</v>
      </c>
      <c r="I596">
        <v>1</v>
      </c>
      <c r="J596">
        <v>38</v>
      </c>
      <c r="K596" t="str">
        <f t="shared" si="46"/>
        <v>EcuadorMexico</v>
      </c>
      <c r="L596" t="str">
        <f t="shared" si="47"/>
        <v>MexicoEcuador</v>
      </c>
      <c r="M596">
        <f t="shared" si="48"/>
        <v>0</v>
      </c>
      <c r="N596">
        <f t="shared" si="49"/>
        <v>0</v>
      </c>
      <c r="O596">
        <f t="shared" si="50"/>
        <v>1</v>
      </c>
    </row>
    <row r="597" spans="1:15" hidden="1" x14ac:dyDescent="0.25">
      <c r="A597" s="1">
        <v>35603</v>
      </c>
      <c r="B597" t="s">
        <v>43</v>
      </c>
      <c r="C597" t="s">
        <v>19</v>
      </c>
      <c r="D597" s="2" t="s">
        <v>37</v>
      </c>
      <c r="E597" t="s">
        <v>325</v>
      </c>
      <c r="F597" t="s">
        <v>14</v>
      </c>
      <c r="G597" t="s">
        <v>46</v>
      </c>
      <c r="H597">
        <v>0</v>
      </c>
      <c r="I597">
        <v>2</v>
      </c>
      <c r="J597">
        <v>38</v>
      </c>
      <c r="K597" t="str">
        <f t="shared" si="46"/>
        <v>ParaguayBrazil</v>
      </c>
      <c r="L597" t="str">
        <f t="shared" si="47"/>
        <v>BrazilParaguay</v>
      </c>
      <c r="M597">
        <f t="shared" si="48"/>
        <v>0</v>
      </c>
      <c r="N597">
        <f t="shared" si="49"/>
        <v>1</v>
      </c>
      <c r="O597">
        <f t="shared" si="50"/>
        <v>0</v>
      </c>
    </row>
    <row r="598" spans="1:15" hidden="1" x14ac:dyDescent="0.25">
      <c r="A598" s="1">
        <v>35606</v>
      </c>
      <c r="B598" t="s">
        <v>56</v>
      </c>
      <c r="C598" t="s">
        <v>482</v>
      </c>
      <c r="D598" s="3">
        <v>42007</v>
      </c>
      <c r="E598" t="s">
        <v>201</v>
      </c>
      <c r="F598" t="s">
        <v>14</v>
      </c>
      <c r="G598" t="s">
        <v>295</v>
      </c>
      <c r="H598">
        <v>3</v>
      </c>
      <c r="I598">
        <v>1</v>
      </c>
      <c r="J598">
        <v>38</v>
      </c>
      <c r="K598" t="str">
        <f t="shared" si="46"/>
        <v>BoliviaMexico</v>
      </c>
      <c r="L598" t="str">
        <f t="shared" si="47"/>
        <v>MexicoBolivia</v>
      </c>
      <c r="M598">
        <f t="shared" si="48"/>
        <v>1</v>
      </c>
      <c r="N598">
        <f t="shared" si="49"/>
        <v>0</v>
      </c>
      <c r="O598">
        <f t="shared" si="50"/>
        <v>0</v>
      </c>
    </row>
    <row r="599" spans="1:15" hidden="1" x14ac:dyDescent="0.25">
      <c r="A599" s="1">
        <v>35607</v>
      </c>
      <c r="B599" t="s">
        <v>66</v>
      </c>
      <c r="C599" t="s">
        <v>19</v>
      </c>
      <c r="D599" s="2" t="s">
        <v>113</v>
      </c>
      <c r="E599" t="s">
        <v>326</v>
      </c>
      <c r="F599" t="s">
        <v>14</v>
      </c>
      <c r="G599" t="s">
        <v>83</v>
      </c>
      <c r="H599">
        <v>0</v>
      </c>
      <c r="I599">
        <v>7</v>
      </c>
      <c r="J599">
        <v>38</v>
      </c>
      <c r="K599" t="str">
        <f t="shared" si="46"/>
        <v>PeruBrazil</v>
      </c>
      <c r="L599" t="str">
        <f t="shared" si="47"/>
        <v>BrazilPeru</v>
      </c>
      <c r="M599">
        <f t="shared" si="48"/>
        <v>0</v>
      </c>
      <c r="N599">
        <f t="shared" si="49"/>
        <v>1</v>
      </c>
      <c r="O599">
        <f t="shared" si="50"/>
        <v>0</v>
      </c>
    </row>
    <row r="600" spans="1:15" hidden="1" x14ac:dyDescent="0.25">
      <c r="A600" s="1">
        <v>35609</v>
      </c>
      <c r="B600" t="s">
        <v>66</v>
      </c>
      <c r="C600" t="s">
        <v>482</v>
      </c>
      <c r="D600" s="2" t="s">
        <v>33</v>
      </c>
      <c r="E600" t="s">
        <v>224</v>
      </c>
      <c r="F600" t="s">
        <v>14</v>
      </c>
      <c r="G600" t="s">
        <v>296</v>
      </c>
      <c r="H600">
        <v>0</v>
      </c>
      <c r="I600">
        <v>1</v>
      </c>
      <c r="J600">
        <v>38</v>
      </c>
      <c r="K600" t="str">
        <f t="shared" si="46"/>
        <v>PeruMexico</v>
      </c>
      <c r="L600" t="str">
        <f t="shared" si="47"/>
        <v>MexicoPeru</v>
      </c>
      <c r="M600">
        <f t="shared" si="48"/>
        <v>0</v>
      </c>
      <c r="N600">
        <f t="shared" si="49"/>
        <v>1</v>
      </c>
      <c r="O600">
        <f t="shared" si="50"/>
        <v>0</v>
      </c>
    </row>
    <row r="601" spans="1:15" hidden="1" x14ac:dyDescent="0.25">
      <c r="A601" s="1">
        <v>35610</v>
      </c>
      <c r="B601" t="s">
        <v>56</v>
      </c>
      <c r="C601" t="s">
        <v>19</v>
      </c>
      <c r="D601" s="3">
        <v>42064</v>
      </c>
      <c r="E601" t="s">
        <v>201</v>
      </c>
      <c r="F601" t="s">
        <v>14</v>
      </c>
      <c r="G601" t="s">
        <v>130</v>
      </c>
      <c r="H601">
        <v>1</v>
      </c>
      <c r="I601">
        <v>3</v>
      </c>
      <c r="J601">
        <v>38</v>
      </c>
      <c r="K601" t="str">
        <f t="shared" si="46"/>
        <v>BoliviaBrazil</v>
      </c>
      <c r="L601" t="str">
        <f t="shared" si="47"/>
        <v>BrazilBolivia</v>
      </c>
      <c r="M601">
        <f t="shared" si="48"/>
        <v>0</v>
      </c>
      <c r="N601">
        <f t="shared" si="49"/>
        <v>1</v>
      </c>
      <c r="O601">
        <f t="shared" si="50"/>
        <v>0</v>
      </c>
    </row>
    <row r="602" spans="1:15" hidden="1" x14ac:dyDescent="0.25">
      <c r="A602" s="1">
        <v>36340</v>
      </c>
      <c r="B602" t="s">
        <v>56</v>
      </c>
      <c r="C602" t="s">
        <v>43</v>
      </c>
      <c r="D602" s="2" t="s">
        <v>24</v>
      </c>
      <c r="E602" t="s">
        <v>208</v>
      </c>
      <c r="F602" t="s">
        <v>14</v>
      </c>
      <c r="G602" t="s">
        <v>63</v>
      </c>
      <c r="H602">
        <v>0</v>
      </c>
      <c r="I602">
        <v>0</v>
      </c>
      <c r="J602">
        <v>39</v>
      </c>
      <c r="K602" t="str">
        <f t="shared" si="46"/>
        <v>BoliviaParaguay</v>
      </c>
      <c r="L602" t="str">
        <f t="shared" si="47"/>
        <v>ParaguayBolivia</v>
      </c>
      <c r="M602">
        <f t="shared" si="48"/>
        <v>0</v>
      </c>
      <c r="N602">
        <f t="shared" si="49"/>
        <v>0</v>
      </c>
      <c r="O602">
        <f t="shared" si="50"/>
        <v>1</v>
      </c>
    </row>
    <row r="603" spans="1:15" hidden="1" x14ac:dyDescent="0.25">
      <c r="A603" s="1">
        <v>36340</v>
      </c>
      <c r="B603" t="s">
        <v>66</v>
      </c>
      <c r="C603" t="s">
        <v>327</v>
      </c>
      <c r="D603" s="3">
        <v>42038</v>
      </c>
      <c r="E603" t="s">
        <v>226</v>
      </c>
      <c r="F603" t="s">
        <v>14</v>
      </c>
      <c r="G603" t="s">
        <v>328</v>
      </c>
      <c r="H603">
        <v>3</v>
      </c>
      <c r="I603">
        <v>2</v>
      </c>
      <c r="J603">
        <v>39</v>
      </c>
      <c r="K603" t="str">
        <f t="shared" si="46"/>
        <v>PeruJapan</v>
      </c>
      <c r="L603" t="str">
        <f t="shared" si="47"/>
        <v>JapanPeru</v>
      </c>
      <c r="M603">
        <f t="shared" si="48"/>
        <v>1</v>
      </c>
      <c r="N603">
        <f t="shared" si="49"/>
        <v>0</v>
      </c>
      <c r="O603">
        <f t="shared" si="50"/>
        <v>0</v>
      </c>
    </row>
    <row r="604" spans="1:15" hidden="1" x14ac:dyDescent="0.25">
      <c r="A604" s="1">
        <v>36341</v>
      </c>
      <c r="B604" t="s">
        <v>10</v>
      </c>
      <c r="C604" t="s">
        <v>482</v>
      </c>
      <c r="D604" s="2" t="s">
        <v>33</v>
      </c>
      <c r="E604" t="s">
        <v>329</v>
      </c>
      <c r="F604" t="s">
        <v>14</v>
      </c>
      <c r="G604" t="s">
        <v>330</v>
      </c>
      <c r="H604">
        <v>0</v>
      </c>
      <c r="I604">
        <v>1</v>
      </c>
      <c r="J604">
        <v>39</v>
      </c>
      <c r="K604" t="str">
        <f t="shared" si="46"/>
        <v>ChileMexico</v>
      </c>
      <c r="L604" t="str">
        <f t="shared" si="47"/>
        <v>MexicoChile</v>
      </c>
      <c r="M604">
        <f t="shared" si="48"/>
        <v>0</v>
      </c>
      <c r="N604">
        <f t="shared" si="49"/>
        <v>1</v>
      </c>
      <c r="O604">
        <f t="shared" si="50"/>
        <v>0</v>
      </c>
    </row>
    <row r="605" spans="1:15" hidden="1" x14ac:dyDescent="0.25">
      <c r="A605" s="1">
        <v>36341</v>
      </c>
      <c r="B605" t="s">
        <v>211</v>
      </c>
      <c r="C605" t="s">
        <v>19</v>
      </c>
      <c r="D605" s="2" t="s">
        <v>113</v>
      </c>
      <c r="E605" t="s">
        <v>331</v>
      </c>
      <c r="F605" t="s">
        <v>14</v>
      </c>
      <c r="G605" t="s">
        <v>228</v>
      </c>
      <c r="H605">
        <v>0</v>
      </c>
      <c r="I605">
        <v>7</v>
      </c>
      <c r="J605">
        <v>39</v>
      </c>
      <c r="K605" t="str">
        <f t="shared" si="46"/>
        <v>VenezuelaBrazil</v>
      </c>
      <c r="L605" t="str">
        <f t="shared" si="47"/>
        <v>BrazilVenezuela</v>
      </c>
      <c r="M605">
        <f t="shared" si="48"/>
        <v>0</v>
      </c>
      <c r="N605">
        <f t="shared" si="49"/>
        <v>1</v>
      </c>
      <c r="O605">
        <f t="shared" si="50"/>
        <v>0</v>
      </c>
    </row>
    <row r="606" spans="1:15" hidden="1" x14ac:dyDescent="0.25">
      <c r="A606" s="1">
        <v>36342</v>
      </c>
      <c r="B606" t="s">
        <v>16</v>
      </c>
      <c r="C606" t="s">
        <v>99</v>
      </c>
      <c r="D606" s="3">
        <v>42007</v>
      </c>
      <c r="E606" t="s">
        <v>332</v>
      </c>
      <c r="F606" t="s">
        <v>14</v>
      </c>
      <c r="G606" t="s">
        <v>106</v>
      </c>
      <c r="H606">
        <v>3</v>
      </c>
      <c r="I606">
        <v>1</v>
      </c>
      <c r="J606">
        <v>39</v>
      </c>
      <c r="K606" t="str">
        <f t="shared" si="46"/>
        <v>ArgentinaEcuador</v>
      </c>
      <c r="L606" t="str">
        <f t="shared" si="47"/>
        <v>EcuadorArgentina</v>
      </c>
      <c r="M606">
        <f t="shared" si="48"/>
        <v>1</v>
      </c>
      <c r="N606">
        <f t="shared" si="49"/>
        <v>0</v>
      </c>
      <c r="O606">
        <f t="shared" si="50"/>
        <v>0</v>
      </c>
    </row>
    <row r="607" spans="1:15" hidden="1" x14ac:dyDescent="0.25">
      <c r="A607" s="1">
        <v>36342</v>
      </c>
      <c r="B607" t="s">
        <v>125</v>
      </c>
      <c r="C607" t="s">
        <v>11</v>
      </c>
      <c r="D607" s="2" t="s">
        <v>29</v>
      </c>
      <c r="E607" t="s">
        <v>332</v>
      </c>
      <c r="F607" t="s">
        <v>14</v>
      </c>
      <c r="G607" t="s">
        <v>129</v>
      </c>
      <c r="H607">
        <v>1</v>
      </c>
      <c r="I607">
        <v>0</v>
      </c>
      <c r="J607">
        <v>39</v>
      </c>
      <c r="K607" t="str">
        <f t="shared" si="46"/>
        <v>ColombiaUruguay</v>
      </c>
      <c r="L607" t="str">
        <f t="shared" si="47"/>
        <v>UruguayColombia</v>
      </c>
      <c r="M607">
        <f t="shared" si="48"/>
        <v>1</v>
      </c>
      <c r="N607">
        <f t="shared" si="49"/>
        <v>0</v>
      </c>
      <c r="O607">
        <f t="shared" si="50"/>
        <v>0</v>
      </c>
    </row>
    <row r="608" spans="1:15" hidden="1" x14ac:dyDescent="0.25">
      <c r="A608" s="1">
        <v>36343</v>
      </c>
      <c r="B608" t="s">
        <v>56</v>
      </c>
      <c r="C608" t="s">
        <v>66</v>
      </c>
      <c r="D608" s="2" t="s">
        <v>33</v>
      </c>
      <c r="E608" t="s">
        <v>208</v>
      </c>
      <c r="F608" t="s">
        <v>14</v>
      </c>
      <c r="G608" t="s">
        <v>71</v>
      </c>
      <c r="H608">
        <v>0</v>
      </c>
      <c r="I608">
        <v>1</v>
      </c>
      <c r="J608">
        <v>39</v>
      </c>
      <c r="K608" t="str">
        <f t="shared" si="46"/>
        <v>BoliviaPeru</v>
      </c>
      <c r="L608" t="str">
        <f t="shared" si="47"/>
        <v>PeruBolivia</v>
      </c>
      <c r="M608">
        <f t="shared" si="48"/>
        <v>0</v>
      </c>
      <c r="N608">
        <f t="shared" si="49"/>
        <v>1</v>
      </c>
      <c r="O608">
        <f t="shared" si="50"/>
        <v>0</v>
      </c>
    </row>
    <row r="609" spans="1:15" hidden="1" x14ac:dyDescent="0.25">
      <c r="A609" s="1">
        <v>36343</v>
      </c>
      <c r="B609" t="s">
        <v>43</v>
      </c>
      <c r="C609" t="s">
        <v>327</v>
      </c>
      <c r="D609" s="2" t="s">
        <v>30</v>
      </c>
      <c r="E609" t="s">
        <v>226</v>
      </c>
      <c r="F609" t="s">
        <v>14</v>
      </c>
      <c r="G609" t="s">
        <v>333</v>
      </c>
      <c r="H609">
        <v>4</v>
      </c>
      <c r="I609">
        <v>0</v>
      </c>
      <c r="J609">
        <v>39</v>
      </c>
      <c r="K609" t="str">
        <f t="shared" si="46"/>
        <v>ParaguayJapan</v>
      </c>
      <c r="L609" t="str">
        <f t="shared" si="47"/>
        <v>JapanParaguay</v>
      </c>
      <c r="M609">
        <f t="shared" si="48"/>
        <v>1</v>
      </c>
      <c r="N609">
        <f t="shared" si="49"/>
        <v>0</v>
      </c>
      <c r="O609">
        <f t="shared" si="50"/>
        <v>0</v>
      </c>
    </row>
    <row r="610" spans="1:15" hidden="1" x14ac:dyDescent="0.25">
      <c r="A610" s="1">
        <v>36344</v>
      </c>
      <c r="B610" t="s">
        <v>19</v>
      </c>
      <c r="C610" t="s">
        <v>482</v>
      </c>
      <c r="D610" s="3">
        <v>42006</v>
      </c>
      <c r="E610" t="s">
        <v>313</v>
      </c>
      <c r="F610" t="s">
        <v>14</v>
      </c>
      <c r="G610" t="s">
        <v>322</v>
      </c>
      <c r="H610">
        <v>2</v>
      </c>
      <c r="I610">
        <v>1</v>
      </c>
      <c r="J610">
        <v>39</v>
      </c>
      <c r="K610" t="str">
        <f t="shared" si="46"/>
        <v>BrazilMexico</v>
      </c>
      <c r="L610" t="str">
        <f t="shared" si="47"/>
        <v>MexicoBrazil</v>
      </c>
      <c r="M610">
        <f t="shared" si="48"/>
        <v>1</v>
      </c>
      <c r="N610">
        <f t="shared" si="49"/>
        <v>0</v>
      </c>
      <c r="O610">
        <f t="shared" si="50"/>
        <v>0</v>
      </c>
    </row>
    <row r="611" spans="1:15" hidden="1" x14ac:dyDescent="0.25">
      <c r="A611" s="1">
        <v>36344</v>
      </c>
      <c r="B611" t="s">
        <v>10</v>
      </c>
      <c r="C611" t="s">
        <v>211</v>
      </c>
      <c r="D611" s="2" t="s">
        <v>47</v>
      </c>
      <c r="E611" t="s">
        <v>329</v>
      </c>
      <c r="F611" t="s">
        <v>14</v>
      </c>
      <c r="G611" t="s">
        <v>212</v>
      </c>
      <c r="H611">
        <v>3</v>
      </c>
      <c r="I611">
        <v>0</v>
      </c>
      <c r="J611">
        <v>39</v>
      </c>
      <c r="K611" t="str">
        <f t="shared" si="46"/>
        <v>ChileVenezuela</v>
      </c>
      <c r="L611" t="str">
        <f t="shared" si="47"/>
        <v>VenezuelaChile</v>
      </c>
      <c r="M611">
        <f t="shared" si="48"/>
        <v>1</v>
      </c>
      <c r="N611">
        <f t="shared" si="49"/>
        <v>0</v>
      </c>
      <c r="O611">
        <f t="shared" si="50"/>
        <v>0</v>
      </c>
    </row>
    <row r="612" spans="1:15" hidden="1" x14ac:dyDescent="0.25">
      <c r="A612" s="1">
        <v>36345</v>
      </c>
      <c r="B612" t="s">
        <v>99</v>
      </c>
      <c r="C612" t="s">
        <v>11</v>
      </c>
      <c r="D612" s="3">
        <v>42036</v>
      </c>
      <c r="E612" t="s">
        <v>334</v>
      </c>
      <c r="F612" t="s">
        <v>14</v>
      </c>
      <c r="G612" t="s">
        <v>102</v>
      </c>
      <c r="H612">
        <v>1</v>
      </c>
      <c r="I612">
        <v>2</v>
      </c>
      <c r="J612">
        <v>39</v>
      </c>
      <c r="K612" t="str">
        <f t="shared" si="46"/>
        <v>EcuadorUruguay</v>
      </c>
      <c r="L612" t="str">
        <f t="shared" si="47"/>
        <v>UruguayEcuador</v>
      </c>
      <c r="M612">
        <f t="shared" si="48"/>
        <v>0</v>
      </c>
      <c r="N612">
        <f t="shared" si="49"/>
        <v>1</v>
      </c>
      <c r="O612">
        <f t="shared" si="50"/>
        <v>0</v>
      </c>
    </row>
    <row r="613" spans="1:15" hidden="1" x14ac:dyDescent="0.25">
      <c r="A613" s="1">
        <v>36345</v>
      </c>
      <c r="B613" t="s">
        <v>16</v>
      </c>
      <c r="C613" t="s">
        <v>125</v>
      </c>
      <c r="D613" s="2" t="s">
        <v>45</v>
      </c>
      <c r="E613" t="s">
        <v>332</v>
      </c>
      <c r="F613" t="s">
        <v>14</v>
      </c>
      <c r="G613" t="s">
        <v>133</v>
      </c>
      <c r="H613">
        <v>0</v>
      </c>
      <c r="I613">
        <v>3</v>
      </c>
      <c r="J613">
        <v>39</v>
      </c>
      <c r="K613" t="str">
        <f t="shared" si="46"/>
        <v>ArgentinaColombia</v>
      </c>
      <c r="L613" t="str">
        <f t="shared" si="47"/>
        <v>ColombiaArgentina</v>
      </c>
      <c r="M613">
        <f t="shared" si="48"/>
        <v>0</v>
      </c>
      <c r="N613">
        <f t="shared" si="49"/>
        <v>1</v>
      </c>
      <c r="O613">
        <f t="shared" si="50"/>
        <v>0</v>
      </c>
    </row>
    <row r="614" spans="1:15" hidden="1" x14ac:dyDescent="0.25">
      <c r="A614" s="1">
        <v>36346</v>
      </c>
      <c r="B614" t="s">
        <v>43</v>
      </c>
      <c r="C614" t="s">
        <v>66</v>
      </c>
      <c r="D614" s="2" t="s">
        <v>29</v>
      </c>
      <c r="E614" t="s">
        <v>335</v>
      </c>
      <c r="F614" t="s">
        <v>14</v>
      </c>
      <c r="G614" t="s">
        <v>74</v>
      </c>
      <c r="H614">
        <v>1</v>
      </c>
      <c r="I614">
        <v>0</v>
      </c>
      <c r="J614">
        <v>39</v>
      </c>
      <c r="K614" t="str">
        <f t="shared" si="46"/>
        <v>ParaguayPeru</v>
      </c>
      <c r="L614" t="str">
        <f t="shared" si="47"/>
        <v>PeruParaguay</v>
      </c>
      <c r="M614">
        <f t="shared" si="48"/>
        <v>1</v>
      </c>
      <c r="N614">
        <f t="shared" si="49"/>
        <v>0</v>
      </c>
      <c r="O614">
        <f t="shared" si="50"/>
        <v>0</v>
      </c>
    </row>
    <row r="615" spans="1:15" hidden="1" x14ac:dyDescent="0.25">
      <c r="A615" s="1">
        <v>36346</v>
      </c>
      <c r="B615" t="s">
        <v>56</v>
      </c>
      <c r="C615" t="s">
        <v>327</v>
      </c>
      <c r="D615" s="3">
        <v>42005</v>
      </c>
      <c r="E615" t="s">
        <v>336</v>
      </c>
      <c r="F615" t="s">
        <v>14</v>
      </c>
      <c r="G615" t="s">
        <v>337</v>
      </c>
      <c r="H615">
        <v>1</v>
      </c>
      <c r="I615">
        <v>1</v>
      </c>
      <c r="J615">
        <v>39</v>
      </c>
      <c r="K615" t="str">
        <f t="shared" si="46"/>
        <v>BoliviaJapan</v>
      </c>
      <c r="L615" t="str">
        <f t="shared" si="47"/>
        <v>JapanBolivia</v>
      </c>
      <c r="M615">
        <f t="shared" si="48"/>
        <v>0</v>
      </c>
      <c r="N615">
        <f t="shared" si="49"/>
        <v>0</v>
      </c>
      <c r="O615">
        <f t="shared" si="50"/>
        <v>1</v>
      </c>
    </row>
    <row r="616" spans="1:15" hidden="1" x14ac:dyDescent="0.25">
      <c r="A616" s="1">
        <v>36347</v>
      </c>
      <c r="B616" t="s">
        <v>211</v>
      </c>
      <c r="C616" t="s">
        <v>482</v>
      </c>
      <c r="D616" s="3">
        <v>42064</v>
      </c>
      <c r="E616" t="s">
        <v>331</v>
      </c>
      <c r="F616" t="s">
        <v>14</v>
      </c>
      <c r="G616" t="s">
        <v>307</v>
      </c>
      <c r="H616">
        <v>1</v>
      </c>
      <c r="I616">
        <v>3</v>
      </c>
      <c r="J616">
        <v>39</v>
      </c>
      <c r="K616" t="str">
        <f t="shared" si="46"/>
        <v>VenezuelaMexico</v>
      </c>
      <c r="L616" t="str">
        <f t="shared" si="47"/>
        <v>MexicoVenezuela</v>
      </c>
      <c r="M616">
        <f t="shared" si="48"/>
        <v>0</v>
      </c>
      <c r="N616">
        <f t="shared" si="49"/>
        <v>1</v>
      </c>
      <c r="O616">
        <f t="shared" si="50"/>
        <v>0</v>
      </c>
    </row>
    <row r="617" spans="1:15" hidden="1" x14ac:dyDescent="0.25">
      <c r="A617" s="1">
        <v>36347</v>
      </c>
      <c r="B617" t="s">
        <v>10</v>
      </c>
      <c r="C617" t="s">
        <v>19</v>
      </c>
      <c r="D617" s="2" t="s">
        <v>33</v>
      </c>
      <c r="E617" t="s">
        <v>329</v>
      </c>
      <c r="F617" t="s">
        <v>14</v>
      </c>
      <c r="G617" t="s">
        <v>20</v>
      </c>
      <c r="H617">
        <v>0</v>
      </c>
      <c r="I617">
        <v>1</v>
      </c>
      <c r="J617">
        <v>39</v>
      </c>
      <c r="K617" t="str">
        <f t="shared" si="46"/>
        <v>ChileBrazil</v>
      </c>
      <c r="L617" t="str">
        <f t="shared" si="47"/>
        <v>BrazilChile</v>
      </c>
      <c r="M617">
        <f t="shared" si="48"/>
        <v>0</v>
      </c>
      <c r="N617">
        <f t="shared" si="49"/>
        <v>1</v>
      </c>
      <c r="O617">
        <f t="shared" si="50"/>
        <v>0</v>
      </c>
    </row>
    <row r="618" spans="1:15" hidden="1" x14ac:dyDescent="0.25">
      <c r="A618" s="1">
        <v>36348</v>
      </c>
      <c r="B618" t="s">
        <v>125</v>
      </c>
      <c r="C618" t="s">
        <v>99</v>
      </c>
      <c r="D618" s="3">
        <v>42006</v>
      </c>
      <c r="E618" t="s">
        <v>332</v>
      </c>
      <c r="F618" t="s">
        <v>14</v>
      </c>
      <c r="G618" t="s">
        <v>136</v>
      </c>
      <c r="H618">
        <v>2</v>
      </c>
      <c r="I618">
        <v>1</v>
      </c>
      <c r="J618">
        <v>39</v>
      </c>
      <c r="K618" t="str">
        <f t="shared" si="46"/>
        <v>ColombiaEcuador</v>
      </c>
      <c r="L618" t="str">
        <f t="shared" si="47"/>
        <v>EcuadorColombia</v>
      </c>
      <c r="M618">
        <f t="shared" si="48"/>
        <v>1</v>
      </c>
      <c r="N618">
        <f t="shared" si="49"/>
        <v>0</v>
      </c>
      <c r="O618">
        <f t="shared" si="50"/>
        <v>0</v>
      </c>
    </row>
    <row r="619" spans="1:15" hidden="1" x14ac:dyDescent="0.25">
      <c r="A619" s="1">
        <v>36348</v>
      </c>
      <c r="B619" t="s">
        <v>16</v>
      </c>
      <c r="C619" t="s">
        <v>11</v>
      </c>
      <c r="D619" s="2" t="s">
        <v>42</v>
      </c>
      <c r="E619" t="s">
        <v>332</v>
      </c>
      <c r="F619" t="s">
        <v>14</v>
      </c>
      <c r="G619" t="s">
        <v>26</v>
      </c>
      <c r="H619">
        <v>2</v>
      </c>
      <c r="I619">
        <v>0</v>
      </c>
      <c r="J619">
        <v>39</v>
      </c>
      <c r="K619" t="str">
        <f t="shared" si="46"/>
        <v>ArgentinaUruguay</v>
      </c>
      <c r="L619" t="str">
        <f t="shared" si="47"/>
        <v>UruguayArgentina</v>
      </c>
      <c r="M619">
        <f t="shared" si="48"/>
        <v>1</v>
      </c>
      <c r="N619">
        <f t="shared" si="49"/>
        <v>0</v>
      </c>
      <c r="O619">
        <f t="shared" si="50"/>
        <v>0</v>
      </c>
    </row>
    <row r="620" spans="1:15" hidden="1" x14ac:dyDescent="0.25">
      <c r="A620" s="1">
        <v>36351</v>
      </c>
      <c r="B620" t="s">
        <v>66</v>
      </c>
      <c r="C620" t="s">
        <v>482</v>
      </c>
      <c r="D620" s="3">
        <v>42066</v>
      </c>
      <c r="E620" t="s">
        <v>226</v>
      </c>
      <c r="F620" t="s">
        <v>14</v>
      </c>
      <c r="G620" t="s">
        <v>296</v>
      </c>
      <c r="H620">
        <v>3</v>
      </c>
      <c r="I620">
        <v>3</v>
      </c>
      <c r="J620">
        <v>39</v>
      </c>
      <c r="K620" t="str">
        <f t="shared" si="46"/>
        <v>PeruMexico</v>
      </c>
      <c r="L620" t="str">
        <f t="shared" si="47"/>
        <v>MexicoPeru</v>
      </c>
      <c r="M620">
        <f t="shared" si="48"/>
        <v>0</v>
      </c>
      <c r="N620">
        <f t="shared" si="49"/>
        <v>0</v>
      </c>
      <c r="O620">
        <f t="shared" si="50"/>
        <v>1</v>
      </c>
    </row>
    <row r="621" spans="1:15" hidden="1" x14ac:dyDescent="0.25">
      <c r="A621" s="1">
        <v>36351</v>
      </c>
      <c r="B621" t="s">
        <v>43</v>
      </c>
      <c r="C621" t="s">
        <v>11</v>
      </c>
      <c r="D621" s="3">
        <v>42005</v>
      </c>
      <c r="E621" t="s">
        <v>226</v>
      </c>
      <c r="F621" t="s">
        <v>14</v>
      </c>
      <c r="G621" t="s">
        <v>44</v>
      </c>
      <c r="H621">
        <v>1</v>
      </c>
      <c r="I621">
        <v>1</v>
      </c>
      <c r="J621">
        <v>39</v>
      </c>
      <c r="K621" t="str">
        <f t="shared" si="46"/>
        <v>ParaguayUruguay</v>
      </c>
      <c r="L621" t="str">
        <f t="shared" si="47"/>
        <v>UruguayParaguay</v>
      </c>
      <c r="M621">
        <f t="shared" si="48"/>
        <v>0</v>
      </c>
      <c r="N621">
        <f t="shared" si="49"/>
        <v>0</v>
      </c>
      <c r="O621">
        <f t="shared" si="50"/>
        <v>1</v>
      </c>
    </row>
    <row r="622" spans="1:15" hidden="1" x14ac:dyDescent="0.25">
      <c r="A622" s="1">
        <v>36352</v>
      </c>
      <c r="B622" t="s">
        <v>10</v>
      </c>
      <c r="C622" t="s">
        <v>125</v>
      </c>
      <c r="D622" s="3">
        <v>42038</v>
      </c>
      <c r="E622" t="s">
        <v>334</v>
      </c>
      <c r="F622" t="s">
        <v>14</v>
      </c>
      <c r="G622" t="s">
        <v>132</v>
      </c>
      <c r="H622">
        <v>3</v>
      </c>
      <c r="I622">
        <v>2</v>
      </c>
      <c r="J622">
        <v>39</v>
      </c>
      <c r="K622" t="str">
        <f t="shared" si="46"/>
        <v>ChileColombia</v>
      </c>
      <c r="L622" t="str">
        <f t="shared" si="47"/>
        <v>ColombiaChile</v>
      </c>
      <c r="M622">
        <f t="shared" si="48"/>
        <v>1</v>
      </c>
      <c r="N622">
        <f t="shared" si="49"/>
        <v>0</v>
      </c>
      <c r="O622">
        <f t="shared" si="50"/>
        <v>0</v>
      </c>
    </row>
    <row r="623" spans="1:15" hidden="1" x14ac:dyDescent="0.25">
      <c r="A623" s="1">
        <v>36352</v>
      </c>
      <c r="B623" t="s">
        <v>16</v>
      </c>
      <c r="C623" t="s">
        <v>19</v>
      </c>
      <c r="D623" s="3">
        <v>42036</v>
      </c>
      <c r="E623" t="s">
        <v>331</v>
      </c>
      <c r="F623" t="s">
        <v>14</v>
      </c>
      <c r="G623" t="s">
        <v>21</v>
      </c>
      <c r="H623">
        <v>1</v>
      </c>
      <c r="I623">
        <v>2</v>
      </c>
      <c r="J623">
        <v>39</v>
      </c>
      <c r="K623" t="str">
        <f t="shared" si="46"/>
        <v>ArgentinaBrazil</v>
      </c>
      <c r="L623" t="str">
        <f t="shared" si="47"/>
        <v>BrazilArgentina</v>
      </c>
      <c r="M623">
        <f t="shared" si="48"/>
        <v>0</v>
      </c>
      <c r="N623">
        <f t="shared" si="49"/>
        <v>1</v>
      </c>
      <c r="O623">
        <f t="shared" si="50"/>
        <v>0</v>
      </c>
    </row>
    <row r="624" spans="1:15" hidden="1" x14ac:dyDescent="0.25">
      <c r="A624" s="1">
        <v>36354</v>
      </c>
      <c r="B624" t="s">
        <v>10</v>
      </c>
      <c r="C624" t="s">
        <v>11</v>
      </c>
      <c r="D624" s="3">
        <v>42005</v>
      </c>
      <c r="E624" t="s">
        <v>250</v>
      </c>
      <c r="F624" t="s">
        <v>14</v>
      </c>
      <c r="G624" t="s">
        <v>15</v>
      </c>
      <c r="H624">
        <v>1</v>
      </c>
      <c r="I624">
        <v>1</v>
      </c>
      <c r="J624">
        <v>39</v>
      </c>
      <c r="K624" t="str">
        <f t="shared" si="46"/>
        <v>ChileUruguay</v>
      </c>
      <c r="L624" t="str">
        <f t="shared" si="47"/>
        <v>UruguayChile</v>
      </c>
      <c r="M624">
        <f t="shared" si="48"/>
        <v>0</v>
      </c>
      <c r="N624">
        <f t="shared" si="49"/>
        <v>0</v>
      </c>
      <c r="O624">
        <f t="shared" si="50"/>
        <v>1</v>
      </c>
    </row>
    <row r="625" spans="1:15" hidden="1" x14ac:dyDescent="0.25">
      <c r="A625" s="1">
        <v>36355</v>
      </c>
      <c r="B625" t="s">
        <v>19</v>
      </c>
      <c r="C625" t="s">
        <v>482</v>
      </c>
      <c r="D625" s="2" t="s">
        <v>42</v>
      </c>
      <c r="E625" t="s">
        <v>313</v>
      </c>
      <c r="F625" t="s">
        <v>14</v>
      </c>
      <c r="G625" t="s">
        <v>322</v>
      </c>
      <c r="H625">
        <v>2</v>
      </c>
      <c r="I625">
        <v>0</v>
      </c>
      <c r="J625">
        <v>39</v>
      </c>
      <c r="K625" t="str">
        <f t="shared" si="46"/>
        <v>BrazilMexico</v>
      </c>
      <c r="L625" t="str">
        <f t="shared" si="47"/>
        <v>MexicoBrazil</v>
      </c>
      <c r="M625">
        <f t="shared" si="48"/>
        <v>1</v>
      </c>
      <c r="N625">
        <f t="shared" si="49"/>
        <v>0</v>
      </c>
      <c r="O625">
        <f t="shared" si="50"/>
        <v>0</v>
      </c>
    </row>
    <row r="626" spans="1:15" hidden="1" x14ac:dyDescent="0.25">
      <c r="A626" s="1">
        <v>36358</v>
      </c>
      <c r="B626" t="s">
        <v>10</v>
      </c>
      <c r="C626" t="s">
        <v>482</v>
      </c>
      <c r="D626" s="3">
        <v>42036</v>
      </c>
      <c r="E626" t="s">
        <v>250</v>
      </c>
      <c r="F626" t="s">
        <v>14</v>
      </c>
      <c r="G626" t="s">
        <v>330</v>
      </c>
      <c r="H626">
        <v>1</v>
      </c>
      <c r="I626">
        <v>2</v>
      </c>
      <c r="J626">
        <v>39</v>
      </c>
      <c r="K626" t="str">
        <f t="shared" si="46"/>
        <v>ChileMexico</v>
      </c>
      <c r="L626" t="str">
        <f t="shared" si="47"/>
        <v>MexicoChile</v>
      </c>
      <c r="M626">
        <f t="shared" si="48"/>
        <v>0</v>
      </c>
      <c r="N626">
        <f t="shared" si="49"/>
        <v>1</v>
      </c>
      <c r="O626">
        <f t="shared" si="50"/>
        <v>0</v>
      </c>
    </row>
    <row r="627" spans="1:15" x14ac:dyDescent="0.25">
      <c r="A627" s="1">
        <v>36359</v>
      </c>
      <c r="B627" t="s">
        <v>11</v>
      </c>
      <c r="C627" t="s">
        <v>19</v>
      </c>
      <c r="D627" s="2" t="s">
        <v>45</v>
      </c>
      <c r="E627" t="s">
        <v>338</v>
      </c>
      <c r="F627" t="s">
        <v>14</v>
      </c>
      <c r="G627" t="s">
        <v>23</v>
      </c>
      <c r="H627">
        <v>0</v>
      </c>
      <c r="I627">
        <v>3</v>
      </c>
      <c r="J627">
        <v>39</v>
      </c>
      <c r="K627" t="str">
        <f t="shared" si="46"/>
        <v>UruguayBrazil</v>
      </c>
      <c r="L627" t="str">
        <f t="shared" si="47"/>
        <v>BrazilUruguay</v>
      </c>
      <c r="M627">
        <f t="shared" si="48"/>
        <v>0</v>
      </c>
      <c r="N627">
        <f t="shared" si="49"/>
        <v>1</v>
      </c>
      <c r="O627">
        <f t="shared" si="50"/>
        <v>0</v>
      </c>
    </row>
    <row r="628" spans="1:15" hidden="1" x14ac:dyDescent="0.25">
      <c r="A628" s="1">
        <v>37083</v>
      </c>
      <c r="B628" t="s">
        <v>125</v>
      </c>
      <c r="C628" t="s">
        <v>211</v>
      </c>
      <c r="D628" s="2" t="s">
        <v>42</v>
      </c>
      <c r="E628" t="s">
        <v>339</v>
      </c>
      <c r="F628" t="s">
        <v>14</v>
      </c>
      <c r="G628" t="s">
        <v>241</v>
      </c>
      <c r="H628">
        <v>2</v>
      </c>
      <c r="I628">
        <v>0</v>
      </c>
      <c r="J628">
        <v>40</v>
      </c>
      <c r="K628" t="str">
        <f t="shared" si="46"/>
        <v>ColombiaVenezuela</v>
      </c>
      <c r="L628" t="str">
        <f t="shared" si="47"/>
        <v>VenezuelaColombia</v>
      </c>
      <c r="M628">
        <f t="shared" si="48"/>
        <v>1</v>
      </c>
      <c r="N628">
        <f t="shared" si="49"/>
        <v>0</v>
      </c>
      <c r="O628">
        <f t="shared" si="50"/>
        <v>0</v>
      </c>
    </row>
    <row r="629" spans="1:15" hidden="1" x14ac:dyDescent="0.25">
      <c r="A629" s="1">
        <v>37083</v>
      </c>
      <c r="B629" t="s">
        <v>10</v>
      </c>
      <c r="C629" t="s">
        <v>99</v>
      </c>
      <c r="D629" s="3">
        <v>42008</v>
      </c>
      <c r="E629" t="s">
        <v>340</v>
      </c>
      <c r="F629" t="s">
        <v>14</v>
      </c>
      <c r="G629" t="s">
        <v>104</v>
      </c>
      <c r="H629">
        <v>4</v>
      </c>
      <c r="I629">
        <v>1</v>
      </c>
      <c r="J629">
        <v>40</v>
      </c>
      <c r="K629" t="str">
        <f t="shared" si="46"/>
        <v>ChileEcuador</v>
      </c>
      <c r="L629" t="str">
        <f t="shared" si="47"/>
        <v>EcuadorChile</v>
      </c>
      <c r="M629">
        <f t="shared" si="48"/>
        <v>1</v>
      </c>
      <c r="N629">
        <f t="shared" si="49"/>
        <v>0</v>
      </c>
      <c r="O629">
        <f t="shared" si="50"/>
        <v>0</v>
      </c>
    </row>
    <row r="630" spans="1:15" hidden="1" x14ac:dyDescent="0.25">
      <c r="A630" s="1">
        <v>37084</v>
      </c>
      <c r="B630" t="s">
        <v>19</v>
      </c>
      <c r="C630" t="s">
        <v>482</v>
      </c>
      <c r="D630" s="2" t="s">
        <v>33</v>
      </c>
      <c r="E630" t="s">
        <v>313</v>
      </c>
      <c r="F630" t="s">
        <v>14</v>
      </c>
      <c r="G630" t="s">
        <v>322</v>
      </c>
      <c r="H630">
        <v>0</v>
      </c>
      <c r="I630">
        <v>1</v>
      </c>
      <c r="J630">
        <v>40</v>
      </c>
      <c r="K630" t="str">
        <f t="shared" si="46"/>
        <v>BrazilMexico</v>
      </c>
      <c r="L630" t="str">
        <f t="shared" si="47"/>
        <v>MexicoBrazil</v>
      </c>
      <c r="M630">
        <f t="shared" si="48"/>
        <v>0</v>
      </c>
      <c r="N630">
        <f t="shared" si="49"/>
        <v>1</v>
      </c>
      <c r="O630">
        <f t="shared" si="50"/>
        <v>0</v>
      </c>
    </row>
    <row r="631" spans="1:15" hidden="1" x14ac:dyDescent="0.25">
      <c r="A631" s="1">
        <v>37084</v>
      </c>
      <c r="B631" t="s">
        <v>43</v>
      </c>
      <c r="C631" t="s">
        <v>66</v>
      </c>
      <c r="D631" s="3">
        <v>42066</v>
      </c>
      <c r="E631" t="s">
        <v>341</v>
      </c>
      <c r="F631" t="s">
        <v>14</v>
      </c>
      <c r="G631" t="s">
        <v>74</v>
      </c>
      <c r="H631">
        <v>3</v>
      </c>
      <c r="I631">
        <v>3</v>
      </c>
      <c r="J631">
        <v>40</v>
      </c>
      <c r="K631" t="str">
        <f t="shared" si="46"/>
        <v>ParaguayPeru</v>
      </c>
      <c r="L631" t="str">
        <f t="shared" si="47"/>
        <v>PeruParaguay</v>
      </c>
      <c r="M631">
        <f t="shared" si="48"/>
        <v>0</v>
      </c>
      <c r="N631">
        <f t="shared" si="49"/>
        <v>0</v>
      </c>
      <c r="O631">
        <f t="shared" si="50"/>
        <v>1</v>
      </c>
    </row>
    <row r="632" spans="1:15" hidden="1" x14ac:dyDescent="0.25">
      <c r="A632" s="1">
        <v>37085</v>
      </c>
      <c r="B632" t="s">
        <v>319</v>
      </c>
      <c r="C632" t="s">
        <v>342</v>
      </c>
      <c r="D632" s="2" t="s">
        <v>29</v>
      </c>
      <c r="E632" t="s">
        <v>313</v>
      </c>
      <c r="F632" t="s">
        <v>14</v>
      </c>
      <c r="G632" t="s">
        <v>343</v>
      </c>
      <c r="H632">
        <v>1</v>
      </c>
      <c r="I632">
        <v>0</v>
      </c>
      <c r="J632">
        <v>40</v>
      </c>
      <c r="K632" t="str">
        <f t="shared" si="46"/>
        <v>Costa RicaHonduras</v>
      </c>
      <c r="L632" t="str">
        <f t="shared" si="47"/>
        <v>HondurasCosta Rica</v>
      </c>
      <c r="M632">
        <f t="shared" si="48"/>
        <v>1</v>
      </c>
      <c r="N632">
        <f t="shared" si="49"/>
        <v>0</v>
      </c>
      <c r="O632">
        <f t="shared" si="50"/>
        <v>0</v>
      </c>
    </row>
    <row r="633" spans="1:15" hidden="1" x14ac:dyDescent="0.25">
      <c r="A633" s="1">
        <v>37085</v>
      </c>
      <c r="B633" t="s">
        <v>56</v>
      </c>
      <c r="C633" t="s">
        <v>11</v>
      </c>
      <c r="D633" s="2" t="s">
        <v>33</v>
      </c>
      <c r="E633" t="s">
        <v>344</v>
      </c>
      <c r="F633" t="s">
        <v>14</v>
      </c>
      <c r="G633" t="s">
        <v>64</v>
      </c>
      <c r="H633">
        <v>0</v>
      </c>
      <c r="I633">
        <v>1</v>
      </c>
      <c r="J633">
        <v>40</v>
      </c>
      <c r="K633" t="str">
        <f t="shared" si="46"/>
        <v>BoliviaUruguay</v>
      </c>
      <c r="L633" t="str">
        <f t="shared" si="47"/>
        <v>UruguayBolivia</v>
      </c>
      <c r="M633">
        <f t="shared" si="48"/>
        <v>0</v>
      </c>
      <c r="N633">
        <f t="shared" si="49"/>
        <v>1</v>
      </c>
      <c r="O633">
        <f t="shared" si="50"/>
        <v>0</v>
      </c>
    </row>
    <row r="634" spans="1:15" hidden="1" x14ac:dyDescent="0.25">
      <c r="A634" s="1">
        <v>37086</v>
      </c>
      <c r="B634" t="s">
        <v>10</v>
      </c>
      <c r="C634" t="s">
        <v>211</v>
      </c>
      <c r="D634" s="2" t="s">
        <v>29</v>
      </c>
      <c r="E634" t="s">
        <v>340</v>
      </c>
      <c r="F634" t="s">
        <v>14</v>
      </c>
      <c r="G634" t="s">
        <v>212</v>
      </c>
      <c r="H634">
        <v>1</v>
      </c>
      <c r="I634">
        <v>0</v>
      </c>
      <c r="J634">
        <v>40</v>
      </c>
      <c r="K634" t="str">
        <f t="shared" si="46"/>
        <v>ChileVenezuela</v>
      </c>
      <c r="L634" t="str">
        <f t="shared" si="47"/>
        <v>VenezuelaChile</v>
      </c>
      <c r="M634">
        <f t="shared" si="48"/>
        <v>1</v>
      </c>
      <c r="N634">
        <f t="shared" si="49"/>
        <v>0</v>
      </c>
      <c r="O634">
        <f t="shared" si="50"/>
        <v>0</v>
      </c>
    </row>
    <row r="635" spans="1:15" hidden="1" x14ac:dyDescent="0.25">
      <c r="A635" s="1">
        <v>37086</v>
      </c>
      <c r="B635" t="s">
        <v>125</v>
      </c>
      <c r="C635" t="s">
        <v>99</v>
      </c>
      <c r="D635" s="2" t="s">
        <v>29</v>
      </c>
      <c r="E635" t="s">
        <v>339</v>
      </c>
      <c r="F635" t="s">
        <v>14</v>
      </c>
      <c r="G635" t="s">
        <v>136</v>
      </c>
      <c r="H635">
        <v>1</v>
      </c>
      <c r="I635">
        <v>0</v>
      </c>
      <c r="J635">
        <v>40</v>
      </c>
      <c r="K635" t="str">
        <f t="shared" si="46"/>
        <v>ColombiaEcuador</v>
      </c>
      <c r="L635" t="str">
        <f t="shared" si="47"/>
        <v>EcuadorColombia</v>
      </c>
      <c r="M635">
        <f t="shared" si="48"/>
        <v>1</v>
      </c>
      <c r="N635">
        <f t="shared" si="49"/>
        <v>0</v>
      </c>
      <c r="O635">
        <f t="shared" si="50"/>
        <v>0</v>
      </c>
    </row>
    <row r="636" spans="1:15" hidden="1" x14ac:dyDescent="0.25">
      <c r="A636" s="1">
        <v>37087</v>
      </c>
      <c r="B636" t="s">
        <v>43</v>
      </c>
      <c r="C636" t="s">
        <v>482</v>
      </c>
      <c r="D636" s="2" t="s">
        <v>24</v>
      </c>
      <c r="E636" t="s">
        <v>341</v>
      </c>
      <c r="F636" t="s">
        <v>14</v>
      </c>
      <c r="G636" t="s">
        <v>300</v>
      </c>
      <c r="H636">
        <v>0</v>
      </c>
      <c r="I636">
        <v>0</v>
      </c>
      <c r="J636">
        <v>40</v>
      </c>
      <c r="K636" t="str">
        <f t="shared" si="46"/>
        <v>ParaguayMexico</v>
      </c>
      <c r="L636" t="str">
        <f t="shared" si="47"/>
        <v>MexicoParaguay</v>
      </c>
      <c r="M636">
        <f t="shared" si="48"/>
        <v>0</v>
      </c>
      <c r="N636">
        <f t="shared" si="49"/>
        <v>0</v>
      </c>
      <c r="O636">
        <f t="shared" si="50"/>
        <v>1</v>
      </c>
    </row>
    <row r="637" spans="1:15" hidden="1" x14ac:dyDescent="0.25">
      <c r="A637" s="1">
        <v>37087</v>
      </c>
      <c r="B637" t="s">
        <v>66</v>
      </c>
      <c r="C637" t="s">
        <v>19</v>
      </c>
      <c r="D637" s="2" t="s">
        <v>37</v>
      </c>
      <c r="E637" t="s">
        <v>345</v>
      </c>
      <c r="F637" t="s">
        <v>14</v>
      </c>
      <c r="G637" t="s">
        <v>83</v>
      </c>
      <c r="H637">
        <v>0</v>
      </c>
      <c r="I637">
        <v>2</v>
      </c>
      <c r="J637">
        <v>40</v>
      </c>
      <c r="K637" t="str">
        <f t="shared" si="46"/>
        <v>PeruBrazil</v>
      </c>
      <c r="L637" t="str">
        <f t="shared" si="47"/>
        <v>BrazilPeru</v>
      </c>
      <c r="M637">
        <f t="shared" si="48"/>
        <v>0</v>
      </c>
      <c r="N637">
        <f t="shared" si="49"/>
        <v>1</v>
      </c>
      <c r="O637">
        <f t="shared" si="50"/>
        <v>0</v>
      </c>
    </row>
    <row r="638" spans="1:15" x14ac:dyDescent="0.25">
      <c r="A638" s="1">
        <v>37088</v>
      </c>
      <c r="B638" t="s">
        <v>11</v>
      </c>
      <c r="C638" t="s">
        <v>319</v>
      </c>
      <c r="D638" s="3">
        <v>42005</v>
      </c>
      <c r="E638" t="s">
        <v>346</v>
      </c>
      <c r="F638" t="s">
        <v>14</v>
      </c>
      <c r="G638" t="s">
        <v>347</v>
      </c>
      <c r="H638">
        <v>1</v>
      </c>
      <c r="I638">
        <v>1</v>
      </c>
      <c r="J638">
        <v>40</v>
      </c>
      <c r="K638" t="str">
        <f t="shared" si="46"/>
        <v>UruguayCosta Rica</v>
      </c>
      <c r="L638" t="str">
        <f t="shared" si="47"/>
        <v>Costa RicaUruguay</v>
      </c>
      <c r="M638">
        <f t="shared" si="48"/>
        <v>0</v>
      </c>
      <c r="N638">
        <f t="shared" si="49"/>
        <v>0</v>
      </c>
      <c r="O638">
        <f t="shared" si="50"/>
        <v>1</v>
      </c>
    </row>
    <row r="639" spans="1:15" hidden="1" x14ac:dyDescent="0.25">
      <c r="A639" s="1">
        <v>37088</v>
      </c>
      <c r="B639" t="s">
        <v>56</v>
      </c>
      <c r="C639" t="s">
        <v>342</v>
      </c>
      <c r="D639" s="2" t="s">
        <v>37</v>
      </c>
      <c r="E639" t="s">
        <v>344</v>
      </c>
      <c r="F639" t="s">
        <v>14</v>
      </c>
      <c r="G639" t="s">
        <v>348</v>
      </c>
      <c r="H639">
        <v>0</v>
      </c>
      <c r="I639">
        <v>2</v>
      </c>
      <c r="J639">
        <v>40</v>
      </c>
      <c r="K639" t="str">
        <f t="shared" si="46"/>
        <v>BoliviaHonduras</v>
      </c>
      <c r="L639" t="str">
        <f t="shared" si="47"/>
        <v>HondurasBolivia</v>
      </c>
      <c r="M639">
        <f t="shared" si="48"/>
        <v>0</v>
      </c>
      <c r="N639">
        <f t="shared" si="49"/>
        <v>1</v>
      </c>
      <c r="O639">
        <f t="shared" si="50"/>
        <v>0</v>
      </c>
    </row>
    <row r="640" spans="1:15" hidden="1" x14ac:dyDescent="0.25">
      <c r="A640" s="1">
        <v>37089</v>
      </c>
      <c r="B640" t="s">
        <v>10</v>
      </c>
      <c r="C640" t="s">
        <v>125</v>
      </c>
      <c r="D640" s="2" t="s">
        <v>37</v>
      </c>
      <c r="E640" t="s">
        <v>340</v>
      </c>
      <c r="F640" t="s">
        <v>14</v>
      </c>
      <c r="G640" t="s">
        <v>132</v>
      </c>
      <c r="H640">
        <v>0</v>
      </c>
      <c r="I640">
        <v>2</v>
      </c>
      <c r="J640">
        <v>40</v>
      </c>
      <c r="K640" t="str">
        <f t="shared" si="46"/>
        <v>ChileColombia</v>
      </c>
      <c r="L640" t="str">
        <f t="shared" si="47"/>
        <v>ColombiaChile</v>
      </c>
      <c r="M640">
        <f t="shared" si="48"/>
        <v>0</v>
      </c>
      <c r="N640">
        <f t="shared" si="49"/>
        <v>1</v>
      </c>
      <c r="O640">
        <f t="shared" si="50"/>
        <v>0</v>
      </c>
    </row>
    <row r="641" spans="1:15" hidden="1" x14ac:dyDescent="0.25">
      <c r="A641" s="1">
        <v>37089</v>
      </c>
      <c r="B641" t="s">
        <v>99</v>
      </c>
      <c r="C641" t="s">
        <v>211</v>
      </c>
      <c r="D641" s="2" t="s">
        <v>30</v>
      </c>
      <c r="E641" t="s">
        <v>340</v>
      </c>
      <c r="F641" t="s">
        <v>14</v>
      </c>
      <c r="G641" t="s">
        <v>283</v>
      </c>
      <c r="H641">
        <v>4</v>
      </c>
      <c r="I641">
        <v>0</v>
      </c>
      <c r="J641">
        <v>40</v>
      </c>
      <c r="K641" t="str">
        <f t="shared" si="46"/>
        <v>EcuadorVenezuela</v>
      </c>
      <c r="L641" t="str">
        <f t="shared" si="47"/>
        <v>VenezuelaEcuador</v>
      </c>
      <c r="M641">
        <f t="shared" si="48"/>
        <v>1</v>
      </c>
      <c r="N641">
        <f t="shared" si="49"/>
        <v>0</v>
      </c>
      <c r="O641">
        <f t="shared" si="50"/>
        <v>0</v>
      </c>
    </row>
    <row r="642" spans="1:15" hidden="1" x14ac:dyDescent="0.25">
      <c r="A642" s="1">
        <v>37090</v>
      </c>
      <c r="B642" t="s">
        <v>43</v>
      </c>
      <c r="C642" t="s">
        <v>19</v>
      </c>
      <c r="D642" s="3">
        <v>42064</v>
      </c>
      <c r="E642" t="s">
        <v>341</v>
      </c>
      <c r="F642" t="s">
        <v>14</v>
      </c>
      <c r="G642" t="s">
        <v>46</v>
      </c>
      <c r="H642">
        <v>1</v>
      </c>
      <c r="I642">
        <v>3</v>
      </c>
      <c r="J642">
        <v>40</v>
      </c>
      <c r="K642" t="str">
        <f t="shared" si="46"/>
        <v>ParaguayBrazil</v>
      </c>
      <c r="L642" t="str">
        <f t="shared" si="47"/>
        <v>BrazilParaguay</v>
      </c>
      <c r="M642">
        <f t="shared" si="48"/>
        <v>0</v>
      </c>
      <c r="N642">
        <f t="shared" si="49"/>
        <v>1</v>
      </c>
      <c r="O642">
        <f t="shared" si="50"/>
        <v>0</v>
      </c>
    </row>
    <row r="643" spans="1:15" hidden="1" x14ac:dyDescent="0.25">
      <c r="A643" s="1">
        <v>37090</v>
      </c>
      <c r="B643" t="s">
        <v>66</v>
      </c>
      <c r="C643" t="s">
        <v>482</v>
      </c>
      <c r="D643" s="2" t="s">
        <v>29</v>
      </c>
      <c r="E643" t="s">
        <v>345</v>
      </c>
      <c r="F643" t="s">
        <v>14</v>
      </c>
      <c r="G643" t="s">
        <v>296</v>
      </c>
      <c r="H643">
        <v>1</v>
      </c>
      <c r="I643">
        <v>0</v>
      </c>
      <c r="J643">
        <v>40</v>
      </c>
      <c r="K643" t="str">
        <f t="shared" ref="K643:K706" si="51">CONCATENATE(B643,C643)</f>
        <v>PeruMexico</v>
      </c>
      <c r="L643" t="str">
        <f t="shared" ref="L643:L706" si="52">CONCATENATE(C643,B643)</f>
        <v>MexicoPeru</v>
      </c>
      <c r="M643">
        <f t="shared" ref="M643:M706" si="53">IF(H643&gt;I643,1,0)</f>
        <v>1</v>
      </c>
      <c r="N643">
        <f t="shared" ref="N643:N706" si="54">IF(I643&gt;H643,1,0)</f>
        <v>0</v>
      </c>
      <c r="O643">
        <f t="shared" ref="O643:O706" si="55">IF(I643=H643,1,0)</f>
        <v>0</v>
      </c>
    </row>
    <row r="644" spans="1:15" x14ac:dyDescent="0.25">
      <c r="A644" s="1">
        <v>37091</v>
      </c>
      <c r="B644" t="s">
        <v>11</v>
      </c>
      <c r="C644" t="s">
        <v>342</v>
      </c>
      <c r="D644" s="2" t="s">
        <v>33</v>
      </c>
      <c r="E644" t="s">
        <v>346</v>
      </c>
      <c r="F644" t="s">
        <v>14</v>
      </c>
      <c r="G644" t="s">
        <v>349</v>
      </c>
      <c r="H644">
        <v>0</v>
      </c>
      <c r="I644">
        <v>1</v>
      </c>
      <c r="J644">
        <v>40</v>
      </c>
      <c r="K644" t="str">
        <f t="shared" si="51"/>
        <v>UruguayHonduras</v>
      </c>
      <c r="L644" t="str">
        <f t="shared" si="52"/>
        <v>HondurasUruguay</v>
      </c>
      <c r="M644">
        <f t="shared" si="53"/>
        <v>0</v>
      </c>
      <c r="N644">
        <f t="shared" si="54"/>
        <v>1</v>
      </c>
      <c r="O644">
        <f t="shared" si="55"/>
        <v>0</v>
      </c>
    </row>
    <row r="645" spans="1:15" hidden="1" x14ac:dyDescent="0.25">
      <c r="A645" s="1">
        <v>37091</v>
      </c>
      <c r="B645" t="s">
        <v>56</v>
      </c>
      <c r="C645" t="s">
        <v>319</v>
      </c>
      <c r="D645" s="2" t="s">
        <v>12</v>
      </c>
      <c r="E645" t="s">
        <v>344</v>
      </c>
      <c r="F645" t="s">
        <v>14</v>
      </c>
      <c r="G645" t="s">
        <v>350</v>
      </c>
      <c r="H645">
        <v>0</v>
      </c>
      <c r="I645">
        <v>4</v>
      </c>
      <c r="J645">
        <v>40</v>
      </c>
      <c r="K645" t="str">
        <f t="shared" si="51"/>
        <v>BoliviaCosta Rica</v>
      </c>
      <c r="L645" t="str">
        <f t="shared" si="52"/>
        <v>Costa RicaBolivia</v>
      </c>
      <c r="M645">
        <f t="shared" si="53"/>
        <v>0</v>
      </c>
      <c r="N645">
        <f t="shared" si="54"/>
        <v>1</v>
      </c>
      <c r="O645">
        <f t="shared" si="55"/>
        <v>0</v>
      </c>
    </row>
    <row r="646" spans="1:15" hidden="1" x14ac:dyDescent="0.25">
      <c r="A646" s="1">
        <v>37094</v>
      </c>
      <c r="B646" t="s">
        <v>10</v>
      </c>
      <c r="C646" t="s">
        <v>482</v>
      </c>
      <c r="D646" s="2" t="s">
        <v>37</v>
      </c>
      <c r="E646" t="s">
        <v>351</v>
      </c>
      <c r="F646" t="s">
        <v>14</v>
      </c>
      <c r="G646" t="s">
        <v>330</v>
      </c>
      <c r="H646">
        <v>0</v>
      </c>
      <c r="I646">
        <v>2</v>
      </c>
      <c r="J646">
        <v>40</v>
      </c>
      <c r="K646" t="str">
        <f t="shared" si="51"/>
        <v>ChileMexico</v>
      </c>
      <c r="L646" t="str">
        <f t="shared" si="52"/>
        <v>MexicoChile</v>
      </c>
      <c r="M646">
        <f t="shared" si="53"/>
        <v>0</v>
      </c>
      <c r="N646">
        <f t="shared" si="54"/>
        <v>1</v>
      </c>
      <c r="O646">
        <f t="shared" si="55"/>
        <v>0</v>
      </c>
    </row>
    <row r="647" spans="1:15" x14ac:dyDescent="0.25">
      <c r="A647" s="1">
        <v>37094</v>
      </c>
      <c r="B647" t="s">
        <v>11</v>
      </c>
      <c r="C647" t="s">
        <v>319</v>
      </c>
      <c r="D647" s="3">
        <v>42006</v>
      </c>
      <c r="E647" t="s">
        <v>352</v>
      </c>
      <c r="F647" t="s">
        <v>14</v>
      </c>
      <c r="G647" t="s">
        <v>347</v>
      </c>
      <c r="H647">
        <v>2</v>
      </c>
      <c r="I647">
        <v>1</v>
      </c>
      <c r="J647">
        <v>40</v>
      </c>
      <c r="K647" t="str">
        <f t="shared" si="51"/>
        <v>UruguayCosta Rica</v>
      </c>
      <c r="L647" t="str">
        <f t="shared" si="52"/>
        <v>Costa RicaUruguay</v>
      </c>
      <c r="M647">
        <f t="shared" si="53"/>
        <v>1</v>
      </c>
      <c r="N647">
        <f t="shared" si="54"/>
        <v>0</v>
      </c>
      <c r="O647">
        <f t="shared" si="55"/>
        <v>0</v>
      </c>
    </row>
    <row r="648" spans="1:15" hidden="1" x14ac:dyDescent="0.25">
      <c r="A648" s="1">
        <v>37095</v>
      </c>
      <c r="B648" t="s">
        <v>125</v>
      </c>
      <c r="C648" t="s">
        <v>66</v>
      </c>
      <c r="D648" s="2" t="s">
        <v>47</v>
      </c>
      <c r="E648" t="s">
        <v>353</v>
      </c>
      <c r="F648" t="s">
        <v>14</v>
      </c>
      <c r="G648" t="s">
        <v>158</v>
      </c>
      <c r="H648">
        <v>3</v>
      </c>
      <c r="I648">
        <v>0</v>
      </c>
      <c r="J648">
        <v>40</v>
      </c>
      <c r="K648" t="str">
        <f t="shared" si="51"/>
        <v>ColombiaPeru</v>
      </c>
      <c r="L648" t="str">
        <f t="shared" si="52"/>
        <v>PeruColombia</v>
      </c>
      <c r="M648">
        <f t="shared" si="53"/>
        <v>1</v>
      </c>
      <c r="N648">
        <f t="shared" si="54"/>
        <v>0</v>
      </c>
      <c r="O648">
        <f t="shared" si="55"/>
        <v>0</v>
      </c>
    </row>
    <row r="649" spans="1:15" hidden="1" x14ac:dyDescent="0.25">
      <c r="A649" s="1">
        <v>37095</v>
      </c>
      <c r="B649" t="s">
        <v>19</v>
      </c>
      <c r="C649" t="s">
        <v>342</v>
      </c>
      <c r="D649" s="2" t="s">
        <v>37</v>
      </c>
      <c r="E649" t="s">
        <v>313</v>
      </c>
      <c r="F649" t="s">
        <v>14</v>
      </c>
      <c r="G649" t="s">
        <v>354</v>
      </c>
      <c r="H649">
        <v>0</v>
      </c>
      <c r="I649">
        <v>2</v>
      </c>
      <c r="J649">
        <v>40</v>
      </c>
      <c r="K649" t="str">
        <f t="shared" si="51"/>
        <v>BrazilHonduras</v>
      </c>
      <c r="L649" t="str">
        <f t="shared" si="52"/>
        <v>HondurasBrazil</v>
      </c>
      <c r="M649">
        <f t="shared" si="53"/>
        <v>0</v>
      </c>
      <c r="N649">
        <f t="shared" si="54"/>
        <v>1</v>
      </c>
      <c r="O649">
        <f t="shared" si="55"/>
        <v>0</v>
      </c>
    </row>
    <row r="650" spans="1:15" x14ac:dyDescent="0.25">
      <c r="A650" s="1">
        <v>37097</v>
      </c>
      <c r="B650" t="s">
        <v>11</v>
      </c>
      <c r="C650" t="s">
        <v>482</v>
      </c>
      <c r="D650" s="3">
        <v>42036</v>
      </c>
      <c r="E650" t="s">
        <v>355</v>
      </c>
      <c r="F650" t="s">
        <v>14</v>
      </c>
      <c r="G650" t="s">
        <v>310</v>
      </c>
      <c r="H650">
        <v>1</v>
      </c>
      <c r="I650">
        <v>2</v>
      </c>
      <c r="J650">
        <v>40</v>
      </c>
      <c r="K650" t="str">
        <f t="shared" si="51"/>
        <v>UruguayMexico</v>
      </c>
      <c r="L650" t="str">
        <f t="shared" si="52"/>
        <v>MexicoUruguay</v>
      </c>
      <c r="M650">
        <f t="shared" si="53"/>
        <v>0</v>
      </c>
      <c r="N650">
        <f t="shared" si="54"/>
        <v>1</v>
      </c>
      <c r="O650">
        <f t="shared" si="55"/>
        <v>0</v>
      </c>
    </row>
    <row r="651" spans="1:15" hidden="1" x14ac:dyDescent="0.25">
      <c r="A651" s="1">
        <v>37098</v>
      </c>
      <c r="B651" t="s">
        <v>125</v>
      </c>
      <c r="C651" t="s">
        <v>342</v>
      </c>
      <c r="D651" s="2" t="s">
        <v>42</v>
      </c>
      <c r="E651" t="s">
        <v>356</v>
      </c>
      <c r="F651" t="s">
        <v>14</v>
      </c>
      <c r="G651" t="s">
        <v>357</v>
      </c>
      <c r="H651">
        <v>2</v>
      </c>
      <c r="I651">
        <v>0</v>
      </c>
      <c r="J651">
        <v>40</v>
      </c>
      <c r="K651" t="str">
        <f t="shared" si="51"/>
        <v>ColombiaHonduras</v>
      </c>
      <c r="L651" t="str">
        <f t="shared" si="52"/>
        <v>HondurasColombia</v>
      </c>
      <c r="M651">
        <f t="shared" si="53"/>
        <v>1</v>
      </c>
      <c r="N651">
        <f t="shared" si="54"/>
        <v>0</v>
      </c>
      <c r="O651">
        <f t="shared" si="55"/>
        <v>0</v>
      </c>
    </row>
    <row r="652" spans="1:15" hidden="1" x14ac:dyDescent="0.25">
      <c r="A652" s="1">
        <v>37101</v>
      </c>
      <c r="B652" t="s">
        <v>125</v>
      </c>
      <c r="C652" t="s">
        <v>482</v>
      </c>
      <c r="D652" s="2" t="s">
        <v>29</v>
      </c>
      <c r="E652" t="s">
        <v>223</v>
      </c>
      <c r="F652" t="s">
        <v>14</v>
      </c>
      <c r="G652" t="s">
        <v>287</v>
      </c>
      <c r="H652">
        <v>1</v>
      </c>
      <c r="I652">
        <v>0</v>
      </c>
      <c r="J652">
        <v>40</v>
      </c>
      <c r="K652" t="str">
        <f t="shared" si="51"/>
        <v>ColombiaMexico</v>
      </c>
      <c r="L652" t="str">
        <f t="shared" si="52"/>
        <v>MexicoColombia</v>
      </c>
      <c r="M652">
        <f t="shared" si="53"/>
        <v>1</v>
      </c>
      <c r="N652">
        <f t="shared" si="54"/>
        <v>0</v>
      </c>
      <c r="O652">
        <f t="shared" si="55"/>
        <v>0</v>
      </c>
    </row>
    <row r="653" spans="1:15" x14ac:dyDescent="0.25">
      <c r="A653" s="1">
        <v>37101</v>
      </c>
      <c r="B653" t="s">
        <v>11</v>
      </c>
      <c r="C653" t="s">
        <v>342</v>
      </c>
      <c r="D653" s="3">
        <v>42037</v>
      </c>
      <c r="E653" t="s">
        <v>358</v>
      </c>
      <c r="F653" t="s">
        <v>14</v>
      </c>
      <c r="G653" t="s">
        <v>349</v>
      </c>
      <c r="H653">
        <v>2</v>
      </c>
      <c r="I653">
        <v>2</v>
      </c>
      <c r="J653">
        <v>40</v>
      </c>
      <c r="K653" t="str">
        <f t="shared" si="51"/>
        <v>UruguayHonduras</v>
      </c>
      <c r="L653" t="str">
        <f t="shared" si="52"/>
        <v>HondurasUruguay</v>
      </c>
      <c r="M653">
        <f t="shared" si="53"/>
        <v>0</v>
      </c>
      <c r="N653">
        <f t="shared" si="54"/>
        <v>0</v>
      </c>
      <c r="O653">
        <f t="shared" si="55"/>
        <v>1</v>
      </c>
    </row>
    <row r="654" spans="1:15" hidden="1" x14ac:dyDescent="0.25">
      <c r="A654" s="1">
        <v>38174</v>
      </c>
      <c r="B654" t="s">
        <v>125</v>
      </c>
      <c r="C654" t="s">
        <v>211</v>
      </c>
      <c r="D654" s="2" t="s">
        <v>29</v>
      </c>
      <c r="E654" t="s">
        <v>65</v>
      </c>
      <c r="F654" t="s">
        <v>14</v>
      </c>
      <c r="G654" t="s">
        <v>241</v>
      </c>
      <c r="H654">
        <v>1</v>
      </c>
      <c r="I654">
        <v>0</v>
      </c>
      <c r="J654">
        <v>41</v>
      </c>
      <c r="K654" t="str">
        <f t="shared" si="51"/>
        <v>ColombiaVenezuela</v>
      </c>
      <c r="L654" t="str">
        <f t="shared" si="52"/>
        <v>VenezuelaColombia</v>
      </c>
      <c r="M654">
        <f t="shared" si="53"/>
        <v>1</v>
      </c>
      <c r="N654">
        <f t="shared" si="54"/>
        <v>0</v>
      </c>
      <c r="O654">
        <f t="shared" si="55"/>
        <v>0</v>
      </c>
    </row>
    <row r="655" spans="1:15" hidden="1" x14ac:dyDescent="0.25">
      <c r="A655" s="1">
        <v>38174</v>
      </c>
      <c r="B655" t="s">
        <v>56</v>
      </c>
      <c r="C655" t="s">
        <v>66</v>
      </c>
      <c r="D655" s="3">
        <v>42037</v>
      </c>
      <c r="E655" t="s">
        <v>69</v>
      </c>
      <c r="F655" t="s">
        <v>14</v>
      </c>
      <c r="G655" t="s">
        <v>71</v>
      </c>
      <c r="H655">
        <v>2</v>
      </c>
      <c r="I655">
        <v>2</v>
      </c>
      <c r="J655">
        <v>41</v>
      </c>
      <c r="K655" t="str">
        <f t="shared" si="51"/>
        <v>BoliviaPeru</v>
      </c>
      <c r="L655" t="str">
        <f t="shared" si="52"/>
        <v>PeruBolivia</v>
      </c>
      <c r="M655">
        <f t="shared" si="53"/>
        <v>0</v>
      </c>
      <c r="N655">
        <f t="shared" si="54"/>
        <v>0</v>
      </c>
      <c r="O655">
        <f t="shared" si="55"/>
        <v>1</v>
      </c>
    </row>
    <row r="656" spans="1:15" hidden="1" x14ac:dyDescent="0.25">
      <c r="A656" s="1">
        <v>38175</v>
      </c>
      <c r="B656" t="s">
        <v>16</v>
      </c>
      <c r="C656" t="s">
        <v>99</v>
      </c>
      <c r="D656" s="3">
        <v>42010</v>
      </c>
      <c r="E656" t="s">
        <v>359</v>
      </c>
      <c r="F656" t="s">
        <v>14</v>
      </c>
      <c r="G656" t="s">
        <v>106</v>
      </c>
      <c r="H656">
        <v>6</v>
      </c>
      <c r="I656">
        <v>1</v>
      </c>
      <c r="J656">
        <v>41</v>
      </c>
      <c r="K656" t="str">
        <f t="shared" si="51"/>
        <v>ArgentinaEcuador</v>
      </c>
      <c r="L656" t="str">
        <f t="shared" si="52"/>
        <v>EcuadorArgentina</v>
      </c>
      <c r="M656">
        <f t="shared" si="53"/>
        <v>1</v>
      </c>
      <c r="N656">
        <f t="shared" si="54"/>
        <v>0</v>
      </c>
      <c r="O656">
        <f t="shared" si="55"/>
        <v>0</v>
      </c>
    </row>
    <row r="657" spans="1:15" x14ac:dyDescent="0.25">
      <c r="A657" s="1">
        <v>38175</v>
      </c>
      <c r="B657" t="s">
        <v>11</v>
      </c>
      <c r="C657" t="s">
        <v>482</v>
      </c>
      <c r="D657" s="3">
        <v>42037</v>
      </c>
      <c r="E657" t="s">
        <v>360</v>
      </c>
      <c r="F657" t="s">
        <v>14</v>
      </c>
      <c r="G657" t="s">
        <v>310</v>
      </c>
      <c r="H657">
        <v>2</v>
      </c>
      <c r="I657">
        <v>2</v>
      </c>
      <c r="J657">
        <v>41</v>
      </c>
      <c r="K657" t="str">
        <f t="shared" si="51"/>
        <v>UruguayMexico</v>
      </c>
      <c r="L657" t="str">
        <f t="shared" si="52"/>
        <v>MexicoUruguay</v>
      </c>
      <c r="M657">
        <f t="shared" si="53"/>
        <v>0</v>
      </c>
      <c r="N657">
        <f t="shared" si="54"/>
        <v>0</v>
      </c>
      <c r="O657">
        <f t="shared" si="55"/>
        <v>1</v>
      </c>
    </row>
    <row r="658" spans="1:15" hidden="1" x14ac:dyDescent="0.25">
      <c r="A658" s="1">
        <v>38176</v>
      </c>
      <c r="B658" t="s">
        <v>10</v>
      </c>
      <c r="C658" t="s">
        <v>19</v>
      </c>
      <c r="D658" s="2" t="s">
        <v>33</v>
      </c>
      <c r="E658" t="s">
        <v>361</v>
      </c>
      <c r="F658" t="s">
        <v>14</v>
      </c>
      <c r="G658" t="s">
        <v>20</v>
      </c>
      <c r="H658">
        <v>0</v>
      </c>
      <c r="I658">
        <v>1</v>
      </c>
      <c r="J658">
        <v>41</v>
      </c>
      <c r="K658" t="str">
        <f t="shared" si="51"/>
        <v>ChileBrazil</v>
      </c>
      <c r="L658" t="str">
        <f t="shared" si="52"/>
        <v>BrazilChile</v>
      </c>
      <c r="M658">
        <f t="shared" si="53"/>
        <v>0</v>
      </c>
      <c r="N658">
        <f t="shared" si="54"/>
        <v>1</v>
      </c>
      <c r="O658">
        <f t="shared" si="55"/>
        <v>0</v>
      </c>
    </row>
    <row r="659" spans="1:15" hidden="1" x14ac:dyDescent="0.25">
      <c r="A659" s="1">
        <v>38176</v>
      </c>
      <c r="B659" t="s">
        <v>43</v>
      </c>
      <c r="C659" t="s">
        <v>319</v>
      </c>
      <c r="D659" s="2" t="s">
        <v>29</v>
      </c>
      <c r="E659" t="s">
        <v>361</v>
      </c>
      <c r="F659" t="s">
        <v>14</v>
      </c>
      <c r="G659" t="s">
        <v>362</v>
      </c>
      <c r="H659">
        <v>1</v>
      </c>
      <c r="I659">
        <v>0</v>
      </c>
      <c r="J659">
        <v>41</v>
      </c>
      <c r="K659" t="str">
        <f t="shared" si="51"/>
        <v>ParaguayCosta Rica</v>
      </c>
      <c r="L659" t="str">
        <f t="shared" si="52"/>
        <v>Costa RicaParaguay</v>
      </c>
      <c r="M659">
        <f t="shared" si="53"/>
        <v>1</v>
      </c>
      <c r="N659">
        <f t="shared" si="54"/>
        <v>0</v>
      </c>
      <c r="O659">
        <f t="shared" si="55"/>
        <v>0</v>
      </c>
    </row>
    <row r="660" spans="1:15" hidden="1" x14ac:dyDescent="0.25">
      <c r="A660" s="1">
        <v>38177</v>
      </c>
      <c r="B660" t="s">
        <v>66</v>
      </c>
      <c r="C660" t="s">
        <v>211</v>
      </c>
      <c r="D660" s="3">
        <v>42007</v>
      </c>
      <c r="E660" t="s">
        <v>65</v>
      </c>
      <c r="F660" t="s">
        <v>14</v>
      </c>
      <c r="G660" t="s">
        <v>273</v>
      </c>
      <c r="H660">
        <v>3</v>
      </c>
      <c r="I660">
        <v>1</v>
      </c>
      <c r="J660">
        <v>41</v>
      </c>
      <c r="K660" t="str">
        <f t="shared" si="51"/>
        <v>PeruVenezuela</v>
      </c>
      <c r="L660" t="str">
        <f t="shared" si="52"/>
        <v>VenezuelaPeru</v>
      </c>
      <c r="M660">
        <f t="shared" si="53"/>
        <v>1</v>
      </c>
      <c r="N660">
        <f t="shared" si="54"/>
        <v>0</v>
      </c>
      <c r="O660">
        <f t="shared" si="55"/>
        <v>0</v>
      </c>
    </row>
    <row r="661" spans="1:15" hidden="1" x14ac:dyDescent="0.25">
      <c r="A661" s="1">
        <v>38177</v>
      </c>
      <c r="B661" t="s">
        <v>56</v>
      </c>
      <c r="C661" t="s">
        <v>125</v>
      </c>
      <c r="D661" s="2" t="s">
        <v>33</v>
      </c>
      <c r="E661" t="s">
        <v>69</v>
      </c>
      <c r="F661" t="s">
        <v>14</v>
      </c>
      <c r="G661" t="s">
        <v>137</v>
      </c>
      <c r="H661">
        <v>0</v>
      </c>
      <c r="I661">
        <v>1</v>
      </c>
      <c r="J661">
        <v>41</v>
      </c>
      <c r="K661" t="str">
        <f t="shared" si="51"/>
        <v>BoliviaColombia</v>
      </c>
      <c r="L661" t="str">
        <f t="shared" si="52"/>
        <v>ColombiaBolivia</v>
      </c>
      <c r="M661">
        <f t="shared" si="53"/>
        <v>0</v>
      </c>
      <c r="N661">
        <f t="shared" si="54"/>
        <v>1</v>
      </c>
      <c r="O661">
        <f t="shared" si="55"/>
        <v>0</v>
      </c>
    </row>
    <row r="662" spans="1:15" hidden="1" x14ac:dyDescent="0.25">
      <c r="A662" s="1">
        <v>38178</v>
      </c>
      <c r="B662" t="s">
        <v>16</v>
      </c>
      <c r="C662" t="s">
        <v>482</v>
      </c>
      <c r="D662" s="2" t="s">
        <v>33</v>
      </c>
      <c r="E662" t="s">
        <v>359</v>
      </c>
      <c r="F662" t="s">
        <v>14</v>
      </c>
      <c r="G662" t="s">
        <v>291</v>
      </c>
      <c r="H662">
        <v>0</v>
      </c>
      <c r="I662">
        <v>1</v>
      </c>
      <c r="J662">
        <v>41</v>
      </c>
      <c r="K662" t="str">
        <f t="shared" si="51"/>
        <v>ArgentinaMexico</v>
      </c>
      <c r="L662" t="str">
        <f t="shared" si="52"/>
        <v>MexicoArgentina</v>
      </c>
      <c r="M662">
        <f t="shared" si="53"/>
        <v>0</v>
      </c>
      <c r="N662">
        <f t="shared" si="54"/>
        <v>1</v>
      </c>
      <c r="O662">
        <f t="shared" si="55"/>
        <v>0</v>
      </c>
    </row>
    <row r="663" spans="1:15" hidden="1" x14ac:dyDescent="0.25">
      <c r="A663" s="1">
        <v>38178</v>
      </c>
      <c r="B663" t="s">
        <v>99</v>
      </c>
      <c r="C663" t="s">
        <v>11</v>
      </c>
      <c r="D663" s="3">
        <v>42036</v>
      </c>
      <c r="E663" t="s">
        <v>363</v>
      </c>
      <c r="F663" t="s">
        <v>14</v>
      </c>
      <c r="G663" t="s">
        <v>102</v>
      </c>
      <c r="H663">
        <v>1</v>
      </c>
      <c r="I663">
        <v>2</v>
      </c>
      <c r="J663">
        <v>41</v>
      </c>
      <c r="K663" t="str">
        <f t="shared" si="51"/>
        <v>EcuadorUruguay</v>
      </c>
      <c r="L663" t="str">
        <f t="shared" si="52"/>
        <v>UruguayEcuador</v>
      </c>
      <c r="M663">
        <f t="shared" si="53"/>
        <v>0</v>
      </c>
      <c r="N663">
        <f t="shared" si="54"/>
        <v>1</v>
      </c>
      <c r="O663">
        <f t="shared" si="55"/>
        <v>0</v>
      </c>
    </row>
    <row r="664" spans="1:15" hidden="1" x14ac:dyDescent="0.25">
      <c r="A664" s="1">
        <v>38179</v>
      </c>
      <c r="B664" t="s">
        <v>19</v>
      </c>
      <c r="C664" t="s">
        <v>319</v>
      </c>
      <c r="D664" s="3">
        <v>42008</v>
      </c>
      <c r="E664" t="s">
        <v>313</v>
      </c>
      <c r="F664" t="s">
        <v>14</v>
      </c>
      <c r="G664" t="s">
        <v>320</v>
      </c>
      <c r="H664">
        <v>4</v>
      </c>
      <c r="I664">
        <v>1</v>
      </c>
      <c r="J664">
        <v>41</v>
      </c>
      <c r="K664" t="str">
        <f t="shared" si="51"/>
        <v>BrazilCosta Rica</v>
      </c>
      <c r="L664" t="str">
        <f t="shared" si="52"/>
        <v>Costa RicaBrazil</v>
      </c>
      <c r="M664">
        <f t="shared" si="53"/>
        <v>1</v>
      </c>
      <c r="N664">
        <f t="shared" si="54"/>
        <v>0</v>
      </c>
      <c r="O664">
        <f t="shared" si="55"/>
        <v>0</v>
      </c>
    </row>
    <row r="665" spans="1:15" hidden="1" x14ac:dyDescent="0.25">
      <c r="A665" s="1">
        <v>38179</v>
      </c>
      <c r="B665" t="s">
        <v>10</v>
      </c>
      <c r="C665" t="s">
        <v>43</v>
      </c>
      <c r="D665" s="3">
        <v>42005</v>
      </c>
      <c r="E665" t="s">
        <v>361</v>
      </c>
      <c r="F665" t="s">
        <v>14</v>
      </c>
      <c r="G665" t="s">
        <v>49</v>
      </c>
      <c r="H665">
        <v>1</v>
      </c>
      <c r="I665">
        <v>1</v>
      </c>
      <c r="J665">
        <v>41</v>
      </c>
      <c r="K665" t="str">
        <f t="shared" si="51"/>
        <v>ChileParaguay</v>
      </c>
      <c r="L665" t="str">
        <f t="shared" si="52"/>
        <v>ParaguayChile</v>
      </c>
      <c r="M665">
        <f t="shared" si="53"/>
        <v>0</v>
      </c>
      <c r="N665">
        <f t="shared" si="54"/>
        <v>0</v>
      </c>
      <c r="O665">
        <f t="shared" si="55"/>
        <v>1</v>
      </c>
    </row>
    <row r="666" spans="1:15" hidden="1" x14ac:dyDescent="0.25">
      <c r="A666" s="1">
        <v>38180</v>
      </c>
      <c r="B666" t="s">
        <v>56</v>
      </c>
      <c r="C666" t="s">
        <v>211</v>
      </c>
      <c r="D666" s="3">
        <v>42005</v>
      </c>
      <c r="E666" t="s">
        <v>364</v>
      </c>
      <c r="F666" t="s">
        <v>14</v>
      </c>
      <c r="G666" t="s">
        <v>220</v>
      </c>
      <c r="H666">
        <v>1</v>
      </c>
      <c r="I666">
        <v>1</v>
      </c>
      <c r="J666">
        <v>41</v>
      </c>
      <c r="K666" t="str">
        <f t="shared" si="51"/>
        <v>BoliviaVenezuela</v>
      </c>
      <c r="L666" t="str">
        <f t="shared" si="52"/>
        <v>VenezuelaBolivia</v>
      </c>
      <c r="M666">
        <f t="shared" si="53"/>
        <v>0</v>
      </c>
      <c r="N666">
        <f t="shared" si="54"/>
        <v>0</v>
      </c>
      <c r="O666">
        <f t="shared" si="55"/>
        <v>1</v>
      </c>
    </row>
    <row r="667" spans="1:15" hidden="1" x14ac:dyDescent="0.25">
      <c r="A667" s="1">
        <v>38180</v>
      </c>
      <c r="B667" t="s">
        <v>125</v>
      </c>
      <c r="C667" t="s">
        <v>66</v>
      </c>
      <c r="D667" s="3">
        <v>42037</v>
      </c>
      <c r="E667" t="s">
        <v>365</v>
      </c>
      <c r="F667" t="s">
        <v>14</v>
      </c>
      <c r="G667" t="s">
        <v>158</v>
      </c>
      <c r="H667">
        <v>2</v>
      </c>
      <c r="I667">
        <v>2</v>
      </c>
      <c r="J667">
        <v>41</v>
      </c>
      <c r="K667" t="str">
        <f t="shared" si="51"/>
        <v>ColombiaPeru</v>
      </c>
      <c r="L667" t="str">
        <f t="shared" si="52"/>
        <v>PeruColombia</v>
      </c>
      <c r="M667">
        <f t="shared" si="53"/>
        <v>0</v>
      </c>
      <c r="N667">
        <f t="shared" si="54"/>
        <v>0</v>
      </c>
      <c r="O667">
        <f t="shared" si="55"/>
        <v>1</v>
      </c>
    </row>
    <row r="668" spans="1:15" hidden="1" x14ac:dyDescent="0.25">
      <c r="A668" s="1">
        <v>38181</v>
      </c>
      <c r="B668" t="s">
        <v>16</v>
      </c>
      <c r="C668" t="s">
        <v>11</v>
      </c>
      <c r="D668" s="3">
        <v>42039</v>
      </c>
      <c r="E668" t="s">
        <v>366</v>
      </c>
      <c r="F668" t="s">
        <v>14</v>
      </c>
      <c r="G668" t="s">
        <v>26</v>
      </c>
      <c r="H668">
        <v>4</v>
      </c>
      <c r="I668">
        <v>2</v>
      </c>
      <c r="J668">
        <v>41</v>
      </c>
      <c r="K668" t="str">
        <f t="shared" si="51"/>
        <v>ArgentinaUruguay</v>
      </c>
      <c r="L668" t="str">
        <f t="shared" si="52"/>
        <v>UruguayArgentina</v>
      </c>
      <c r="M668">
        <f t="shared" si="53"/>
        <v>1</v>
      </c>
      <c r="N668">
        <f t="shared" si="54"/>
        <v>0</v>
      </c>
      <c r="O668">
        <f t="shared" si="55"/>
        <v>0</v>
      </c>
    </row>
    <row r="669" spans="1:15" hidden="1" x14ac:dyDescent="0.25">
      <c r="A669" s="1">
        <v>38181</v>
      </c>
      <c r="B669" t="s">
        <v>99</v>
      </c>
      <c r="C669" t="s">
        <v>482</v>
      </c>
      <c r="D669" s="3">
        <v>42036</v>
      </c>
      <c r="E669" t="s">
        <v>367</v>
      </c>
      <c r="F669" t="s">
        <v>14</v>
      </c>
      <c r="G669" t="s">
        <v>297</v>
      </c>
      <c r="H669">
        <v>1</v>
      </c>
      <c r="I669">
        <v>2</v>
      </c>
      <c r="J669">
        <v>41</v>
      </c>
      <c r="K669" t="str">
        <f t="shared" si="51"/>
        <v>EcuadorMexico</v>
      </c>
      <c r="L669" t="str">
        <f t="shared" si="52"/>
        <v>MexicoEcuador</v>
      </c>
      <c r="M669">
        <f t="shared" si="53"/>
        <v>0</v>
      </c>
      <c r="N669">
        <f t="shared" si="54"/>
        <v>1</v>
      </c>
      <c r="O669">
        <f t="shared" si="55"/>
        <v>0</v>
      </c>
    </row>
    <row r="670" spans="1:15" hidden="1" x14ac:dyDescent="0.25">
      <c r="A670" s="1">
        <v>38182</v>
      </c>
      <c r="B670" t="s">
        <v>43</v>
      </c>
      <c r="C670" t="s">
        <v>19</v>
      </c>
      <c r="D670" s="3">
        <v>42006</v>
      </c>
      <c r="E670" t="s">
        <v>361</v>
      </c>
      <c r="F670" t="s">
        <v>14</v>
      </c>
      <c r="G670" t="s">
        <v>46</v>
      </c>
      <c r="H670">
        <v>2</v>
      </c>
      <c r="I670">
        <v>1</v>
      </c>
      <c r="J670">
        <v>41</v>
      </c>
      <c r="K670" t="str">
        <f t="shared" si="51"/>
        <v>ParaguayBrazil</v>
      </c>
      <c r="L670" t="str">
        <f t="shared" si="52"/>
        <v>BrazilParaguay</v>
      </c>
      <c r="M670">
        <f t="shared" si="53"/>
        <v>1</v>
      </c>
      <c r="N670">
        <f t="shared" si="54"/>
        <v>0</v>
      </c>
      <c r="O670">
        <f t="shared" si="55"/>
        <v>0</v>
      </c>
    </row>
    <row r="671" spans="1:15" hidden="1" x14ac:dyDescent="0.25">
      <c r="A671" s="1">
        <v>38182</v>
      </c>
      <c r="B671" t="s">
        <v>10</v>
      </c>
      <c r="C671" t="s">
        <v>319</v>
      </c>
      <c r="D671" s="3">
        <v>42036</v>
      </c>
      <c r="E671" t="s">
        <v>368</v>
      </c>
      <c r="F671" t="s">
        <v>14</v>
      </c>
      <c r="G671" t="s">
        <v>369</v>
      </c>
      <c r="H671">
        <v>1</v>
      </c>
      <c r="I671">
        <v>2</v>
      </c>
      <c r="J671">
        <v>41</v>
      </c>
      <c r="K671" t="str">
        <f t="shared" si="51"/>
        <v>ChileCosta Rica</v>
      </c>
      <c r="L671" t="str">
        <f t="shared" si="52"/>
        <v>Costa RicaChile</v>
      </c>
      <c r="M671">
        <f t="shared" si="53"/>
        <v>0</v>
      </c>
      <c r="N671">
        <f t="shared" si="54"/>
        <v>1</v>
      </c>
      <c r="O671">
        <f t="shared" si="55"/>
        <v>0</v>
      </c>
    </row>
    <row r="672" spans="1:15" hidden="1" x14ac:dyDescent="0.25">
      <c r="A672" s="1">
        <v>38185</v>
      </c>
      <c r="B672" t="s">
        <v>16</v>
      </c>
      <c r="C672" t="s">
        <v>66</v>
      </c>
      <c r="D672" s="2" t="s">
        <v>29</v>
      </c>
      <c r="E672" t="s">
        <v>359</v>
      </c>
      <c r="F672" t="s">
        <v>14</v>
      </c>
      <c r="G672" t="s">
        <v>72</v>
      </c>
      <c r="H672">
        <v>1</v>
      </c>
      <c r="I672">
        <v>0</v>
      </c>
      <c r="J672">
        <v>41</v>
      </c>
      <c r="K672" t="str">
        <f t="shared" si="51"/>
        <v>ArgentinaPeru</v>
      </c>
      <c r="L672" t="str">
        <f t="shared" si="52"/>
        <v>PeruArgentina</v>
      </c>
      <c r="M672">
        <f t="shared" si="53"/>
        <v>1</v>
      </c>
      <c r="N672">
        <f t="shared" si="54"/>
        <v>0</v>
      </c>
      <c r="O672">
        <f t="shared" si="55"/>
        <v>0</v>
      </c>
    </row>
    <row r="673" spans="1:15" hidden="1" x14ac:dyDescent="0.25">
      <c r="A673" s="1">
        <v>38185</v>
      </c>
      <c r="B673" t="s">
        <v>125</v>
      </c>
      <c r="C673" t="s">
        <v>319</v>
      </c>
      <c r="D673" s="2" t="s">
        <v>42</v>
      </c>
      <c r="E673" t="s">
        <v>365</v>
      </c>
      <c r="F673" t="s">
        <v>14</v>
      </c>
      <c r="G673" t="s">
        <v>323</v>
      </c>
      <c r="H673">
        <v>2</v>
      </c>
      <c r="I673">
        <v>0</v>
      </c>
      <c r="J673">
        <v>41</v>
      </c>
      <c r="K673" t="str">
        <f t="shared" si="51"/>
        <v>ColombiaCosta Rica</v>
      </c>
      <c r="L673" t="str">
        <f t="shared" si="52"/>
        <v>Costa RicaColombia</v>
      </c>
      <c r="M673">
        <f t="shared" si="53"/>
        <v>1</v>
      </c>
      <c r="N673">
        <f t="shared" si="54"/>
        <v>0</v>
      </c>
      <c r="O673">
        <f t="shared" si="55"/>
        <v>0</v>
      </c>
    </row>
    <row r="674" spans="1:15" hidden="1" x14ac:dyDescent="0.25">
      <c r="A674" s="1">
        <v>38186</v>
      </c>
      <c r="B674" t="s">
        <v>43</v>
      </c>
      <c r="C674" t="s">
        <v>11</v>
      </c>
      <c r="D674" s="3">
        <v>42064</v>
      </c>
      <c r="E674" t="s">
        <v>368</v>
      </c>
      <c r="F674" t="s">
        <v>14</v>
      </c>
      <c r="G674" t="s">
        <v>44</v>
      </c>
      <c r="H674">
        <v>1</v>
      </c>
      <c r="I674">
        <v>3</v>
      </c>
      <c r="J674">
        <v>41</v>
      </c>
      <c r="K674" t="str">
        <f t="shared" si="51"/>
        <v>ParaguayUruguay</v>
      </c>
      <c r="L674" t="str">
        <f t="shared" si="52"/>
        <v>UruguayParaguay</v>
      </c>
      <c r="M674">
        <f t="shared" si="53"/>
        <v>0</v>
      </c>
      <c r="N674">
        <f t="shared" si="54"/>
        <v>1</v>
      </c>
      <c r="O674">
        <f t="shared" si="55"/>
        <v>0</v>
      </c>
    </row>
    <row r="675" spans="1:15" hidden="1" x14ac:dyDescent="0.25">
      <c r="A675" s="1">
        <v>38186</v>
      </c>
      <c r="B675" t="s">
        <v>19</v>
      </c>
      <c r="C675" t="s">
        <v>482</v>
      </c>
      <c r="D675" s="2" t="s">
        <v>30</v>
      </c>
      <c r="E675" t="s">
        <v>313</v>
      </c>
      <c r="F675" t="s">
        <v>14</v>
      </c>
      <c r="G675" t="s">
        <v>322</v>
      </c>
      <c r="H675">
        <v>4</v>
      </c>
      <c r="I675">
        <v>0</v>
      </c>
      <c r="J675">
        <v>41</v>
      </c>
      <c r="K675" t="str">
        <f t="shared" si="51"/>
        <v>BrazilMexico</v>
      </c>
      <c r="L675" t="str">
        <f t="shared" si="52"/>
        <v>MexicoBrazil</v>
      </c>
      <c r="M675">
        <f t="shared" si="53"/>
        <v>1</v>
      </c>
      <c r="N675">
        <f t="shared" si="54"/>
        <v>0</v>
      </c>
      <c r="O675">
        <f t="shared" si="55"/>
        <v>0</v>
      </c>
    </row>
    <row r="676" spans="1:15" hidden="1" x14ac:dyDescent="0.25">
      <c r="A676" s="1">
        <v>38188</v>
      </c>
      <c r="B676" t="s">
        <v>16</v>
      </c>
      <c r="C676" t="s">
        <v>125</v>
      </c>
      <c r="D676" s="2" t="s">
        <v>47</v>
      </c>
      <c r="E676" t="s">
        <v>65</v>
      </c>
      <c r="F676" t="s">
        <v>14</v>
      </c>
      <c r="G676" t="s">
        <v>133</v>
      </c>
      <c r="H676">
        <v>3</v>
      </c>
      <c r="I676">
        <v>0</v>
      </c>
      <c r="J676">
        <v>41</v>
      </c>
      <c r="K676" t="str">
        <f t="shared" si="51"/>
        <v>ArgentinaColombia</v>
      </c>
      <c r="L676" t="str">
        <f t="shared" si="52"/>
        <v>ColombiaArgentina</v>
      </c>
      <c r="M676">
        <f t="shared" si="53"/>
        <v>1</v>
      </c>
      <c r="N676">
        <f t="shared" si="54"/>
        <v>0</v>
      </c>
      <c r="O676">
        <f t="shared" si="55"/>
        <v>0</v>
      </c>
    </row>
    <row r="677" spans="1:15" x14ac:dyDescent="0.25">
      <c r="A677" s="1">
        <v>38189</v>
      </c>
      <c r="B677" t="s">
        <v>11</v>
      </c>
      <c r="C677" t="s">
        <v>19</v>
      </c>
      <c r="D677" s="3">
        <v>42005</v>
      </c>
      <c r="E677" t="s">
        <v>70</v>
      </c>
      <c r="F677" t="s">
        <v>14</v>
      </c>
      <c r="G677" t="s">
        <v>23</v>
      </c>
      <c r="H677">
        <v>1</v>
      </c>
      <c r="I677">
        <v>1</v>
      </c>
      <c r="J677">
        <v>41</v>
      </c>
      <c r="K677" t="str">
        <f t="shared" si="51"/>
        <v>UruguayBrazil</v>
      </c>
      <c r="L677" t="str">
        <f t="shared" si="52"/>
        <v>BrazilUruguay</v>
      </c>
      <c r="M677">
        <f t="shared" si="53"/>
        <v>0</v>
      </c>
      <c r="N677">
        <f t="shared" si="54"/>
        <v>0</v>
      </c>
      <c r="O677">
        <f t="shared" si="55"/>
        <v>1</v>
      </c>
    </row>
    <row r="678" spans="1:15" hidden="1" x14ac:dyDescent="0.25">
      <c r="A678" s="1">
        <v>38192</v>
      </c>
      <c r="B678" t="s">
        <v>125</v>
      </c>
      <c r="C678" t="s">
        <v>11</v>
      </c>
      <c r="D678" s="3">
        <v>42036</v>
      </c>
      <c r="E678" t="s">
        <v>370</v>
      </c>
      <c r="F678" t="s">
        <v>14</v>
      </c>
      <c r="G678" t="s">
        <v>129</v>
      </c>
      <c r="H678">
        <v>1</v>
      </c>
      <c r="I678">
        <v>2</v>
      </c>
      <c r="J678">
        <v>41</v>
      </c>
      <c r="K678" t="str">
        <f t="shared" si="51"/>
        <v>ColombiaUruguay</v>
      </c>
      <c r="L678" t="str">
        <f t="shared" si="52"/>
        <v>UruguayColombia</v>
      </c>
      <c r="M678">
        <f t="shared" si="53"/>
        <v>0</v>
      </c>
      <c r="N678">
        <f t="shared" si="54"/>
        <v>1</v>
      </c>
      <c r="O678">
        <f t="shared" si="55"/>
        <v>0</v>
      </c>
    </row>
    <row r="679" spans="1:15" hidden="1" x14ac:dyDescent="0.25">
      <c r="A679" s="1">
        <v>38193</v>
      </c>
      <c r="B679" t="s">
        <v>16</v>
      </c>
      <c r="C679" t="s">
        <v>19</v>
      </c>
      <c r="D679" s="3">
        <v>42037</v>
      </c>
      <c r="E679" t="s">
        <v>65</v>
      </c>
      <c r="F679" t="s">
        <v>14</v>
      </c>
      <c r="G679" t="s">
        <v>21</v>
      </c>
      <c r="H679">
        <v>2</v>
      </c>
      <c r="I679">
        <v>2</v>
      </c>
      <c r="J679">
        <v>41</v>
      </c>
      <c r="K679" t="str">
        <f t="shared" si="51"/>
        <v>ArgentinaBrazil</v>
      </c>
      <c r="L679" t="str">
        <f t="shared" si="52"/>
        <v>BrazilArgentina</v>
      </c>
      <c r="M679">
        <f t="shared" si="53"/>
        <v>0</v>
      </c>
      <c r="N679">
        <f t="shared" si="54"/>
        <v>0</v>
      </c>
      <c r="O679">
        <f t="shared" si="55"/>
        <v>1</v>
      </c>
    </row>
    <row r="680" spans="1:15" hidden="1" x14ac:dyDescent="0.25">
      <c r="A680" s="1">
        <v>39259</v>
      </c>
      <c r="B680" t="s">
        <v>56</v>
      </c>
      <c r="C680" t="s">
        <v>211</v>
      </c>
      <c r="D680" s="3">
        <v>42037</v>
      </c>
      <c r="E680" t="s">
        <v>371</v>
      </c>
      <c r="F680" t="s">
        <v>14</v>
      </c>
      <c r="G680" t="s">
        <v>220</v>
      </c>
      <c r="H680">
        <v>2</v>
      </c>
      <c r="I680">
        <v>2</v>
      </c>
      <c r="J680">
        <v>42</v>
      </c>
      <c r="K680" t="str">
        <f t="shared" si="51"/>
        <v>BoliviaVenezuela</v>
      </c>
      <c r="L680" t="str">
        <f t="shared" si="52"/>
        <v>VenezuelaBolivia</v>
      </c>
      <c r="M680">
        <f t="shared" si="53"/>
        <v>0</v>
      </c>
      <c r="N680">
        <f t="shared" si="54"/>
        <v>0</v>
      </c>
      <c r="O680">
        <f t="shared" si="55"/>
        <v>1</v>
      </c>
    </row>
    <row r="681" spans="1:15" hidden="1" x14ac:dyDescent="0.25">
      <c r="A681" s="1">
        <v>39259</v>
      </c>
      <c r="B681" t="s">
        <v>66</v>
      </c>
      <c r="C681" t="s">
        <v>11</v>
      </c>
      <c r="D681" s="2" t="s">
        <v>47</v>
      </c>
      <c r="E681" t="s">
        <v>372</v>
      </c>
      <c r="F681" t="s">
        <v>14</v>
      </c>
      <c r="G681" t="s">
        <v>67</v>
      </c>
      <c r="H681">
        <v>3</v>
      </c>
      <c r="I681">
        <v>0</v>
      </c>
      <c r="J681">
        <v>42</v>
      </c>
      <c r="K681" t="str">
        <f t="shared" si="51"/>
        <v>PeruUruguay</v>
      </c>
      <c r="L681" t="str">
        <f t="shared" si="52"/>
        <v>UruguayPeru</v>
      </c>
      <c r="M681">
        <f t="shared" si="53"/>
        <v>1</v>
      </c>
      <c r="N681">
        <f t="shared" si="54"/>
        <v>0</v>
      </c>
      <c r="O681">
        <f t="shared" si="55"/>
        <v>0</v>
      </c>
    </row>
    <row r="682" spans="1:15" hidden="1" x14ac:dyDescent="0.25">
      <c r="A682" s="1">
        <v>39260</v>
      </c>
      <c r="B682" t="s">
        <v>19</v>
      </c>
      <c r="C682" t="s">
        <v>482</v>
      </c>
      <c r="D682" s="2" t="s">
        <v>37</v>
      </c>
      <c r="E682" t="s">
        <v>313</v>
      </c>
      <c r="F682" t="s">
        <v>14</v>
      </c>
      <c r="G682" t="s">
        <v>322</v>
      </c>
      <c r="H682">
        <v>0</v>
      </c>
      <c r="I682">
        <v>2</v>
      </c>
      <c r="J682">
        <v>42</v>
      </c>
      <c r="K682" t="str">
        <f t="shared" si="51"/>
        <v>BrazilMexico</v>
      </c>
      <c r="L682" t="str">
        <f t="shared" si="52"/>
        <v>MexicoBrazil</v>
      </c>
      <c r="M682">
        <f t="shared" si="53"/>
        <v>0</v>
      </c>
      <c r="N682">
        <f t="shared" si="54"/>
        <v>1</v>
      </c>
      <c r="O682">
        <f t="shared" si="55"/>
        <v>0</v>
      </c>
    </row>
    <row r="683" spans="1:15" hidden="1" x14ac:dyDescent="0.25">
      <c r="A683" s="1">
        <v>39260</v>
      </c>
      <c r="B683" t="s">
        <v>10</v>
      </c>
      <c r="C683" t="s">
        <v>99</v>
      </c>
      <c r="D683" s="3">
        <v>42038</v>
      </c>
      <c r="E683" t="s">
        <v>373</v>
      </c>
      <c r="F683" t="s">
        <v>14</v>
      </c>
      <c r="G683" t="s">
        <v>104</v>
      </c>
      <c r="H683">
        <v>3</v>
      </c>
      <c r="I683">
        <v>2</v>
      </c>
      <c r="J683">
        <v>42</v>
      </c>
      <c r="K683" t="str">
        <f t="shared" si="51"/>
        <v>ChileEcuador</v>
      </c>
      <c r="L683" t="str">
        <f t="shared" si="52"/>
        <v>EcuadorChile</v>
      </c>
      <c r="M683">
        <f t="shared" si="53"/>
        <v>1</v>
      </c>
      <c r="N683">
        <f t="shared" si="54"/>
        <v>0</v>
      </c>
      <c r="O683">
        <f t="shared" si="55"/>
        <v>0</v>
      </c>
    </row>
    <row r="684" spans="1:15" hidden="1" x14ac:dyDescent="0.25">
      <c r="A684" s="1">
        <v>39261</v>
      </c>
      <c r="B684" t="s">
        <v>16</v>
      </c>
      <c r="C684" t="s">
        <v>311</v>
      </c>
      <c r="D684" s="3">
        <v>42008</v>
      </c>
      <c r="E684" t="s">
        <v>374</v>
      </c>
      <c r="F684" t="s">
        <v>14</v>
      </c>
      <c r="G684" t="s">
        <v>312</v>
      </c>
      <c r="H684">
        <v>4</v>
      </c>
      <c r="I684">
        <v>1</v>
      </c>
      <c r="J684">
        <v>42</v>
      </c>
      <c r="K684" t="str">
        <f t="shared" si="51"/>
        <v>ArgentinaUnited States</v>
      </c>
      <c r="L684" t="str">
        <f t="shared" si="52"/>
        <v>United StatesArgentina</v>
      </c>
      <c r="M684">
        <f t="shared" si="53"/>
        <v>1</v>
      </c>
      <c r="N684">
        <f t="shared" si="54"/>
        <v>0</v>
      </c>
      <c r="O684">
        <f t="shared" si="55"/>
        <v>0</v>
      </c>
    </row>
    <row r="685" spans="1:15" hidden="1" x14ac:dyDescent="0.25">
      <c r="A685" s="1">
        <v>39261</v>
      </c>
      <c r="B685" t="s">
        <v>125</v>
      </c>
      <c r="C685" t="s">
        <v>43</v>
      </c>
      <c r="D685" s="2" t="s">
        <v>32</v>
      </c>
      <c r="E685" t="s">
        <v>374</v>
      </c>
      <c r="F685" t="s">
        <v>14</v>
      </c>
      <c r="G685" t="s">
        <v>156</v>
      </c>
      <c r="H685">
        <v>0</v>
      </c>
      <c r="I685">
        <v>5</v>
      </c>
      <c r="J685">
        <v>42</v>
      </c>
      <c r="K685" t="str">
        <f t="shared" si="51"/>
        <v>ColombiaParaguay</v>
      </c>
      <c r="L685" t="str">
        <f t="shared" si="52"/>
        <v>ParaguayColombia</v>
      </c>
      <c r="M685">
        <f t="shared" si="53"/>
        <v>0</v>
      </c>
      <c r="N685">
        <f t="shared" si="54"/>
        <v>1</v>
      </c>
      <c r="O685">
        <f t="shared" si="55"/>
        <v>0</v>
      </c>
    </row>
    <row r="686" spans="1:15" hidden="1" x14ac:dyDescent="0.25">
      <c r="A686" s="1">
        <v>39263</v>
      </c>
      <c r="B686" t="s">
        <v>66</v>
      </c>
      <c r="C686" t="s">
        <v>211</v>
      </c>
      <c r="D686" s="2" t="s">
        <v>37</v>
      </c>
      <c r="E686" t="s">
        <v>240</v>
      </c>
      <c r="F686" t="s">
        <v>14</v>
      </c>
      <c r="G686" t="s">
        <v>273</v>
      </c>
      <c r="H686">
        <v>0</v>
      </c>
      <c r="I686">
        <v>2</v>
      </c>
      <c r="J686">
        <v>42</v>
      </c>
      <c r="K686" t="str">
        <f t="shared" si="51"/>
        <v>PeruVenezuela</v>
      </c>
      <c r="L686" t="str">
        <f t="shared" si="52"/>
        <v>VenezuelaPeru</v>
      </c>
      <c r="M686">
        <f t="shared" si="53"/>
        <v>0</v>
      </c>
      <c r="N686">
        <f t="shared" si="54"/>
        <v>1</v>
      </c>
      <c r="O686">
        <f t="shared" si="55"/>
        <v>0</v>
      </c>
    </row>
    <row r="687" spans="1:15" hidden="1" x14ac:dyDescent="0.25">
      <c r="A687" s="1">
        <v>39263</v>
      </c>
      <c r="B687" t="s">
        <v>56</v>
      </c>
      <c r="C687" t="s">
        <v>11</v>
      </c>
      <c r="D687" s="2" t="s">
        <v>33</v>
      </c>
      <c r="E687" t="s">
        <v>371</v>
      </c>
      <c r="F687" t="s">
        <v>14</v>
      </c>
      <c r="G687" t="s">
        <v>64</v>
      </c>
      <c r="H687">
        <v>0</v>
      </c>
      <c r="I687">
        <v>1</v>
      </c>
      <c r="J687">
        <v>42</v>
      </c>
      <c r="K687" t="str">
        <f t="shared" si="51"/>
        <v>BoliviaUruguay</v>
      </c>
      <c r="L687" t="str">
        <f t="shared" si="52"/>
        <v>UruguayBolivia</v>
      </c>
      <c r="M687">
        <f t="shared" si="53"/>
        <v>0</v>
      </c>
      <c r="N687">
        <f t="shared" si="54"/>
        <v>1</v>
      </c>
      <c r="O687">
        <f t="shared" si="55"/>
        <v>0</v>
      </c>
    </row>
    <row r="688" spans="1:15" hidden="1" x14ac:dyDescent="0.25">
      <c r="A688" s="1">
        <v>39264</v>
      </c>
      <c r="B688" t="s">
        <v>99</v>
      </c>
      <c r="C688" t="s">
        <v>482</v>
      </c>
      <c r="D688" s="3">
        <v>42036</v>
      </c>
      <c r="E688" t="s">
        <v>375</v>
      </c>
      <c r="F688" t="s">
        <v>14</v>
      </c>
      <c r="G688" t="s">
        <v>297</v>
      </c>
      <c r="H688">
        <v>1</v>
      </c>
      <c r="I688">
        <v>2</v>
      </c>
      <c r="J688">
        <v>42</v>
      </c>
      <c r="K688" t="str">
        <f t="shared" si="51"/>
        <v>EcuadorMexico</v>
      </c>
      <c r="L688" t="str">
        <f t="shared" si="52"/>
        <v>MexicoEcuador</v>
      </c>
      <c r="M688">
        <f t="shared" si="53"/>
        <v>0</v>
      </c>
      <c r="N688">
        <f t="shared" si="54"/>
        <v>1</v>
      </c>
      <c r="O688">
        <f t="shared" si="55"/>
        <v>0</v>
      </c>
    </row>
    <row r="689" spans="1:15" hidden="1" x14ac:dyDescent="0.25">
      <c r="A689" s="1">
        <v>39264</v>
      </c>
      <c r="B689" t="s">
        <v>10</v>
      </c>
      <c r="C689" t="s">
        <v>19</v>
      </c>
      <c r="D689" s="2" t="s">
        <v>45</v>
      </c>
      <c r="E689" t="s">
        <v>376</v>
      </c>
      <c r="F689" t="s">
        <v>14</v>
      </c>
      <c r="G689" t="s">
        <v>20</v>
      </c>
      <c r="H689">
        <v>0</v>
      </c>
      <c r="I689">
        <v>3</v>
      </c>
      <c r="J689">
        <v>42</v>
      </c>
      <c r="K689" t="str">
        <f t="shared" si="51"/>
        <v>ChileBrazil</v>
      </c>
      <c r="L689" t="str">
        <f t="shared" si="52"/>
        <v>BrazilChile</v>
      </c>
      <c r="M689">
        <f t="shared" si="53"/>
        <v>0</v>
      </c>
      <c r="N689">
        <f t="shared" si="54"/>
        <v>1</v>
      </c>
      <c r="O689">
        <f t="shared" si="55"/>
        <v>0</v>
      </c>
    </row>
    <row r="690" spans="1:15" hidden="1" x14ac:dyDescent="0.25">
      <c r="A690" s="1">
        <v>39265</v>
      </c>
      <c r="B690" t="s">
        <v>16</v>
      </c>
      <c r="C690" t="s">
        <v>125</v>
      </c>
      <c r="D690" s="3">
        <v>42039</v>
      </c>
      <c r="E690" t="s">
        <v>374</v>
      </c>
      <c r="F690" t="s">
        <v>14</v>
      </c>
      <c r="G690" t="s">
        <v>133</v>
      </c>
      <c r="H690">
        <v>4</v>
      </c>
      <c r="I690">
        <v>2</v>
      </c>
      <c r="J690">
        <v>42</v>
      </c>
      <c r="K690" t="str">
        <f t="shared" si="51"/>
        <v>ArgentinaColombia</v>
      </c>
      <c r="L690" t="str">
        <f t="shared" si="52"/>
        <v>ColombiaArgentina</v>
      </c>
      <c r="M690">
        <f t="shared" si="53"/>
        <v>1</v>
      </c>
      <c r="N690">
        <f t="shared" si="54"/>
        <v>0</v>
      </c>
      <c r="O690">
        <f t="shared" si="55"/>
        <v>0</v>
      </c>
    </row>
    <row r="691" spans="1:15" hidden="1" x14ac:dyDescent="0.25">
      <c r="A691" s="1">
        <v>39265</v>
      </c>
      <c r="B691" t="s">
        <v>43</v>
      </c>
      <c r="C691" t="s">
        <v>311</v>
      </c>
      <c r="D691" s="3">
        <v>42007</v>
      </c>
      <c r="E691" t="s">
        <v>377</v>
      </c>
      <c r="F691" t="s">
        <v>14</v>
      </c>
      <c r="G691" t="s">
        <v>378</v>
      </c>
      <c r="H691">
        <v>3</v>
      </c>
      <c r="I691">
        <v>1</v>
      </c>
      <c r="J691">
        <v>42</v>
      </c>
      <c r="K691" t="str">
        <f t="shared" si="51"/>
        <v>ParaguayUnited States</v>
      </c>
      <c r="L691" t="str">
        <f t="shared" si="52"/>
        <v>United StatesParaguay</v>
      </c>
      <c r="M691">
        <f t="shared" si="53"/>
        <v>1</v>
      </c>
      <c r="N691">
        <f t="shared" si="54"/>
        <v>0</v>
      </c>
      <c r="O691">
        <f t="shared" si="55"/>
        <v>0</v>
      </c>
    </row>
    <row r="692" spans="1:15" x14ac:dyDescent="0.25">
      <c r="A692" s="1">
        <v>39266</v>
      </c>
      <c r="B692" t="s">
        <v>11</v>
      </c>
      <c r="C692" t="s">
        <v>211</v>
      </c>
      <c r="D692" s="2" t="s">
        <v>24</v>
      </c>
      <c r="E692" t="s">
        <v>379</v>
      </c>
      <c r="F692" t="s">
        <v>14</v>
      </c>
      <c r="G692" t="s">
        <v>214</v>
      </c>
      <c r="H692">
        <v>0</v>
      </c>
      <c r="I692">
        <v>0</v>
      </c>
      <c r="J692">
        <v>42</v>
      </c>
      <c r="K692" t="str">
        <f t="shared" si="51"/>
        <v>UruguayVenezuela</v>
      </c>
      <c r="L692" t="str">
        <f t="shared" si="52"/>
        <v>VenezuelaUruguay</v>
      </c>
      <c r="M692">
        <f t="shared" si="53"/>
        <v>0</v>
      </c>
      <c r="N692">
        <f t="shared" si="54"/>
        <v>0</v>
      </c>
      <c r="O692">
        <f t="shared" si="55"/>
        <v>1</v>
      </c>
    </row>
    <row r="693" spans="1:15" hidden="1" x14ac:dyDescent="0.25">
      <c r="A693" s="1">
        <v>39266</v>
      </c>
      <c r="B693" t="s">
        <v>56</v>
      </c>
      <c r="C693" t="s">
        <v>66</v>
      </c>
      <c r="D693" s="3">
        <v>42037</v>
      </c>
      <c r="E693" t="s">
        <v>380</v>
      </c>
      <c r="F693" t="s">
        <v>14</v>
      </c>
      <c r="G693" t="s">
        <v>71</v>
      </c>
      <c r="H693">
        <v>2</v>
      </c>
      <c r="I693">
        <v>2</v>
      </c>
      <c r="J693">
        <v>42</v>
      </c>
      <c r="K693" t="str">
        <f t="shared" si="51"/>
        <v>BoliviaPeru</v>
      </c>
      <c r="L693" t="str">
        <f t="shared" si="52"/>
        <v>PeruBolivia</v>
      </c>
      <c r="M693">
        <f t="shared" si="53"/>
        <v>0</v>
      </c>
      <c r="N693">
        <f t="shared" si="54"/>
        <v>0</v>
      </c>
      <c r="O693">
        <f t="shared" si="55"/>
        <v>1</v>
      </c>
    </row>
    <row r="694" spans="1:15" hidden="1" x14ac:dyDescent="0.25">
      <c r="A694" s="1">
        <v>39267</v>
      </c>
      <c r="B694" t="s">
        <v>99</v>
      </c>
      <c r="C694" t="s">
        <v>19</v>
      </c>
      <c r="D694" s="2" t="s">
        <v>33</v>
      </c>
      <c r="E694" t="s">
        <v>381</v>
      </c>
      <c r="F694" t="s">
        <v>14</v>
      </c>
      <c r="G694" t="s">
        <v>121</v>
      </c>
      <c r="H694">
        <v>0</v>
      </c>
      <c r="I694">
        <v>1</v>
      </c>
      <c r="J694">
        <v>42</v>
      </c>
      <c r="K694" t="str">
        <f t="shared" si="51"/>
        <v>EcuadorBrazil</v>
      </c>
      <c r="L694" t="str">
        <f t="shared" si="52"/>
        <v>BrazilEcuador</v>
      </c>
      <c r="M694">
        <f t="shared" si="53"/>
        <v>0</v>
      </c>
      <c r="N694">
        <f t="shared" si="54"/>
        <v>1</v>
      </c>
      <c r="O694">
        <f t="shared" si="55"/>
        <v>0</v>
      </c>
    </row>
    <row r="695" spans="1:15" hidden="1" x14ac:dyDescent="0.25">
      <c r="A695" s="1">
        <v>39267</v>
      </c>
      <c r="B695" t="s">
        <v>10</v>
      </c>
      <c r="C695" t="s">
        <v>482</v>
      </c>
      <c r="D695" s="2" t="s">
        <v>24</v>
      </c>
      <c r="E695" t="s">
        <v>382</v>
      </c>
      <c r="F695" t="s">
        <v>14</v>
      </c>
      <c r="G695" t="s">
        <v>330</v>
      </c>
      <c r="H695">
        <v>0</v>
      </c>
      <c r="I695">
        <v>0</v>
      </c>
      <c r="J695">
        <v>42</v>
      </c>
      <c r="K695" t="str">
        <f t="shared" si="51"/>
        <v>ChileMexico</v>
      </c>
      <c r="L695" t="str">
        <f t="shared" si="52"/>
        <v>MexicoChile</v>
      </c>
      <c r="M695">
        <f t="shared" si="53"/>
        <v>0</v>
      </c>
      <c r="N695">
        <f t="shared" si="54"/>
        <v>0</v>
      </c>
      <c r="O695">
        <f t="shared" si="55"/>
        <v>1</v>
      </c>
    </row>
    <row r="696" spans="1:15" hidden="1" x14ac:dyDescent="0.25">
      <c r="A696" s="1">
        <v>39268</v>
      </c>
      <c r="B696" t="s">
        <v>16</v>
      </c>
      <c r="C696" t="s">
        <v>43</v>
      </c>
      <c r="D696" s="2" t="s">
        <v>29</v>
      </c>
      <c r="E696" t="s">
        <v>383</v>
      </c>
      <c r="F696" t="s">
        <v>14</v>
      </c>
      <c r="G696" t="s">
        <v>48</v>
      </c>
      <c r="H696">
        <v>1</v>
      </c>
      <c r="I696">
        <v>0</v>
      </c>
      <c r="J696">
        <v>42</v>
      </c>
      <c r="K696" t="str">
        <f t="shared" si="51"/>
        <v>ArgentinaParaguay</v>
      </c>
      <c r="L696" t="str">
        <f t="shared" si="52"/>
        <v>ParaguayArgentina</v>
      </c>
      <c r="M696">
        <f t="shared" si="53"/>
        <v>1</v>
      </c>
      <c r="N696">
        <f t="shared" si="54"/>
        <v>0</v>
      </c>
      <c r="O696">
        <f t="shared" si="55"/>
        <v>0</v>
      </c>
    </row>
    <row r="697" spans="1:15" hidden="1" x14ac:dyDescent="0.25">
      <c r="A697" s="1">
        <v>39268</v>
      </c>
      <c r="B697" t="s">
        <v>125</v>
      </c>
      <c r="C697" t="s">
        <v>311</v>
      </c>
      <c r="D697" s="2" t="s">
        <v>29</v>
      </c>
      <c r="E697" t="s">
        <v>383</v>
      </c>
      <c r="F697" t="s">
        <v>14</v>
      </c>
      <c r="G697" t="s">
        <v>316</v>
      </c>
      <c r="H697">
        <v>1</v>
      </c>
      <c r="I697">
        <v>0</v>
      </c>
      <c r="J697">
        <v>42</v>
      </c>
      <c r="K697" t="str">
        <f t="shared" si="51"/>
        <v>ColombiaUnited States</v>
      </c>
      <c r="L697" t="str">
        <f t="shared" si="52"/>
        <v>United StatesColombia</v>
      </c>
      <c r="M697">
        <f t="shared" si="53"/>
        <v>1</v>
      </c>
      <c r="N697">
        <f t="shared" si="54"/>
        <v>0</v>
      </c>
      <c r="O697">
        <f t="shared" si="55"/>
        <v>0</v>
      </c>
    </row>
    <row r="698" spans="1:15" hidden="1" x14ac:dyDescent="0.25">
      <c r="A698" s="1">
        <v>39270</v>
      </c>
      <c r="B698" t="s">
        <v>10</v>
      </c>
      <c r="C698" t="s">
        <v>19</v>
      </c>
      <c r="D698" s="3">
        <v>42156</v>
      </c>
      <c r="E698" t="s">
        <v>382</v>
      </c>
      <c r="F698" t="s">
        <v>14</v>
      </c>
      <c r="G698" t="s">
        <v>20</v>
      </c>
      <c r="H698">
        <v>1</v>
      </c>
      <c r="I698">
        <v>6</v>
      </c>
      <c r="J698">
        <v>42</v>
      </c>
      <c r="K698" t="str">
        <f t="shared" si="51"/>
        <v>ChileBrazil</v>
      </c>
      <c r="L698" t="str">
        <f t="shared" si="52"/>
        <v>BrazilChile</v>
      </c>
      <c r="M698">
        <f t="shared" si="53"/>
        <v>0</v>
      </c>
      <c r="N698">
        <f t="shared" si="54"/>
        <v>1</v>
      </c>
      <c r="O698">
        <f t="shared" si="55"/>
        <v>0</v>
      </c>
    </row>
    <row r="699" spans="1:15" x14ac:dyDescent="0.25">
      <c r="A699" s="1">
        <v>39270</v>
      </c>
      <c r="B699" t="s">
        <v>11</v>
      </c>
      <c r="C699" t="s">
        <v>211</v>
      </c>
      <c r="D699" s="3">
        <v>42008</v>
      </c>
      <c r="E699" t="s">
        <v>384</v>
      </c>
      <c r="F699" t="s">
        <v>14</v>
      </c>
      <c r="G699" t="s">
        <v>214</v>
      </c>
      <c r="H699">
        <v>4</v>
      </c>
      <c r="I699">
        <v>1</v>
      </c>
      <c r="J699">
        <v>42</v>
      </c>
      <c r="K699" t="str">
        <f t="shared" si="51"/>
        <v>UruguayVenezuela</v>
      </c>
      <c r="L699" t="str">
        <f t="shared" si="52"/>
        <v>VenezuelaUruguay</v>
      </c>
      <c r="M699">
        <f t="shared" si="53"/>
        <v>1</v>
      </c>
      <c r="N699">
        <f t="shared" si="54"/>
        <v>0</v>
      </c>
      <c r="O699">
        <f t="shared" si="55"/>
        <v>0</v>
      </c>
    </row>
    <row r="700" spans="1:15" hidden="1" x14ac:dyDescent="0.25">
      <c r="A700" s="1">
        <v>39271</v>
      </c>
      <c r="B700" t="s">
        <v>16</v>
      </c>
      <c r="C700" t="s">
        <v>66</v>
      </c>
      <c r="D700" s="2" t="s">
        <v>30</v>
      </c>
      <c r="E700" t="s">
        <v>383</v>
      </c>
      <c r="F700" t="s">
        <v>14</v>
      </c>
      <c r="G700" t="s">
        <v>72</v>
      </c>
      <c r="H700">
        <v>4</v>
      </c>
      <c r="I700">
        <v>0</v>
      </c>
      <c r="J700">
        <v>42</v>
      </c>
      <c r="K700" t="str">
        <f t="shared" si="51"/>
        <v>ArgentinaPeru</v>
      </c>
      <c r="L700" t="str">
        <f t="shared" si="52"/>
        <v>PeruArgentina</v>
      </c>
      <c r="M700">
        <f t="shared" si="53"/>
        <v>1</v>
      </c>
      <c r="N700">
        <f t="shared" si="54"/>
        <v>0</v>
      </c>
      <c r="O700">
        <f t="shared" si="55"/>
        <v>0</v>
      </c>
    </row>
    <row r="701" spans="1:15" hidden="1" x14ac:dyDescent="0.25">
      <c r="A701" s="1">
        <v>39271</v>
      </c>
      <c r="B701" t="s">
        <v>43</v>
      </c>
      <c r="C701" t="s">
        <v>482</v>
      </c>
      <c r="D701" s="2" t="s">
        <v>34</v>
      </c>
      <c r="E701" t="s">
        <v>385</v>
      </c>
      <c r="F701" t="s">
        <v>14</v>
      </c>
      <c r="G701" t="s">
        <v>300</v>
      </c>
      <c r="H701">
        <v>0</v>
      </c>
      <c r="I701">
        <v>6</v>
      </c>
      <c r="J701">
        <v>42</v>
      </c>
      <c r="K701" t="str">
        <f t="shared" si="51"/>
        <v>ParaguayMexico</v>
      </c>
      <c r="L701" t="str">
        <f t="shared" si="52"/>
        <v>MexicoParaguay</v>
      </c>
      <c r="M701">
        <f t="shared" si="53"/>
        <v>0</v>
      </c>
      <c r="N701">
        <f t="shared" si="54"/>
        <v>1</v>
      </c>
      <c r="O701">
        <f t="shared" si="55"/>
        <v>0</v>
      </c>
    </row>
    <row r="702" spans="1:15" x14ac:dyDescent="0.25">
      <c r="A702" s="1">
        <v>39273</v>
      </c>
      <c r="B702" t="s">
        <v>11</v>
      </c>
      <c r="C702" t="s">
        <v>19</v>
      </c>
      <c r="D702" s="3">
        <v>42037</v>
      </c>
      <c r="E702" t="s">
        <v>386</v>
      </c>
      <c r="F702" t="s">
        <v>14</v>
      </c>
      <c r="G702" t="s">
        <v>23</v>
      </c>
      <c r="H702">
        <v>2</v>
      </c>
      <c r="I702">
        <v>2</v>
      </c>
      <c r="J702">
        <v>42</v>
      </c>
      <c r="K702" t="str">
        <f t="shared" si="51"/>
        <v>UruguayBrazil</v>
      </c>
      <c r="L702" t="str">
        <f t="shared" si="52"/>
        <v>BrazilUruguay</v>
      </c>
      <c r="M702">
        <f t="shared" si="53"/>
        <v>0</v>
      </c>
      <c r="N702">
        <f t="shared" si="54"/>
        <v>0</v>
      </c>
      <c r="O702">
        <f t="shared" si="55"/>
        <v>1</v>
      </c>
    </row>
    <row r="703" spans="1:15" hidden="1" x14ac:dyDescent="0.25">
      <c r="A703" s="1">
        <v>39274</v>
      </c>
      <c r="B703" t="s">
        <v>16</v>
      </c>
      <c r="C703" t="s">
        <v>482</v>
      </c>
      <c r="D703" s="2" t="s">
        <v>47</v>
      </c>
      <c r="E703" t="s">
        <v>373</v>
      </c>
      <c r="F703" t="s">
        <v>14</v>
      </c>
      <c r="G703" t="s">
        <v>291</v>
      </c>
      <c r="H703">
        <v>3</v>
      </c>
      <c r="I703">
        <v>0</v>
      </c>
      <c r="J703">
        <v>42</v>
      </c>
      <c r="K703" t="str">
        <f t="shared" si="51"/>
        <v>ArgentinaMexico</v>
      </c>
      <c r="L703" t="str">
        <f t="shared" si="52"/>
        <v>MexicoArgentina</v>
      </c>
      <c r="M703">
        <f t="shared" si="53"/>
        <v>1</v>
      </c>
      <c r="N703">
        <f t="shared" si="54"/>
        <v>0</v>
      </c>
      <c r="O703">
        <f t="shared" si="55"/>
        <v>0</v>
      </c>
    </row>
    <row r="704" spans="1:15" x14ac:dyDescent="0.25">
      <c r="A704" s="1">
        <v>39277</v>
      </c>
      <c r="B704" t="s">
        <v>11</v>
      </c>
      <c r="C704" t="s">
        <v>482</v>
      </c>
      <c r="D704" s="3">
        <v>42064</v>
      </c>
      <c r="E704" t="s">
        <v>261</v>
      </c>
      <c r="F704" t="s">
        <v>14</v>
      </c>
      <c r="G704" t="s">
        <v>310</v>
      </c>
      <c r="H704">
        <v>1</v>
      </c>
      <c r="I704">
        <v>3</v>
      </c>
      <c r="J704">
        <v>42</v>
      </c>
      <c r="K704" t="str">
        <f t="shared" si="51"/>
        <v>UruguayMexico</v>
      </c>
      <c r="L704" t="str">
        <f t="shared" si="52"/>
        <v>MexicoUruguay</v>
      </c>
      <c r="M704">
        <f t="shared" si="53"/>
        <v>0</v>
      </c>
      <c r="N704">
        <f t="shared" si="54"/>
        <v>1</v>
      </c>
      <c r="O704">
        <f t="shared" si="55"/>
        <v>0</v>
      </c>
    </row>
    <row r="705" spans="1:15" hidden="1" x14ac:dyDescent="0.25">
      <c r="A705" s="1">
        <v>39278</v>
      </c>
      <c r="B705" t="s">
        <v>16</v>
      </c>
      <c r="C705" t="s">
        <v>19</v>
      </c>
      <c r="D705" s="2" t="s">
        <v>45</v>
      </c>
      <c r="E705" t="s">
        <v>374</v>
      </c>
      <c r="F705" t="s">
        <v>14</v>
      </c>
      <c r="G705" t="s">
        <v>21</v>
      </c>
      <c r="H705">
        <v>0</v>
      </c>
      <c r="I705">
        <v>3</v>
      </c>
      <c r="J705">
        <v>42</v>
      </c>
      <c r="K705" t="str">
        <f t="shared" si="51"/>
        <v>ArgentinaBrazil</v>
      </c>
      <c r="L705" t="str">
        <f t="shared" si="52"/>
        <v>BrazilArgentina</v>
      </c>
      <c r="M705">
        <f t="shared" si="53"/>
        <v>0</v>
      </c>
      <c r="N705">
        <f t="shared" si="54"/>
        <v>1</v>
      </c>
      <c r="O705">
        <f t="shared" si="55"/>
        <v>0</v>
      </c>
    </row>
    <row r="706" spans="1:15" hidden="1" x14ac:dyDescent="0.25">
      <c r="A706" s="1">
        <v>40725</v>
      </c>
      <c r="B706" t="s">
        <v>16</v>
      </c>
      <c r="C706" t="s">
        <v>56</v>
      </c>
      <c r="D706" s="3">
        <v>42005</v>
      </c>
      <c r="E706" t="s">
        <v>387</v>
      </c>
      <c r="F706" t="s">
        <v>14</v>
      </c>
      <c r="G706" t="s">
        <v>61</v>
      </c>
      <c r="H706">
        <v>1</v>
      </c>
      <c r="I706">
        <v>1</v>
      </c>
      <c r="J706">
        <v>43</v>
      </c>
      <c r="K706" t="str">
        <f t="shared" si="51"/>
        <v>ArgentinaBolivia</v>
      </c>
      <c r="L706" t="str">
        <f t="shared" si="52"/>
        <v>BoliviaArgentina</v>
      </c>
      <c r="M706">
        <f t="shared" si="53"/>
        <v>0</v>
      </c>
      <c r="N706">
        <f t="shared" si="54"/>
        <v>0</v>
      </c>
      <c r="O706">
        <f t="shared" si="55"/>
        <v>1</v>
      </c>
    </row>
    <row r="707" spans="1:15" hidden="1" x14ac:dyDescent="0.25">
      <c r="A707" s="1">
        <v>40726</v>
      </c>
      <c r="B707" t="s">
        <v>125</v>
      </c>
      <c r="C707" t="s">
        <v>319</v>
      </c>
      <c r="D707" s="2" t="s">
        <v>29</v>
      </c>
      <c r="E707" t="s">
        <v>388</v>
      </c>
      <c r="F707" t="s">
        <v>14</v>
      </c>
      <c r="G707" t="s">
        <v>323</v>
      </c>
      <c r="H707">
        <v>1</v>
      </c>
      <c r="I707">
        <v>0</v>
      </c>
      <c r="J707">
        <v>43</v>
      </c>
      <c r="K707" t="str">
        <f t="shared" ref="K707:K747" si="56">CONCATENATE(B707,C707)</f>
        <v>ColombiaCosta Rica</v>
      </c>
      <c r="L707" t="str">
        <f t="shared" ref="L707:L747" si="57">CONCATENATE(C707,B707)</f>
        <v>Costa RicaColombia</v>
      </c>
      <c r="M707">
        <f t="shared" ref="M707:M747" si="58">IF(H707&gt;I707,1,0)</f>
        <v>1</v>
      </c>
      <c r="N707">
        <f t="shared" ref="N707:N747" si="59">IF(I707&gt;H707,1,0)</f>
        <v>0</v>
      </c>
      <c r="O707">
        <f t="shared" ref="O707:O747" si="60">IF(I707=H707,1,0)</f>
        <v>0</v>
      </c>
    </row>
    <row r="708" spans="1:15" hidden="1" x14ac:dyDescent="0.25">
      <c r="A708" s="1">
        <v>40727</v>
      </c>
      <c r="B708" t="s">
        <v>211</v>
      </c>
      <c r="C708" t="s">
        <v>19</v>
      </c>
      <c r="D708" s="2" t="s">
        <v>24</v>
      </c>
      <c r="E708" t="s">
        <v>387</v>
      </c>
      <c r="F708" t="s">
        <v>14</v>
      </c>
      <c r="G708" t="s">
        <v>228</v>
      </c>
      <c r="H708">
        <v>0</v>
      </c>
      <c r="I708">
        <v>0</v>
      </c>
      <c r="J708">
        <v>43</v>
      </c>
      <c r="K708" t="str">
        <f t="shared" si="56"/>
        <v>VenezuelaBrazil</v>
      </c>
      <c r="L708" t="str">
        <f t="shared" si="57"/>
        <v>BrazilVenezuela</v>
      </c>
      <c r="M708">
        <f t="shared" si="58"/>
        <v>0</v>
      </c>
      <c r="N708">
        <f t="shared" si="59"/>
        <v>0</v>
      </c>
      <c r="O708">
        <f t="shared" si="60"/>
        <v>1</v>
      </c>
    </row>
    <row r="709" spans="1:15" hidden="1" x14ac:dyDescent="0.25">
      <c r="A709" s="1">
        <v>40727</v>
      </c>
      <c r="B709" t="s">
        <v>99</v>
      </c>
      <c r="C709" t="s">
        <v>43</v>
      </c>
      <c r="D709" s="2" t="s">
        <v>24</v>
      </c>
      <c r="E709" t="s">
        <v>389</v>
      </c>
      <c r="F709" t="s">
        <v>14</v>
      </c>
      <c r="G709" t="s">
        <v>105</v>
      </c>
      <c r="H709">
        <v>0</v>
      </c>
      <c r="I709">
        <v>0</v>
      </c>
      <c r="J709">
        <v>43</v>
      </c>
      <c r="K709" t="str">
        <f t="shared" si="56"/>
        <v>EcuadorParaguay</v>
      </c>
      <c r="L709" t="str">
        <f t="shared" si="57"/>
        <v>ParaguayEcuador</v>
      </c>
      <c r="M709">
        <f t="shared" si="58"/>
        <v>0</v>
      </c>
      <c r="N709">
        <f t="shared" si="59"/>
        <v>0</v>
      </c>
      <c r="O709">
        <f t="shared" si="60"/>
        <v>1</v>
      </c>
    </row>
    <row r="710" spans="1:15" hidden="1" x14ac:dyDescent="0.25">
      <c r="A710" s="1">
        <v>40728</v>
      </c>
      <c r="B710" t="s">
        <v>10</v>
      </c>
      <c r="C710" t="s">
        <v>482</v>
      </c>
      <c r="D710" s="3">
        <v>42006</v>
      </c>
      <c r="E710" t="s">
        <v>390</v>
      </c>
      <c r="F710" t="s">
        <v>14</v>
      </c>
      <c r="G710" t="s">
        <v>330</v>
      </c>
      <c r="H710">
        <v>2</v>
      </c>
      <c r="I710">
        <v>1</v>
      </c>
      <c r="J710">
        <v>43</v>
      </c>
      <c r="K710" t="str">
        <f t="shared" si="56"/>
        <v>ChileMexico</v>
      </c>
      <c r="L710" t="str">
        <f t="shared" si="57"/>
        <v>MexicoChile</v>
      </c>
      <c r="M710">
        <f t="shared" si="58"/>
        <v>1</v>
      </c>
      <c r="N710">
        <f t="shared" si="59"/>
        <v>0</v>
      </c>
      <c r="O710">
        <f t="shared" si="60"/>
        <v>0</v>
      </c>
    </row>
    <row r="711" spans="1:15" hidden="1" x14ac:dyDescent="0.25">
      <c r="A711" s="1">
        <v>40728</v>
      </c>
      <c r="B711" t="s">
        <v>66</v>
      </c>
      <c r="C711" t="s">
        <v>11</v>
      </c>
      <c r="D711" s="3">
        <v>42005</v>
      </c>
      <c r="E711" t="s">
        <v>390</v>
      </c>
      <c r="F711" t="s">
        <v>14</v>
      </c>
      <c r="G711" t="s">
        <v>67</v>
      </c>
      <c r="H711">
        <v>1</v>
      </c>
      <c r="I711">
        <v>1</v>
      </c>
      <c r="J711">
        <v>43</v>
      </c>
      <c r="K711" t="str">
        <f t="shared" si="56"/>
        <v>PeruUruguay</v>
      </c>
      <c r="L711" t="str">
        <f t="shared" si="57"/>
        <v>UruguayPeru</v>
      </c>
      <c r="M711">
        <f t="shared" si="58"/>
        <v>0</v>
      </c>
      <c r="N711">
        <f t="shared" si="59"/>
        <v>0</v>
      </c>
      <c r="O711">
        <f t="shared" si="60"/>
        <v>1</v>
      </c>
    </row>
    <row r="712" spans="1:15" hidden="1" x14ac:dyDescent="0.25">
      <c r="A712" s="1">
        <v>40730</v>
      </c>
      <c r="B712" t="s">
        <v>16</v>
      </c>
      <c r="C712" t="s">
        <v>125</v>
      </c>
      <c r="D712" s="2" t="s">
        <v>24</v>
      </c>
      <c r="E712" t="s">
        <v>389</v>
      </c>
      <c r="F712" t="s">
        <v>14</v>
      </c>
      <c r="G712" t="s">
        <v>133</v>
      </c>
      <c r="H712">
        <v>0</v>
      </c>
      <c r="I712">
        <v>0</v>
      </c>
      <c r="J712">
        <v>43</v>
      </c>
      <c r="K712" t="str">
        <f t="shared" si="56"/>
        <v>ArgentinaColombia</v>
      </c>
      <c r="L712" t="str">
        <f t="shared" si="57"/>
        <v>ColombiaArgentina</v>
      </c>
      <c r="M712">
        <f t="shared" si="58"/>
        <v>0</v>
      </c>
      <c r="N712">
        <f t="shared" si="59"/>
        <v>0</v>
      </c>
      <c r="O712">
        <f t="shared" si="60"/>
        <v>1</v>
      </c>
    </row>
    <row r="713" spans="1:15" hidden="1" x14ac:dyDescent="0.25">
      <c r="A713" s="1">
        <v>40731</v>
      </c>
      <c r="B713" t="s">
        <v>56</v>
      </c>
      <c r="C713" t="s">
        <v>319</v>
      </c>
      <c r="D713" s="2" t="s">
        <v>37</v>
      </c>
      <c r="E713" t="s">
        <v>388</v>
      </c>
      <c r="F713" t="s">
        <v>14</v>
      </c>
      <c r="G713" t="s">
        <v>350</v>
      </c>
      <c r="H713">
        <v>0</v>
      </c>
      <c r="I713">
        <v>2</v>
      </c>
      <c r="J713">
        <v>43</v>
      </c>
      <c r="K713" t="str">
        <f t="shared" si="56"/>
        <v>BoliviaCosta Rica</v>
      </c>
      <c r="L713" t="str">
        <f t="shared" si="57"/>
        <v>Costa RicaBolivia</v>
      </c>
      <c r="M713">
        <f t="shared" si="58"/>
        <v>0</v>
      </c>
      <c r="N713">
        <f t="shared" si="59"/>
        <v>1</v>
      </c>
      <c r="O713">
        <f t="shared" si="60"/>
        <v>0</v>
      </c>
    </row>
    <row r="714" spans="1:15" hidden="1" x14ac:dyDescent="0.25">
      <c r="A714" s="1">
        <v>40732</v>
      </c>
      <c r="B714" t="s">
        <v>10</v>
      </c>
      <c r="C714" t="s">
        <v>11</v>
      </c>
      <c r="D714" s="3">
        <v>42005</v>
      </c>
      <c r="E714" t="s">
        <v>391</v>
      </c>
      <c r="F714" t="s">
        <v>14</v>
      </c>
      <c r="G714" t="s">
        <v>15</v>
      </c>
      <c r="H714">
        <v>1</v>
      </c>
      <c r="I714">
        <v>1</v>
      </c>
      <c r="J714">
        <v>43</v>
      </c>
      <c r="K714" t="str">
        <f t="shared" si="56"/>
        <v>ChileUruguay</v>
      </c>
      <c r="L714" t="str">
        <f t="shared" si="57"/>
        <v>UruguayChile</v>
      </c>
      <c r="M714">
        <f t="shared" si="58"/>
        <v>0</v>
      </c>
      <c r="N714">
        <f t="shared" si="59"/>
        <v>0</v>
      </c>
      <c r="O714">
        <f t="shared" si="60"/>
        <v>1</v>
      </c>
    </row>
    <row r="715" spans="1:15" hidden="1" x14ac:dyDescent="0.25">
      <c r="A715" s="1">
        <v>40732</v>
      </c>
      <c r="B715" t="s">
        <v>66</v>
      </c>
      <c r="C715" t="s">
        <v>482</v>
      </c>
      <c r="D715" s="2" t="s">
        <v>29</v>
      </c>
      <c r="E715" t="s">
        <v>391</v>
      </c>
      <c r="F715" t="s">
        <v>14</v>
      </c>
      <c r="G715" t="s">
        <v>296</v>
      </c>
      <c r="H715">
        <v>1</v>
      </c>
      <c r="I715">
        <v>0</v>
      </c>
      <c r="J715">
        <v>43</v>
      </c>
      <c r="K715" t="str">
        <f t="shared" si="56"/>
        <v>PeruMexico</v>
      </c>
      <c r="L715" t="str">
        <f t="shared" si="57"/>
        <v>MexicoPeru</v>
      </c>
      <c r="M715">
        <f t="shared" si="58"/>
        <v>1</v>
      </c>
      <c r="N715">
        <f t="shared" si="59"/>
        <v>0</v>
      </c>
      <c r="O715">
        <f t="shared" si="60"/>
        <v>0</v>
      </c>
    </row>
    <row r="716" spans="1:15" hidden="1" x14ac:dyDescent="0.25">
      <c r="A716" s="1">
        <v>40733</v>
      </c>
      <c r="B716" t="s">
        <v>99</v>
      </c>
      <c r="C716" t="s">
        <v>211</v>
      </c>
      <c r="D716" s="2" t="s">
        <v>33</v>
      </c>
      <c r="E716" t="s">
        <v>392</v>
      </c>
      <c r="F716" t="s">
        <v>14</v>
      </c>
      <c r="G716" t="s">
        <v>283</v>
      </c>
      <c r="H716">
        <v>0</v>
      </c>
      <c r="I716">
        <v>1</v>
      </c>
      <c r="J716">
        <v>43</v>
      </c>
      <c r="K716" t="str">
        <f t="shared" si="56"/>
        <v>EcuadorVenezuela</v>
      </c>
      <c r="L716" t="str">
        <f t="shared" si="57"/>
        <v>VenezuelaEcuador</v>
      </c>
      <c r="M716">
        <f t="shared" si="58"/>
        <v>0</v>
      </c>
      <c r="N716">
        <f t="shared" si="59"/>
        <v>1</v>
      </c>
      <c r="O716">
        <f t="shared" si="60"/>
        <v>0</v>
      </c>
    </row>
    <row r="717" spans="1:15" hidden="1" x14ac:dyDescent="0.25">
      <c r="A717" s="1">
        <v>40733</v>
      </c>
      <c r="B717" t="s">
        <v>43</v>
      </c>
      <c r="C717" t="s">
        <v>19</v>
      </c>
      <c r="D717" s="3">
        <v>42037</v>
      </c>
      <c r="E717" t="s">
        <v>266</v>
      </c>
      <c r="F717" t="s">
        <v>14</v>
      </c>
      <c r="G717" t="s">
        <v>46</v>
      </c>
      <c r="H717">
        <v>2</v>
      </c>
      <c r="I717">
        <v>2</v>
      </c>
      <c r="J717">
        <v>43</v>
      </c>
      <c r="K717" t="str">
        <f t="shared" si="56"/>
        <v>ParaguayBrazil</v>
      </c>
      <c r="L717" t="str">
        <f t="shared" si="57"/>
        <v>BrazilParaguay</v>
      </c>
      <c r="M717">
        <f t="shared" si="58"/>
        <v>0</v>
      </c>
      <c r="N717">
        <f t="shared" si="59"/>
        <v>0</v>
      </c>
      <c r="O717">
        <f t="shared" si="60"/>
        <v>1</v>
      </c>
    </row>
    <row r="718" spans="1:15" hidden="1" x14ac:dyDescent="0.25">
      <c r="A718" s="1">
        <v>40734</v>
      </c>
      <c r="B718" t="s">
        <v>56</v>
      </c>
      <c r="C718" t="s">
        <v>125</v>
      </c>
      <c r="D718" s="2" t="s">
        <v>37</v>
      </c>
      <c r="E718" t="s">
        <v>389</v>
      </c>
      <c r="F718" t="s">
        <v>14</v>
      </c>
      <c r="G718" t="s">
        <v>137</v>
      </c>
      <c r="H718">
        <v>0</v>
      </c>
      <c r="I718">
        <v>2</v>
      </c>
      <c r="J718">
        <v>43</v>
      </c>
      <c r="K718" t="str">
        <f t="shared" si="56"/>
        <v>BoliviaColombia</v>
      </c>
      <c r="L718" t="str">
        <f t="shared" si="57"/>
        <v>ColombiaBolivia</v>
      </c>
      <c r="M718">
        <f t="shared" si="58"/>
        <v>0</v>
      </c>
      <c r="N718">
        <f t="shared" si="59"/>
        <v>1</v>
      </c>
      <c r="O718">
        <f t="shared" si="60"/>
        <v>0</v>
      </c>
    </row>
    <row r="719" spans="1:15" hidden="1" x14ac:dyDescent="0.25">
      <c r="A719" s="1">
        <v>40735</v>
      </c>
      <c r="B719" t="s">
        <v>16</v>
      </c>
      <c r="C719" t="s">
        <v>319</v>
      </c>
      <c r="D719" s="2" t="s">
        <v>47</v>
      </c>
      <c r="E719" t="s">
        <v>266</v>
      </c>
      <c r="F719" t="s">
        <v>14</v>
      </c>
      <c r="G719" t="s">
        <v>393</v>
      </c>
      <c r="H719">
        <v>3</v>
      </c>
      <c r="I719">
        <v>0</v>
      </c>
      <c r="J719">
        <v>43</v>
      </c>
      <c r="K719" t="str">
        <f t="shared" si="56"/>
        <v>ArgentinaCosta Rica</v>
      </c>
      <c r="L719" t="str">
        <f t="shared" si="57"/>
        <v>Costa RicaArgentina</v>
      </c>
      <c r="M719">
        <f t="shared" si="58"/>
        <v>1</v>
      </c>
      <c r="N719">
        <f t="shared" si="59"/>
        <v>0</v>
      </c>
      <c r="O719">
        <f t="shared" si="60"/>
        <v>0</v>
      </c>
    </row>
    <row r="720" spans="1:15" hidden="1" x14ac:dyDescent="0.25">
      <c r="A720" s="1">
        <v>40736</v>
      </c>
      <c r="B720" t="s">
        <v>10</v>
      </c>
      <c r="C720" t="s">
        <v>66</v>
      </c>
      <c r="D720" s="2" t="s">
        <v>29</v>
      </c>
      <c r="E720" t="s">
        <v>391</v>
      </c>
      <c r="F720" t="s">
        <v>14</v>
      </c>
      <c r="G720" t="s">
        <v>80</v>
      </c>
      <c r="H720">
        <v>1</v>
      </c>
      <c r="I720">
        <v>0</v>
      </c>
      <c r="J720">
        <v>43</v>
      </c>
      <c r="K720" t="str">
        <f t="shared" si="56"/>
        <v>ChilePeru</v>
      </c>
      <c r="L720" t="str">
        <f t="shared" si="57"/>
        <v>PeruChile</v>
      </c>
      <c r="M720">
        <f t="shared" si="58"/>
        <v>1</v>
      </c>
      <c r="N720">
        <f t="shared" si="59"/>
        <v>0</v>
      </c>
      <c r="O720">
        <f t="shared" si="60"/>
        <v>0</v>
      </c>
    </row>
    <row r="721" spans="1:15" x14ac:dyDescent="0.25">
      <c r="A721" s="1">
        <v>40736</v>
      </c>
      <c r="B721" t="s">
        <v>11</v>
      </c>
      <c r="C721" t="s">
        <v>482</v>
      </c>
      <c r="D721" s="2" t="s">
        <v>29</v>
      </c>
      <c r="E721" t="s">
        <v>394</v>
      </c>
      <c r="F721" t="s">
        <v>14</v>
      </c>
      <c r="G721" t="s">
        <v>310</v>
      </c>
      <c r="H721">
        <v>1</v>
      </c>
      <c r="I721">
        <v>0</v>
      </c>
      <c r="J721">
        <v>43</v>
      </c>
      <c r="K721" t="str">
        <f t="shared" si="56"/>
        <v>UruguayMexico</v>
      </c>
      <c r="L721" t="str">
        <f t="shared" si="57"/>
        <v>MexicoUruguay</v>
      </c>
      <c r="M721">
        <f t="shared" si="58"/>
        <v>1</v>
      </c>
      <c r="N721">
        <f t="shared" si="59"/>
        <v>0</v>
      </c>
      <c r="O721">
        <f t="shared" si="60"/>
        <v>0</v>
      </c>
    </row>
    <row r="722" spans="1:15" hidden="1" x14ac:dyDescent="0.25">
      <c r="A722" s="1">
        <v>40737</v>
      </c>
      <c r="B722" t="s">
        <v>43</v>
      </c>
      <c r="C722" t="s">
        <v>211</v>
      </c>
      <c r="D722" s="3">
        <v>42066</v>
      </c>
      <c r="E722" t="s">
        <v>395</v>
      </c>
      <c r="F722" t="s">
        <v>14</v>
      </c>
      <c r="G722" t="s">
        <v>222</v>
      </c>
      <c r="H722">
        <v>3</v>
      </c>
      <c r="I722">
        <v>3</v>
      </c>
      <c r="J722">
        <v>43</v>
      </c>
      <c r="K722" t="str">
        <f t="shared" si="56"/>
        <v>ParaguayVenezuela</v>
      </c>
      <c r="L722" t="str">
        <f t="shared" si="57"/>
        <v>VenezuelaParaguay</v>
      </c>
      <c r="M722">
        <f t="shared" si="58"/>
        <v>0</v>
      </c>
      <c r="N722">
        <f t="shared" si="59"/>
        <v>0</v>
      </c>
      <c r="O722">
        <f t="shared" si="60"/>
        <v>1</v>
      </c>
    </row>
    <row r="723" spans="1:15" hidden="1" x14ac:dyDescent="0.25">
      <c r="A723" s="1">
        <v>40737</v>
      </c>
      <c r="B723" t="s">
        <v>99</v>
      </c>
      <c r="C723" t="s">
        <v>19</v>
      </c>
      <c r="D723" s="3">
        <v>42096</v>
      </c>
      <c r="E723" t="s">
        <v>266</v>
      </c>
      <c r="F723" t="s">
        <v>14</v>
      </c>
      <c r="G723" t="s">
        <v>121</v>
      </c>
      <c r="H723">
        <v>2</v>
      </c>
      <c r="I723">
        <v>4</v>
      </c>
      <c r="J723">
        <v>43</v>
      </c>
      <c r="K723" t="str">
        <f t="shared" si="56"/>
        <v>EcuadorBrazil</v>
      </c>
      <c r="L723" t="str">
        <f t="shared" si="57"/>
        <v>BrazilEcuador</v>
      </c>
      <c r="M723">
        <f t="shared" si="58"/>
        <v>0</v>
      </c>
      <c r="N723">
        <f t="shared" si="59"/>
        <v>1</v>
      </c>
      <c r="O723">
        <f t="shared" si="60"/>
        <v>0</v>
      </c>
    </row>
    <row r="724" spans="1:15" hidden="1" x14ac:dyDescent="0.25">
      <c r="A724" s="1">
        <v>40740</v>
      </c>
      <c r="B724" t="s">
        <v>125</v>
      </c>
      <c r="C724" t="s">
        <v>66</v>
      </c>
      <c r="D724" s="2" t="s">
        <v>37</v>
      </c>
      <c r="E724" t="s">
        <v>266</v>
      </c>
      <c r="F724" t="s">
        <v>14</v>
      </c>
      <c r="G724" t="s">
        <v>158</v>
      </c>
      <c r="H724">
        <v>0</v>
      </c>
      <c r="I724">
        <v>2</v>
      </c>
      <c r="J724">
        <v>43</v>
      </c>
      <c r="K724" t="str">
        <f t="shared" si="56"/>
        <v>ColombiaPeru</v>
      </c>
      <c r="L724" t="str">
        <f t="shared" si="57"/>
        <v>PeruColombia</v>
      </c>
      <c r="M724">
        <f t="shared" si="58"/>
        <v>0</v>
      </c>
      <c r="N724">
        <f t="shared" si="59"/>
        <v>1</v>
      </c>
      <c r="O724">
        <f t="shared" si="60"/>
        <v>0</v>
      </c>
    </row>
    <row r="725" spans="1:15" hidden="1" x14ac:dyDescent="0.25">
      <c r="A725" s="1">
        <v>40740</v>
      </c>
      <c r="B725" t="s">
        <v>16</v>
      </c>
      <c r="C725" t="s">
        <v>11</v>
      </c>
      <c r="D725" s="3">
        <v>42005</v>
      </c>
      <c r="E725" t="s">
        <v>389</v>
      </c>
      <c r="F725" t="s">
        <v>14</v>
      </c>
      <c r="G725" t="s">
        <v>26</v>
      </c>
      <c r="H725">
        <v>1</v>
      </c>
      <c r="I725">
        <v>1</v>
      </c>
      <c r="J725">
        <v>43</v>
      </c>
      <c r="K725" t="str">
        <f t="shared" si="56"/>
        <v>ArgentinaUruguay</v>
      </c>
      <c r="L725" t="str">
        <f t="shared" si="57"/>
        <v>UruguayArgentina</v>
      </c>
      <c r="M725">
        <f t="shared" si="58"/>
        <v>0</v>
      </c>
      <c r="N725">
        <f t="shared" si="59"/>
        <v>0</v>
      </c>
      <c r="O725">
        <f t="shared" si="60"/>
        <v>1</v>
      </c>
    </row>
    <row r="726" spans="1:15" hidden="1" x14ac:dyDescent="0.25">
      <c r="A726" s="1">
        <v>40741</v>
      </c>
      <c r="B726" t="s">
        <v>43</v>
      </c>
      <c r="C726" t="s">
        <v>19</v>
      </c>
      <c r="D726" s="2" t="s">
        <v>24</v>
      </c>
      <c r="E726" t="s">
        <v>387</v>
      </c>
      <c r="F726" t="s">
        <v>14</v>
      </c>
      <c r="G726" t="s">
        <v>46</v>
      </c>
      <c r="H726">
        <v>0</v>
      </c>
      <c r="I726">
        <v>0</v>
      </c>
      <c r="J726">
        <v>43</v>
      </c>
      <c r="K726" t="str">
        <f t="shared" si="56"/>
        <v>ParaguayBrazil</v>
      </c>
      <c r="L726" t="str">
        <f t="shared" si="57"/>
        <v>BrazilParaguay</v>
      </c>
      <c r="M726">
        <f t="shared" si="58"/>
        <v>0</v>
      </c>
      <c r="N726">
        <f t="shared" si="59"/>
        <v>0</v>
      </c>
      <c r="O726">
        <f t="shared" si="60"/>
        <v>1</v>
      </c>
    </row>
    <row r="727" spans="1:15" hidden="1" x14ac:dyDescent="0.25">
      <c r="A727" s="1">
        <v>40741</v>
      </c>
      <c r="B727" t="s">
        <v>10</v>
      </c>
      <c r="C727" t="s">
        <v>211</v>
      </c>
      <c r="D727" s="3">
        <v>42036</v>
      </c>
      <c r="E727" t="s">
        <v>390</v>
      </c>
      <c r="F727" t="s">
        <v>14</v>
      </c>
      <c r="G727" t="s">
        <v>212</v>
      </c>
      <c r="H727">
        <v>1</v>
      </c>
      <c r="I727">
        <v>2</v>
      </c>
      <c r="J727">
        <v>43</v>
      </c>
      <c r="K727" t="str">
        <f t="shared" si="56"/>
        <v>ChileVenezuela</v>
      </c>
      <c r="L727" t="str">
        <f t="shared" si="57"/>
        <v>VenezuelaChile</v>
      </c>
      <c r="M727">
        <f t="shared" si="58"/>
        <v>0</v>
      </c>
      <c r="N727">
        <f t="shared" si="59"/>
        <v>1</v>
      </c>
      <c r="O727">
        <f t="shared" si="60"/>
        <v>0</v>
      </c>
    </row>
    <row r="728" spans="1:15" hidden="1" x14ac:dyDescent="0.25">
      <c r="A728" s="1">
        <v>40743</v>
      </c>
      <c r="B728" t="s">
        <v>66</v>
      </c>
      <c r="C728" t="s">
        <v>11</v>
      </c>
      <c r="D728" s="2" t="s">
        <v>37</v>
      </c>
      <c r="E728" t="s">
        <v>387</v>
      </c>
      <c r="F728" t="s">
        <v>14</v>
      </c>
      <c r="G728" t="s">
        <v>67</v>
      </c>
      <c r="H728">
        <v>0</v>
      </c>
      <c r="I728">
        <v>2</v>
      </c>
      <c r="J728">
        <v>43</v>
      </c>
      <c r="K728" t="str">
        <f t="shared" si="56"/>
        <v>PeruUruguay</v>
      </c>
      <c r="L728" t="str">
        <f t="shared" si="57"/>
        <v>UruguayPeru</v>
      </c>
      <c r="M728">
        <f t="shared" si="58"/>
        <v>0</v>
      </c>
      <c r="N728">
        <f t="shared" si="59"/>
        <v>1</v>
      </c>
      <c r="O728">
        <f t="shared" si="60"/>
        <v>0</v>
      </c>
    </row>
    <row r="729" spans="1:15" hidden="1" x14ac:dyDescent="0.25">
      <c r="A729" s="1">
        <v>40744</v>
      </c>
      <c r="B729" t="s">
        <v>43</v>
      </c>
      <c r="C729" t="s">
        <v>211</v>
      </c>
      <c r="D729" s="2" t="s">
        <v>24</v>
      </c>
      <c r="E729" t="s">
        <v>391</v>
      </c>
      <c r="F729" t="s">
        <v>14</v>
      </c>
      <c r="G729" t="s">
        <v>222</v>
      </c>
      <c r="H729">
        <v>0</v>
      </c>
      <c r="I729">
        <v>0</v>
      </c>
      <c r="J729">
        <v>43</v>
      </c>
      <c r="K729" t="str">
        <f t="shared" si="56"/>
        <v>ParaguayVenezuela</v>
      </c>
      <c r="L729" t="str">
        <f t="shared" si="57"/>
        <v>VenezuelaParaguay</v>
      </c>
      <c r="M729">
        <f t="shared" si="58"/>
        <v>0</v>
      </c>
      <c r="N729">
        <f t="shared" si="59"/>
        <v>0</v>
      </c>
      <c r="O729">
        <f t="shared" si="60"/>
        <v>1</v>
      </c>
    </row>
    <row r="730" spans="1:15" hidden="1" x14ac:dyDescent="0.25">
      <c r="A730" s="1">
        <v>40747</v>
      </c>
      <c r="B730" t="s">
        <v>66</v>
      </c>
      <c r="C730" t="s">
        <v>211</v>
      </c>
      <c r="D730" s="3">
        <v>42008</v>
      </c>
      <c r="E730" t="s">
        <v>387</v>
      </c>
      <c r="F730" t="s">
        <v>14</v>
      </c>
      <c r="G730" t="s">
        <v>273</v>
      </c>
      <c r="H730">
        <v>4</v>
      </c>
      <c r="I730">
        <v>1</v>
      </c>
      <c r="J730">
        <v>43</v>
      </c>
      <c r="K730" t="str">
        <f t="shared" si="56"/>
        <v>PeruVenezuela</v>
      </c>
      <c r="L730" t="str">
        <f t="shared" si="57"/>
        <v>VenezuelaPeru</v>
      </c>
      <c r="M730">
        <f t="shared" si="58"/>
        <v>1</v>
      </c>
      <c r="N730">
        <f t="shared" si="59"/>
        <v>0</v>
      </c>
      <c r="O730">
        <f t="shared" si="60"/>
        <v>0</v>
      </c>
    </row>
    <row r="731" spans="1:15" hidden="1" x14ac:dyDescent="0.25">
      <c r="A731" s="1">
        <v>40748</v>
      </c>
      <c r="B731" t="s">
        <v>43</v>
      </c>
      <c r="C731" t="s">
        <v>11</v>
      </c>
      <c r="D731" s="2" t="s">
        <v>45</v>
      </c>
      <c r="E731" t="s">
        <v>13</v>
      </c>
      <c r="F731" t="s">
        <v>14</v>
      </c>
      <c r="G731" t="s">
        <v>44</v>
      </c>
      <c r="H731">
        <v>0</v>
      </c>
      <c r="I731">
        <v>3</v>
      </c>
      <c r="J731">
        <v>43</v>
      </c>
      <c r="K731" t="str">
        <f t="shared" si="56"/>
        <v>ParaguayUruguay</v>
      </c>
      <c r="L731" t="str">
        <f t="shared" si="57"/>
        <v>UruguayParaguay</v>
      </c>
      <c r="M731">
        <f t="shared" si="58"/>
        <v>0</v>
      </c>
      <c r="N731">
        <f t="shared" si="59"/>
        <v>1</v>
      </c>
      <c r="O731">
        <f t="shared" si="60"/>
        <v>0</v>
      </c>
    </row>
    <row r="732" spans="1:15" hidden="1" x14ac:dyDescent="0.25">
      <c r="A732" s="1">
        <v>42166</v>
      </c>
      <c r="B732" t="s">
        <v>10</v>
      </c>
      <c r="C732" t="s">
        <v>99</v>
      </c>
      <c r="D732" s="2" t="s">
        <v>42</v>
      </c>
      <c r="E732" t="s">
        <v>60</v>
      </c>
      <c r="F732" t="s">
        <v>14</v>
      </c>
      <c r="G732" t="s">
        <v>104</v>
      </c>
      <c r="H732">
        <v>2</v>
      </c>
      <c r="I732">
        <v>0</v>
      </c>
      <c r="J732">
        <v>44</v>
      </c>
      <c r="K732" t="str">
        <f t="shared" si="56"/>
        <v>ChileEcuador</v>
      </c>
      <c r="L732" t="str">
        <f t="shared" si="57"/>
        <v>EcuadorChile</v>
      </c>
      <c r="M732">
        <f t="shared" si="58"/>
        <v>1</v>
      </c>
      <c r="N732">
        <f t="shared" si="59"/>
        <v>0</v>
      </c>
      <c r="O732">
        <f t="shared" si="60"/>
        <v>0</v>
      </c>
    </row>
    <row r="733" spans="1:15" hidden="1" x14ac:dyDescent="0.25">
      <c r="A733" s="1">
        <v>42167</v>
      </c>
      <c r="B733" t="s">
        <v>56</v>
      </c>
      <c r="C733" t="s">
        <v>482</v>
      </c>
      <c r="D733" s="2" t="s">
        <v>24</v>
      </c>
      <c r="E733" t="s">
        <v>39</v>
      </c>
      <c r="F733" t="s">
        <v>14</v>
      </c>
      <c r="G733" t="s">
        <v>295</v>
      </c>
      <c r="H733">
        <v>0</v>
      </c>
      <c r="I733">
        <v>0</v>
      </c>
      <c r="J733">
        <v>44</v>
      </c>
      <c r="K733" t="str">
        <f t="shared" si="56"/>
        <v>BoliviaMexico</v>
      </c>
      <c r="L733" t="str">
        <f t="shared" si="57"/>
        <v>MexicoBolivia</v>
      </c>
      <c r="M733">
        <f t="shared" si="58"/>
        <v>0</v>
      </c>
      <c r="N733">
        <f t="shared" si="59"/>
        <v>0</v>
      </c>
      <c r="O733">
        <f t="shared" si="60"/>
        <v>1</v>
      </c>
    </row>
    <row r="734" spans="1:15" x14ac:dyDescent="0.25">
      <c r="A734" s="1">
        <v>42168</v>
      </c>
      <c r="B734" t="s">
        <v>11</v>
      </c>
      <c r="C734" t="s">
        <v>396</v>
      </c>
      <c r="D734" s="2" t="s">
        <v>29</v>
      </c>
      <c r="E734" t="s">
        <v>397</v>
      </c>
      <c r="F734" t="s">
        <v>14</v>
      </c>
      <c r="G734" t="s">
        <v>398</v>
      </c>
      <c r="H734">
        <v>1</v>
      </c>
      <c r="I734">
        <v>0</v>
      </c>
      <c r="J734">
        <v>44</v>
      </c>
      <c r="K734" t="str">
        <f t="shared" si="56"/>
        <v>UruguayJamaica</v>
      </c>
      <c r="L734" t="str">
        <f t="shared" si="57"/>
        <v>JamaicaUruguay</v>
      </c>
      <c r="M734">
        <f t="shared" si="58"/>
        <v>1</v>
      </c>
      <c r="N734">
        <f t="shared" si="59"/>
        <v>0</v>
      </c>
      <c r="O734">
        <f t="shared" si="60"/>
        <v>0</v>
      </c>
    </row>
    <row r="735" spans="1:15" hidden="1" x14ac:dyDescent="0.25">
      <c r="A735" s="1">
        <v>42168</v>
      </c>
      <c r="B735" t="s">
        <v>16</v>
      </c>
      <c r="C735" t="s">
        <v>43</v>
      </c>
      <c r="D735" s="3">
        <v>42037</v>
      </c>
      <c r="E735" t="s">
        <v>397</v>
      </c>
      <c r="F735" t="s">
        <v>14</v>
      </c>
      <c r="G735" t="s">
        <v>48</v>
      </c>
      <c r="H735">
        <v>2</v>
      </c>
      <c r="I735">
        <v>2</v>
      </c>
      <c r="J735">
        <v>44</v>
      </c>
      <c r="K735" t="str">
        <f t="shared" si="56"/>
        <v>ArgentinaParaguay</v>
      </c>
      <c r="L735" t="str">
        <f t="shared" si="57"/>
        <v>ParaguayArgentina</v>
      </c>
      <c r="M735">
        <f t="shared" si="58"/>
        <v>0</v>
      </c>
      <c r="N735">
        <f t="shared" si="59"/>
        <v>0</v>
      </c>
      <c r="O735">
        <f t="shared" si="60"/>
        <v>1</v>
      </c>
    </row>
    <row r="736" spans="1:15" hidden="1" x14ac:dyDescent="0.25">
      <c r="A736" s="1">
        <v>42169</v>
      </c>
      <c r="B736" t="s">
        <v>66</v>
      </c>
      <c r="C736" t="s">
        <v>19</v>
      </c>
      <c r="D736" s="3">
        <v>42036</v>
      </c>
      <c r="E736" t="s">
        <v>399</v>
      </c>
      <c r="F736" t="s">
        <v>14</v>
      </c>
      <c r="G736" t="s">
        <v>83</v>
      </c>
      <c r="H736">
        <v>1</v>
      </c>
      <c r="I736">
        <v>2</v>
      </c>
      <c r="J736">
        <v>44</v>
      </c>
      <c r="K736" t="str">
        <f t="shared" si="56"/>
        <v>PeruBrazil</v>
      </c>
      <c r="L736" t="str">
        <f t="shared" si="57"/>
        <v>BrazilPeru</v>
      </c>
      <c r="M736">
        <f t="shared" si="58"/>
        <v>0</v>
      </c>
      <c r="N736">
        <f t="shared" si="59"/>
        <v>1</v>
      </c>
      <c r="O736">
        <f t="shared" si="60"/>
        <v>0</v>
      </c>
    </row>
    <row r="737" spans="1:15" hidden="1" x14ac:dyDescent="0.25">
      <c r="A737" s="1">
        <v>42169</v>
      </c>
      <c r="B737" t="s">
        <v>125</v>
      </c>
      <c r="C737" t="s">
        <v>211</v>
      </c>
      <c r="D737" s="2" t="s">
        <v>33</v>
      </c>
      <c r="E737" t="s">
        <v>400</v>
      </c>
      <c r="F737" t="s">
        <v>14</v>
      </c>
      <c r="G737" t="s">
        <v>241</v>
      </c>
      <c r="H737">
        <v>0</v>
      </c>
      <c r="I737">
        <v>1</v>
      </c>
      <c r="J737">
        <v>44</v>
      </c>
      <c r="K737" t="str">
        <f t="shared" si="56"/>
        <v>ColombiaVenezuela</v>
      </c>
      <c r="L737" t="str">
        <f t="shared" si="57"/>
        <v>VenezuelaColombia</v>
      </c>
      <c r="M737">
        <f t="shared" si="58"/>
        <v>0</v>
      </c>
      <c r="N737">
        <f t="shared" si="59"/>
        <v>1</v>
      </c>
      <c r="O737">
        <f t="shared" si="60"/>
        <v>0</v>
      </c>
    </row>
    <row r="738" spans="1:15" hidden="1" x14ac:dyDescent="0.25">
      <c r="A738" s="1">
        <v>42170</v>
      </c>
      <c r="B738" t="s">
        <v>10</v>
      </c>
      <c r="C738" t="s">
        <v>482</v>
      </c>
      <c r="D738" s="3">
        <v>42066</v>
      </c>
      <c r="E738" t="s">
        <v>60</v>
      </c>
      <c r="F738" t="s">
        <v>14</v>
      </c>
      <c r="G738" t="s">
        <v>330</v>
      </c>
      <c r="H738">
        <v>3</v>
      </c>
      <c r="I738">
        <v>3</v>
      </c>
      <c r="J738">
        <v>44</v>
      </c>
      <c r="K738" t="str">
        <f t="shared" si="56"/>
        <v>ChileMexico</v>
      </c>
      <c r="L738" t="str">
        <f t="shared" si="57"/>
        <v>MexicoChile</v>
      </c>
      <c r="M738">
        <f t="shared" si="58"/>
        <v>0</v>
      </c>
      <c r="N738">
        <f t="shared" si="59"/>
        <v>0</v>
      </c>
      <c r="O738">
        <f t="shared" si="60"/>
        <v>1</v>
      </c>
    </row>
    <row r="739" spans="1:15" hidden="1" x14ac:dyDescent="0.25">
      <c r="A739" s="1">
        <v>42170</v>
      </c>
      <c r="B739" t="s">
        <v>56</v>
      </c>
      <c r="C739" t="s">
        <v>99</v>
      </c>
      <c r="D739" s="3">
        <v>42038</v>
      </c>
      <c r="E739" t="s">
        <v>401</v>
      </c>
      <c r="F739" t="s">
        <v>14</v>
      </c>
      <c r="G739" t="s">
        <v>135</v>
      </c>
      <c r="H739">
        <v>3</v>
      </c>
      <c r="I739">
        <v>2</v>
      </c>
      <c r="J739">
        <v>44</v>
      </c>
      <c r="K739" t="str">
        <f t="shared" si="56"/>
        <v>BoliviaEcuador</v>
      </c>
      <c r="L739" t="str">
        <f t="shared" si="57"/>
        <v>EcuadorBolivia</v>
      </c>
      <c r="M739">
        <f t="shared" si="58"/>
        <v>1</v>
      </c>
      <c r="N739">
        <f t="shared" si="59"/>
        <v>0</v>
      </c>
      <c r="O739">
        <f t="shared" si="60"/>
        <v>0</v>
      </c>
    </row>
    <row r="740" spans="1:15" hidden="1" x14ac:dyDescent="0.25">
      <c r="A740" s="1">
        <v>42171</v>
      </c>
      <c r="B740" t="s">
        <v>16</v>
      </c>
      <c r="C740" t="s">
        <v>11</v>
      </c>
      <c r="D740" s="2" t="s">
        <v>29</v>
      </c>
      <c r="E740" t="s">
        <v>402</v>
      </c>
      <c r="F740" t="s">
        <v>14</v>
      </c>
      <c r="G740" t="s">
        <v>26</v>
      </c>
      <c r="H740">
        <v>1</v>
      </c>
      <c r="I740">
        <v>0</v>
      </c>
      <c r="J740">
        <v>44</v>
      </c>
      <c r="K740" t="str">
        <f t="shared" si="56"/>
        <v>ArgentinaUruguay</v>
      </c>
      <c r="L740" t="str">
        <f t="shared" si="57"/>
        <v>UruguayArgentina</v>
      </c>
      <c r="M740">
        <f t="shared" si="58"/>
        <v>1</v>
      </c>
      <c r="N740">
        <f t="shared" si="59"/>
        <v>0</v>
      </c>
      <c r="O740">
        <f t="shared" si="60"/>
        <v>0</v>
      </c>
    </row>
    <row r="741" spans="1:15" hidden="1" x14ac:dyDescent="0.25">
      <c r="A741" s="1">
        <v>42171</v>
      </c>
      <c r="B741" t="s">
        <v>43</v>
      </c>
      <c r="C741" t="s">
        <v>396</v>
      </c>
      <c r="D741" s="2" t="s">
        <v>29</v>
      </c>
      <c r="E741" t="s">
        <v>397</v>
      </c>
      <c r="F741" t="s">
        <v>14</v>
      </c>
      <c r="G741" t="s">
        <v>403</v>
      </c>
      <c r="H741">
        <v>1</v>
      </c>
      <c r="I741">
        <v>0</v>
      </c>
      <c r="J741">
        <v>44</v>
      </c>
      <c r="K741" t="str">
        <f t="shared" si="56"/>
        <v>ParaguayJamaica</v>
      </c>
      <c r="L741" t="str">
        <f t="shared" si="57"/>
        <v>JamaicaParaguay</v>
      </c>
      <c r="M741">
        <f t="shared" si="58"/>
        <v>1</v>
      </c>
      <c r="N741">
        <f t="shared" si="59"/>
        <v>0</v>
      </c>
      <c r="O741">
        <f t="shared" si="60"/>
        <v>0</v>
      </c>
    </row>
    <row r="742" spans="1:15" hidden="1" x14ac:dyDescent="0.25">
      <c r="A742" s="1">
        <v>42172</v>
      </c>
      <c r="B742" t="s">
        <v>125</v>
      </c>
      <c r="C742" t="s">
        <v>19</v>
      </c>
      <c r="D742" s="2" t="s">
        <v>29</v>
      </c>
      <c r="E742" t="s">
        <v>60</v>
      </c>
      <c r="F742" t="s">
        <v>14</v>
      </c>
      <c r="G742" t="s">
        <v>126</v>
      </c>
      <c r="H742">
        <v>1</v>
      </c>
      <c r="I742">
        <v>0</v>
      </c>
      <c r="J742">
        <v>44</v>
      </c>
      <c r="K742" t="str">
        <f t="shared" si="56"/>
        <v>ColombiaBrazil</v>
      </c>
      <c r="L742" t="str">
        <f t="shared" si="57"/>
        <v>BrazilColombia</v>
      </c>
      <c r="M742">
        <f t="shared" si="58"/>
        <v>1</v>
      </c>
      <c r="N742">
        <f t="shared" si="59"/>
        <v>0</v>
      </c>
      <c r="O742">
        <f t="shared" si="60"/>
        <v>0</v>
      </c>
    </row>
    <row r="743" spans="1:15" hidden="1" x14ac:dyDescent="0.25">
      <c r="A743" s="1">
        <v>42173</v>
      </c>
      <c r="B743" t="s">
        <v>66</v>
      </c>
      <c r="C743" t="s">
        <v>211</v>
      </c>
      <c r="D743" s="2" t="s">
        <v>29</v>
      </c>
      <c r="E743" t="s">
        <v>278</v>
      </c>
      <c r="F743" t="s">
        <v>14</v>
      </c>
      <c r="G743" t="s">
        <v>273</v>
      </c>
      <c r="H743">
        <v>1</v>
      </c>
      <c r="I743">
        <v>0</v>
      </c>
      <c r="J743">
        <v>44</v>
      </c>
      <c r="K743" t="str">
        <f t="shared" si="56"/>
        <v>PeruVenezuela</v>
      </c>
      <c r="L743" t="str">
        <f t="shared" si="57"/>
        <v>VenezuelaPeru</v>
      </c>
      <c r="M743">
        <f t="shared" si="58"/>
        <v>1</v>
      </c>
      <c r="N743">
        <f t="shared" si="59"/>
        <v>0</v>
      </c>
      <c r="O743">
        <f t="shared" si="60"/>
        <v>0</v>
      </c>
    </row>
    <row r="744" spans="1:15" hidden="1" x14ac:dyDescent="0.25">
      <c r="A744" s="1">
        <v>42174</v>
      </c>
      <c r="B744" t="s">
        <v>56</v>
      </c>
      <c r="C744" t="s">
        <v>10</v>
      </c>
      <c r="D744" s="2" t="s">
        <v>32</v>
      </c>
      <c r="E744" t="s">
        <v>60</v>
      </c>
      <c r="F744" t="s">
        <v>14</v>
      </c>
      <c r="G744" t="s">
        <v>58</v>
      </c>
      <c r="H744">
        <v>0</v>
      </c>
      <c r="I744">
        <v>5</v>
      </c>
      <c r="J744">
        <v>44</v>
      </c>
      <c r="K744" t="str">
        <f t="shared" si="56"/>
        <v>BoliviaChile</v>
      </c>
      <c r="L744" t="str">
        <f t="shared" si="57"/>
        <v>ChileBolivia</v>
      </c>
      <c r="M744">
        <f t="shared" si="58"/>
        <v>0</v>
      </c>
      <c r="N744">
        <f t="shared" si="59"/>
        <v>1</v>
      </c>
      <c r="O744">
        <f t="shared" si="60"/>
        <v>0</v>
      </c>
    </row>
    <row r="745" spans="1:15" hidden="1" x14ac:dyDescent="0.25">
      <c r="A745" s="1">
        <v>42174</v>
      </c>
      <c r="B745" t="s">
        <v>99</v>
      </c>
      <c r="C745" t="s">
        <v>482</v>
      </c>
      <c r="D745" s="3">
        <v>42036</v>
      </c>
      <c r="E745" t="s">
        <v>400</v>
      </c>
      <c r="F745" t="s">
        <v>14</v>
      </c>
      <c r="G745" t="s">
        <v>297</v>
      </c>
      <c r="H745">
        <v>1</v>
      </c>
      <c r="I745">
        <v>2</v>
      </c>
      <c r="J745">
        <v>44</v>
      </c>
      <c r="K745" t="str">
        <f t="shared" si="56"/>
        <v>EcuadorMexico</v>
      </c>
      <c r="L745" t="str">
        <f t="shared" si="57"/>
        <v>MexicoEcuador</v>
      </c>
      <c r="M745">
        <f t="shared" si="58"/>
        <v>0</v>
      </c>
      <c r="N745">
        <f t="shared" si="59"/>
        <v>1</v>
      </c>
      <c r="O745">
        <f t="shared" si="60"/>
        <v>0</v>
      </c>
    </row>
    <row r="746" spans="1:15" hidden="1" x14ac:dyDescent="0.25">
      <c r="A746" s="1">
        <v>42175</v>
      </c>
      <c r="B746" t="s">
        <v>16</v>
      </c>
      <c r="C746" t="s">
        <v>396</v>
      </c>
      <c r="D746" s="2" t="s">
        <v>29</v>
      </c>
      <c r="E746" t="s">
        <v>39</v>
      </c>
      <c r="F746" t="s">
        <v>14</v>
      </c>
      <c r="G746" t="s">
        <v>404</v>
      </c>
      <c r="H746">
        <v>1</v>
      </c>
      <c r="I746">
        <v>0</v>
      </c>
      <c r="J746">
        <v>44</v>
      </c>
      <c r="K746" t="str">
        <f t="shared" si="56"/>
        <v>ArgentinaJamaica</v>
      </c>
      <c r="L746" t="str">
        <f t="shared" si="57"/>
        <v>JamaicaArgentina</v>
      </c>
      <c r="M746">
        <f t="shared" si="58"/>
        <v>1</v>
      </c>
      <c r="N746">
        <f t="shared" si="59"/>
        <v>0</v>
      </c>
      <c r="O746">
        <f t="shared" si="60"/>
        <v>0</v>
      </c>
    </row>
    <row r="747" spans="1:15" hidden="1" x14ac:dyDescent="0.25">
      <c r="A747" s="1">
        <v>42175</v>
      </c>
      <c r="B747" t="s">
        <v>43</v>
      </c>
      <c r="C747" t="s">
        <v>11</v>
      </c>
      <c r="D747" s="3">
        <v>42005</v>
      </c>
      <c r="E747" t="s">
        <v>405</v>
      </c>
      <c r="F747" t="s">
        <v>14</v>
      </c>
      <c r="G747" t="s">
        <v>44</v>
      </c>
      <c r="H747">
        <v>1</v>
      </c>
      <c r="I747">
        <v>1</v>
      </c>
      <c r="J747">
        <v>44</v>
      </c>
      <c r="K747" t="str">
        <f t="shared" si="56"/>
        <v>ParaguayUruguay</v>
      </c>
      <c r="L747" t="str">
        <f t="shared" si="57"/>
        <v>UruguayParaguay</v>
      </c>
      <c r="M747">
        <f t="shared" si="58"/>
        <v>0</v>
      </c>
      <c r="N747">
        <f t="shared" si="59"/>
        <v>0</v>
      </c>
      <c r="O747">
        <f t="shared" si="60"/>
        <v>1</v>
      </c>
    </row>
  </sheetData>
  <autoFilter ref="A1:O747">
    <filterColumn colId="1">
      <filters>
        <filter val="Urugua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B17" sqref="B17"/>
    </sheetView>
  </sheetViews>
  <sheetFormatPr baseColWidth="10" defaultRowHeight="15" x14ac:dyDescent="0.25"/>
  <cols>
    <col min="1" max="2" width="17.5703125" bestFit="1" customWidth="1"/>
    <col min="3" max="19" width="22.42578125" bestFit="1" customWidth="1"/>
    <col min="20" max="20" width="12.5703125" bestFit="1" customWidth="1"/>
  </cols>
  <sheetData>
    <row r="1" spans="1:4" x14ac:dyDescent="0.25">
      <c r="A1" s="4" t="s">
        <v>412</v>
      </c>
      <c r="B1" s="4" t="s">
        <v>412</v>
      </c>
    </row>
    <row r="2" spans="1:4" x14ac:dyDescent="0.25">
      <c r="A2" s="6" t="s">
        <v>16</v>
      </c>
      <c r="B2" s="6" t="s">
        <v>56</v>
      </c>
      <c r="D2" s="7" t="s">
        <v>16</v>
      </c>
    </row>
    <row r="3" spans="1:4" x14ac:dyDescent="0.25">
      <c r="A3" s="6" t="s">
        <v>56</v>
      </c>
      <c r="B3" s="6" t="s">
        <v>19</v>
      </c>
      <c r="D3" s="7" t="s">
        <v>56</v>
      </c>
    </row>
    <row r="4" spans="1:4" x14ac:dyDescent="0.25">
      <c r="A4" s="6" t="s">
        <v>19</v>
      </c>
      <c r="B4" s="6" t="s">
        <v>10</v>
      </c>
      <c r="D4" s="7" t="s">
        <v>19</v>
      </c>
    </row>
    <row r="5" spans="1:4" x14ac:dyDescent="0.25">
      <c r="A5" s="6" t="s">
        <v>10</v>
      </c>
      <c r="B5" s="6" t="s">
        <v>125</v>
      </c>
      <c r="D5" s="7" t="s">
        <v>10</v>
      </c>
    </row>
    <row r="6" spans="1:4" x14ac:dyDescent="0.25">
      <c r="A6" s="6" t="s">
        <v>125</v>
      </c>
      <c r="B6" s="6" t="s">
        <v>319</v>
      </c>
      <c r="D6" s="7" t="s">
        <v>125</v>
      </c>
    </row>
    <row r="7" spans="1:4" x14ac:dyDescent="0.25">
      <c r="A7" s="6" t="s">
        <v>319</v>
      </c>
      <c r="B7" s="6" t="s">
        <v>99</v>
      </c>
      <c r="D7" s="7" t="s">
        <v>319</v>
      </c>
    </row>
    <row r="8" spans="1:4" x14ac:dyDescent="0.25">
      <c r="A8" s="6" t="s">
        <v>99</v>
      </c>
      <c r="B8" s="6" t="s">
        <v>342</v>
      </c>
      <c r="D8" s="7" t="s">
        <v>99</v>
      </c>
    </row>
    <row r="9" spans="1:4" x14ac:dyDescent="0.25">
      <c r="A9" s="6" t="s">
        <v>43</v>
      </c>
      <c r="B9" s="6" t="s">
        <v>396</v>
      </c>
      <c r="D9" s="7" t="s">
        <v>342</v>
      </c>
    </row>
    <row r="10" spans="1:4" x14ac:dyDescent="0.25">
      <c r="A10" s="6" t="s">
        <v>66</v>
      </c>
      <c r="B10" s="6" t="s">
        <v>327</v>
      </c>
      <c r="D10" s="7" t="s">
        <v>396</v>
      </c>
    </row>
    <row r="11" spans="1:4" x14ac:dyDescent="0.25">
      <c r="A11" s="6" t="s">
        <v>11</v>
      </c>
      <c r="B11" s="6" t="s">
        <v>43</v>
      </c>
      <c r="D11" s="7" t="s">
        <v>327</v>
      </c>
    </row>
    <row r="12" spans="1:4" x14ac:dyDescent="0.25">
      <c r="A12" s="6" t="s">
        <v>211</v>
      </c>
      <c r="B12" s="6" t="s">
        <v>66</v>
      </c>
      <c r="D12" s="7" t="s">
        <v>482</v>
      </c>
    </row>
    <row r="13" spans="1:4" x14ac:dyDescent="0.25">
      <c r="A13" s="6" t="s">
        <v>481</v>
      </c>
      <c r="B13" s="6" t="s">
        <v>311</v>
      </c>
      <c r="D13" s="7" t="s">
        <v>43</v>
      </c>
    </row>
    <row r="14" spans="1:4" x14ac:dyDescent="0.25">
      <c r="A14" s="6" t="s">
        <v>482</v>
      </c>
      <c r="B14" s="6" t="s">
        <v>11</v>
      </c>
      <c r="D14" s="7" t="s">
        <v>66</v>
      </c>
    </row>
    <row r="15" spans="1:4" x14ac:dyDescent="0.25">
      <c r="A15" s="6" t="s">
        <v>411</v>
      </c>
      <c r="B15" s="6" t="s">
        <v>211</v>
      </c>
      <c r="D15" s="7" t="s">
        <v>311</v>
      </c>
    </row>
    <row r="16" spans="1:4" x14ac:dyDescent="0.25">
      <c r="B16" s="6" t="s">
        <v>481</v>
      </c>
      <c r="D16" s="7" t="s">
        <v>11</v>
      </c>
    </row>
    <row r="17" spans="2:4" x14ac:dyDescent="0.25">
      <c r="B17" s="6" t="s">
        <v>482</v>
      </c>
      <c r="D17" s="7" t="s">
        <v>211</v>
      </c>
    </row>
    <row r="18" spans="2:4" x14ac:dyDescent="0.25">
      <c r="B18" s="6" t="s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topLeftCell="A98" zoomScale="90" zoomScaleNormal="90" workbookViewId="0">
      <selection activeCell="C117" sqref="C117"/>
    </sheetView>
  </sheetViews>
  <sheetFormatPr baseColWidth="10" defaultRowHeight="15" x14ac:dyDescent="0.25"/>
  <cols>
    <col min="1" max="1" width="5.28515625" style="8" customWidth="1"/>
    <col min="2" max="2" width="10" style="8" customWidth="1"/>
    <col min="3" max="18" width="9.7109375" style="8" customWidth="1"/>
    <col min="19" max="22" width="11.42578125" style="8"/>
    <col min="23" max="38" width="10" style="8" customWidth="1"/>
    <col min="39" max="16384" width="11.42578125" style="8"/>
  </cols>
  <sheetData>
    <row r="1" spans="1:19" ht="23.25" x14ac:dyDescent="0.35">
      <c r="A1" s="17" t="s">
        <v>504</v>
      </c>
    </row>
    <row r="2" spans="1:19" ht="23.25" x14ac:dyDescent="0.25">
      <c r="C2" s="39" t="s">
        <v>484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9" ht="15.75" thickBot="1" x14ac:dyDescent="0.3">
      <c r="C3" s="14" t="s">
        <v>16</v>
      </c>
      <c r="D3" s="14" t="s">
        <v>56</v>
      </c>
      <c r="E3" s="14" t="s">
        <v>19</v>
      </c>
      <c r="F3" s="14" t="s">
        <v>10</v>
      </c>
      <c r="G3" s="14" t="s">
        <v>125</v>
      </c>
      <c r="H3" s="14" t="s">
        <v>319</v>
      </c>
      <c r="I3" s="14" t="s">
        <v>99</v>
      </c>
      <c r="J3" s="14" t="s">
        <v>342</v>
      </c>
      <c r="K3" s="14" t="s">
        <v>396</v>
      </c>
      <c r="L3" s="14" t="s">
        <v>327</v>
      </c>
      <c r="M3" s="14" t="s">
        <v>482</v>
      </c>
      <c r="N3" s="14" t="s">
        <v>43</v>
      </c>
      <c r="O3" s="14" t="s">
        <v>66</v>
      </c>
      <c r="P3" s="14" t="s">
        <v>311</v>
      </c>
      <c r="Q3" s="14" t="s">
        <v>11</v>
      </c>
      <c r="R3" s="14" t="s">
        <v>211</v>
      </c>
      <c r="S3" s="14" t="s">
        <v>505</v>
      </c>
    </row>
    <row r="4" spans="1:19" x14ac:dyDescent="0.25">
      <c r="A4" s="40" t="s">
        <v>483</v>
      </c>
      <c r="B4" s="13" t="s">
        <v>16</v>
      </c>
      <c r="C4" s="9"/>
      <c r="D4" s="15">
        <f>GETPIVOTDATA("Suma de GanoEquipo1",Hoja4!$A$3,"id1",CONCATENATE($B$4,D3))</f>
        <v>10</v>
      </c>
      <c r="E4" s="15">
        <f>GETPIVOTDATA("Suma de GanoEquipo1",Hoja4!$A$3,"id1",CONCATENATE($B$4,E3))</f>
        <v>15</v>
      </c>
      <c r="F4" s="15">
        <f>GETPIVOTDATA("Suma de GanoEquipo1",Hoja4!$A$3,"id1",CONCATENATE($B$4,F3))</f>
        <v>18</v>
      </c>
      <c r="G4" s="15">
        <f>GETPIVOTDATA("Suma de GanoEquipo1",Hoja4!$A$3,"id1",CONCATENATE($B$4,G3))</f>
        <v>7</v>
      </c>
      <c r="H4" s="15">
        <f>GETPIVOTDATA("Suma de GanoEquipo1",Hoja4!$A$3,"id1",CONCATENATE($B$4,H3))</f>
        <v>1</v>
      </c>
      <c r="I4" s="15">
        <f>GETPIVOTDATA("Suma de GanoEquipo1",Hoja4!$A$3,"id1",CONCATENATE($B$4,I3))</f>
        <v>10</v>
      </c>
      <c r="J4" s="16"/>
      <c r="K4" s="15">
        <f>GETPIVOTDATA("Suma de GanoEquipo1",Hoja4!$A$3,"id1",CONCATENATE($B$4,K3))</f>
        <v>1</v>
      </c>
      <c r="L4" s="16"/>
      <c r="M4" s="15">
        <f>GETPIVOTDATA("Suma de GanoEquipo1",Hoja4!$A$3,"id1",CONCATENATE($B$4,M3))</f>
        <v>2</v>
      </c>
      <c r="N4" s="15">
        <f>GETPIVOTDATA("Suma de GanoEquipo1",Hoja4!$A$3,"id1",CONCATENATE($B$4,N3))</f>
        <v>18</v>
      </c>
      <c r="O4" s="15">
        <f>GETPIVOTDATA("Suma de GanoEquipo1",Hoja4!$A$3,"id1",CONCATENATE($B$4,O3))</f>
        <v>12</v>
      </c>
      <c r="P4" s="15">
        <f>GETPIVOTDATA("Suma de GanoEquipo1",Hoja4!$A$3,"id1",CONCATENATE($B$4,P3))</f>
        <v>1</v>
      </c>
      <c r="Q4" s="15">
        <f>GETPIVOTDATA("Suma de GanoEquipo1",Hoja4!$A$3,"id1",CONCATENATE($B$4,Q3))</f>
        <v>14</v>
      </c>
      <c r="R4" s="20">
        <f>GETPIVOTDATA("Suma de GanoEquipo1",Hoja4!$A$3,"id1",CONCATENATE($B$4,R3))</f>
        <v>4</v>
      </c>
      <c r="S4" s="12">
        <f>SUM(C4:R4)</f>
        <v>113</v>
      </c>
    </row>
    <row r="5" spans="1:19" x14ac:dyDescent="0.25">
      <c r="A5" s="40"/>
      <c r="B5" s="13" t="s">
        <v>56</v>
      </c>
      <c r="C5" s="21"/>
      <c r="D5" s="10"/>
      <c r="E5" s="18">
        <f>GETPIVOTDATA("Suma de GanoEquipo1",Hoja4!$A$3,"id1",CONCATENATE($B$5,E3))</f>
        <v>2</v>
      </c>
      <c r="F5" s="18">
        <f>GETPIVOTDATA("Suma de GanoEquipo1",Hoja4!$A$3,"id1",CONCATENATE($B$5,F3))</f>
        <v>2</v>
      </c>
      <c r="G5" s="18">
        <f>GETPIVOTDATA("Suma de GanoEquipo1",Hoja4!$A$3,"id1",CONCATENATE($B$5,G3))</f>
        <v>3</v>
      </c>
      <c r="H5" s="18">
        <f>GETPIVOTDATA("Suma de GanoEquipo1",Hoja4!$A$3,"id1",CONCATENATE($B$5,H3))</f>
        <v>0</v>
      </c>
      <c r="I5" s="18">
        <f>GETPIVOTDATA("Suma de GanoEquipo1",Hoja4!$A$3,"id1",CONCATENATE($B$5,I3))</f>
        <v>2</v>
      </c>
      <c r="J5" s="18">
        <f>GETPIVOTDATA("Suma de GanoEquipo1",Hoja4!$A$3,"id1",CONCATENATE($B$5,J3))</f>
        <v>0</v>
      </c>
      <c r="K5" s="19"/>
      <c r="L5" s="18">
        <f>GETPIVOTDATA("Suma de GanoEquipo1",Hoja4!$A$3,"id1",CONCATENATE($B$5,L3))</f>
        <v>0</v>
      </c>
      <c r="M5" s="18">
        <f>GETPIVOTDATA("Suma de GanoEquipo1",Hoja4!$A$3,"id1",CONCATENATE($B$5,M3))</f>
        <v>1</v>
      </c>
      <c r="N5" s="18">
        <f>GETPIVOTDATA("Suma de GanoEquipo1",Hoja4!$A$3,"id1",CONCATENATE($B$5,N3))</f>
        <v>1</v>
      </c>
      <c r="O5" s="18">
        <f>GETPIVOTDATA("Suma de GanoEquipo1",Hoja4!$A$3,"id1",CONCATENATE($B$5,O3))</f>
        <v>3</v>
      </c>
      <c r="P5" s="18">
        <f>GETPIVOTDATA("Suma de GanoEquipo1",Hoja4!$A$3,"id1",CONCATENATE($B$5,P3))</f>
        <v>1</v>
      </c>
      <c r="Q5" s="18">
        <f>GETPIVOTDATA("Suma de GanoEquipo1",Hoja4!$A$3,"id1",CONCATENATE($B$5,Q3))</f>
        <v>2</v>
      </c>
      <c r="R5" s="22">
        <f>GETPIVOTDATA("Suma de GanoEquipo1",Hoja4!$A$3,"id1",CONCATENATE($B$5,R3))</f>
        <v>1</v>
      </c>
      <c r="S5" s="12">
        <f t="shared" ref="S5:S19" si="0">SUM(C5:R5)</f>
        <v>18</v>
      </c>
    </row>
    <row r="6" spans="1:19" x14ac:dyDescent="0.25">
      <c r="A6" s="40"/>
      <c r="B6" s="13" t="s">
        <v>19</v>
      </c>
      <c r="C6" s="21"/>
      <c r="D6" s="19"/>
      <c r="E6" s="10"/>
      <c r="F6" s="19"/>
      <c r="G6" s="19"/>
      <c r="H6" s="18">
        <f>GETPIVOTDATA("Suma de GanoEquipo1",Hoja4!$A$3,"id1",CONCATENATE($B$6,H3))</f>
        <v>2</v>
      </c>
      <c r="I6" s="19"/>
      <c r="J6" s="18">
        <f>GETPIVOTDATA("Suma de GanoEquipo1",Hoja4!$A$3,"id1",CONCATENATE($B$6,J3))</f>
        <v>0</v>
      </c>
      <c r="K6" s="19"/>
      <c r="L6" s="19"/>
      <c r="M6" s="18">
        <f>GETPIVOTDATA("Suma de GanoEquipo1",Hoja4!$A$3,"id1",CONCATENATE($B$6,M3))</f>
        <v>4</v>
      </c>
      <c r="N6" s="19"/>
      <c r="O6" s="19"/>
      <c r="P6" s="18">
        <f>GETPIVOTDATA("Suma de GanoEquipo1",Hoja4!$A$3,"id1",CONCATENATE($B$6,P3))</f>
        <v>1</v>
      </c>
      <c r="Q6" s="19"/>
      <c r="R6" s="23"/>
      <c r="S6" s="12">
        <f t="shared" si="0"/>
        <v>7</v>
      </c>
    </row>
    <row r="7" spans="1:19" x14ac:dyDescent="0.25">
      <c r="A7" s="40"/>
      <c r="B7" s="13" t="s">
        <v>10</v>
      </c>
      <c r="C7" s="21"/>
      <c r="D7" s="19"/>
      <c r="E7" s="18">
        <f>GETPIVOTDATA("Suma de GanoEquipo1",Hoja4!$A$3,"id1",CONCATENATE($B$7,E3))</f>
        <v>3</v>
      </c>
      <c r="F7" s="10"/>
      <c r="G7" s="18">
        <f>GETPIVOTDATA("Suma de GanoEquipo1",Hoja4!$A$3,"id1",CONCATENATE($B$7,G3))</f>
        <v>7</v>
      </c>
      <c r="H7" s="18">
        <f>GETPIVOTDATA("Suma de GanoEquipo1",Hoja4!$A$3,"id1",CONCATENATE($B$7,H3))</f>
        <v>0</v>
      </c>
      <c r="I7" s="18">
        <f>GETPIVOTDATA("Suma de GanoEquipo1",Hoja4!$A$3,"id1",CONCATENATE($B$7,I3))</f>
        <v>12</v>
      </c>
      <c r="J7" s="19"/>
      <c r="K7" s="19"/>
      <c r="L7" s="19"/>
      <c r="M7" s="18">
        <f>GETPIVOTDATA("Suma de GanoEquipo1",Hoja4!$A$3,"id1",CONCATENATE($B$7,M3))</f>
        <v>1</v>
      </c>
      <c r="N7" s="18">
        <f>GETPIVOTDATA("Suma de GanoEquipo1",Hoja4!$A$3,"id1",CONCATENATE($B$7,N3))</f>
        <v>7</v>
      </c>
      <c r="O7" s="18">
        <f>GETPIVOTDATA("Suma de GanoEquipo1",Hoja4!$A$3,"id1",CONCATENATE($B$7,O3))</f>
        <v>7</v>
      </c>
      <c r="P7" s="18">
        <f>GETPIVOTDATA("Suma de GanoEquipo1",Hoja4!$A$3,"id1",CONCATENATE($B$7,P3))</f>
        <v>0</v>
      </c>
      <c r="Q7" s="18">
        <f>GETPIVOTDATA("Suma de GanoEquipo1",Hoja4!$A$3,"id1",CONCATENATE($B$7,Q3))</f>
        <v>6</v>
      </c>
      <c r="R7" s="22">
        <f>GETPIVOTDATA("Suma de GanoEquipo1",Hoja4!$A$3,"id1",CONCATENATE($B$7,R3))</f>
        <v>7</v>
      </c>
      <c r="S7" s="12">
        <f t="shared" si="0"/>
        <v>50</v>
      </c>
    </row>
    <row r="8" spans="1:19" x14ac:dyDescent="0.25">
      <c r="A8" s="40"/>
      <c r="B8" s="13" t="s">
        <v>125</v>
      </c>
      <c r="C8" s="21"/>
      <c r="D8" s="19"/>
      <c r="E8" s="18">
        <f>GETPIVOTDATA("Suma de GanoEquipo1",Hoja4!$A$3,"id1",CONCATENATE($B$8,E3))</f>
        <v>2</v>
      </c>
      <c r="F8" s="19"/>
      <c r="G8" s="10"/>
      <c r="H8" s="18">
        <f>GETPIVOTDATA("Suma de GanoEquipo1",Hoja4!$A$3,"id1",CONCATENATE($B$8,H3))</f>
        <v>3</v>
      </c>
      <c r="I8" s="18">
        <f>GETPIVOTDATA("Suma de GanoEquipo1",Hoja4!$A$3,"id1",CONCATENATE($B$8,I3))</f>
        <v>9</v>
      </c>
      <c r="J8" s="18">
        <f>GETPIVOTDATA("Suma de GanoEquipo1",Hoja4!$A$3,"id1",CONCATENATE($B$8,J3))</f>
        <v>1</v>
      </c>
      <c r="K8" s="19"/>
      <c r="L8" s="19"/>
      <c r="M8" s="18">
        <f>GETPIVOTDATA("Suma de GanoEquipo1",Hoja4!$A$3,"id1",CONCATENATE($B$8,M3))</f>
        <v>2</v>
      </c>
      <c r="N8" s="18">
        <f>GETPIVOTDATA("Suma de GanoEquipo1",Hoja4!$A$3,"id1",CONCATENATE($B$8,N3))</f>
        <v>3</v>
      </c>
      <c r="O8" s="18">
        <f>GETPIVOTDATA("Suma de GanoEquipo1",Hoja4!$A$3,"id1",CONCATENATE($B$8,O3))</f>
        <v>2</v>
      </c>
      <c r="P8" s="18">
        <f>GETPIVOTDATA("Suma de GanoEquipo1",Hoja4!$A$3,"id1",CONCATENATE($B$8,P3))</f>
        <v>2</v>
      </c>
      <c r="Q8" s="18">
        <f>GETPIVOTDATA("Suma de GanoEquipo1",Hoja4!$A$3,"id1",CONCATENATE($B$8,Q3))</f>
        <v>3</v>
      </c>
      <c r="R8" s="22">
        <f>GETPIVOTDATA("Suma de GanoEquipo1",Hoja4!$A$3,"id1",CONCATENATE($B$8,R3))</f>
        <v>4</v>
      </c>
      <c r="S8" s="12">
        <f t="shared" si="0"/>
        <v>31</v>
      </c>
    </row>
    <row r="9" spans="1:19" x14ac:dyDescent="0.25">
      <c r="A9" s="40"/>
      <c r="B9" s="13" t="s">
        <v>319</v>
      </c>
      <c r="C9" s="21"/>
      <c r="D9" s="19"/>
      <c r="E9" s="19"/>
      <c r="F9" s="19"/>
      <c r="G9" s="19"/>
      <c r="H9" s="10"/>
      <c r="I9" s="19"/>
      <c r="J9" s="18">
        <f>GETPIVOTDATA("Suma de GanoEquipo1",Hoja4!$A$3,"id1",CONCATENATE($B$9,J3))</f>
        <v>1</v>
      </c>
      <c r="K9" s="19"/>
      <c r="L9" s="19"/>
      <c r="M9" s="19"/>
      <c r="N9" s="19"/>
      <c r="O9" s="19"/>
      <c r="P9" s="19"/>
      <c r="Q9" s="19"/>
      <c r="R9" s="23"/>
      <c r="S9" s="12">
        <f t="shared" si="0"/>
        <v>1</v>
      </c>
    </row>
    <row r="10" spans="1:19" x14ac:dyDescent="0.25">
      <c r="A10" s="40"/>
      <c r="B10" s="13" t="s">
        <v>99</v>
      </c>
      <c r="C10" s="21"/>
      <c r="D10" s="19"/>
      <c r="E10" s="18">
        <f>GETPIVOTDATA("Suma de GanoEquipo1",Hoja4!$A$3,"id1",CONCATENATE($B$10,E3))</f>
        <v>0</v>
      </c>
      <c r="F10" s="19"/>
      <c r="G10" s="19"/>
      <c r="H10" s="19"/>
      <c r="I10" s="10"/>
      <c r="J10" s="19"/>
      <c r="K10" s="19"/>
      <c r="L10" s="19"/>
      <c r="M10" s="18">
        <f>GETPIVOTDATA("Suma de GanoEquipo1",Hoja4!$A$3,"id1",CONCATENATE($B$10,M3))</f>
        <v>0</v>
      </c>
      <c r="N10" s="18">
        <f>GETPIVOTDATA("Suma de GanoEquipo1",Hoja4!$A$3,"id1",CONCATENATE($B$10,N3))</f>
        <v>3</v>
      </c>
      <c r="O10" s="18">
        <f>GETPIVOTDATA("Suma de GanoEquipo1",Hoja4!$A$3,"id1",CONCATENATE($B$10,O3))</f>
        <v>1</v>
      </c>
      <c r="P10" s="18">
        <f>GETPIVOTDATA("Suma de GanoEquipo1",Hoja4!$A$3,"id1",CONCATENATE($B$10,P3))</f>
        <v>1</v>
      </c>
      <c r="Q10" s="18">
        <f>GETPIVOTDATA("Suma de GanoEquipo1",Hoja4!$A$3,"id1",CONCATENATE($B$10,Q3))</f>
        <v>3</v>
      </c>
      <c r="R10" s="22">
        <f>GETPIVOTDATA("Suma de GanoEquipo1",Hoja4!$A$3,"id1",CONCATENATE($B$10,R3))</f>
        <v>2</v>
      </c>
      <c r="S10" s="12">
        <f t="shared" si="0"/>
        <v>10</v>
      </c>
    </row>
    <row r="11" spans="1:19" x14ac:dyDescent="0.25">
      <c r="A11" s="40"/>
      <c r="B11" s="13" t="s">
        <v>342</v>
      </c>
      <c r="C11" s="21"/>
      <c r="D11" s="19"/>
      <c r="E11" s="19"/>
      <c r="F11" s="19"/>
      <c r="G11" s="19"/>
      <c r="H11" s="19"/>
      <c r="I11" s="19"/>
      <c r="J11" s="10"/>
      <c r="K11" s="19"/>
      <c r="L11" s="19"/>
      <c r="M11" s="19"/>
      <c r="N11" s="19"/>
      <c r="O11" s="19"/>
      <c r="P11" s="19"/>
      <c r="Q11" s="19"/>
      <c r="R11" s="23"/>
      <c r="S11" s="12">
        <f t="shared" si="0"/>
        <v>0</v>
      </c>
    </row>
    <row r="12" spans="1:19" x14ac:dyDescent="0.25">
      <c r="A12" s="40"/>
      <c r="B12" s="13" t="s">
        <v>396</v>
      </c>
      <c r="C12" s="21"/>
      <c r="D12" s="19"/>
      <c r="E12" s="19"/>
      <c r="F12" s="19"/>
      <c r="G12" s="19"/>
      <c r="H12" s="19"/>
      <c r="I12" s="19"/>
      <c r="J12" s="19"/>
      <c r="K12" s="10"/>
      <c r="L12" s="19"/>
      <c r="M12" s="19"/>
      <c r="N12" s="19"/>
      <c r="O12" s="19"/>
      <c r="P12" s="19"/>
      <c r="Q12" s="19"/>
      <c r="R12" s="23"/>
      <c r="S12" s="12">
        <f t="shared" si="0"/>
        <v>0</v>
      </c>
    </row>
    <row r="13" spans="1:19" x14ac:dyDescent="0.25">
      <c r="A13" s="40"/>
      <c r="B13" s="13" t="s">
        <v>327</v>
      </c>
      <c r="C13" s="21"/>
      <c r="D13" s="19"/>
      <c r="E13" s="19"/>
      <c r="F13" s="19"/>
      <c r="G13" s="19"/>
      <c r="H13" s="19"/>
      <c r="I13" s="19"/>
      <c r="J13" s="19"/>
      <c r="K13" s="19"/>
      <c r="L13" s="10"/>
      <c r="M13" s="19"/>
      <c r="N13" s="19"/>
      <c r="O13" s="19"/>
      <c r="P13" s="19"/>
      <c r="Q13" s="19"/>
      <c r="R13" s="23"/>
      <c r="S13" s="12">
        <f t="shared" si="0"/>
        <v>0</v>
      </c>
    </row>
    <row r="14" spans="1:19" x14ac:dyDescent="0.25">
      <c r="A14" s="40"/>
      <c r="B14" s="13" t="s">
        <v>482</v>
      </c>
      <c r="C14" s="21"/>
      <c r="D14" s="19"/>
      <c r="E14" s="19"/>
      <c r="F14" s="19"/>
      <c r="G14" s="19"/>
      <c r="H14" s="18">
        <f>GETPIVOTDATA("Suma de GanoEquipo1",Hoja4!$A$3,"id1",CONCATENATE($B$14,H3))</f>
        <v>0</v>
      </c>
      <c r="I14" s="19"/>
      <c r="J14" s="19"/>
      <c r="K14" s="19"/>
      <c r="L14" s="19"/>
      <c r="M14" s="10"/>
      <c r="N14" s="19"/>
      <c r="O14" s="19"/>
      <c r="P14" s="18">
        <f>GETPIVOTDATA("Suma de GanoEquipo1",Hoja4!$A$3,"id1",CONCATENATE($B$14,P3))</f>
        <v>0</v>
      </c>
      <c r="Q14" s="19"/>
      <c r="R14" s="23"/>
      <c r="S14" s="12">
        <f t="shared" si="0"/>
        <v>0</v>
      </c>
    </row>
    <row r="15" spans="1:19" x14ac:dyDescent="0.25">
      <c r="A15" s="40"/>
      <c r="B15" s="13" t="s">
        <v>43</v>
      </c>
      <c r="C15" s="21"/>
      <c r="D15" s="19"/>
      <c r="E15" s="18">
        <f>GETPIVOTDATA("Suma de GanoEquipo1",Hoja4!$A$3,"id1",CONCATENATE($B$15,E3))</f>
        <v>7</v>
      </c>
      <c r="F15" s="19"/>
      <c r="G15" s="19"/>
      <c r="H15" s="18">
        <f>GETPIVOTDATA("Suma de GanoEquipo1",Hoja4!$A$3,"id1",CONCATENATE($B$15,H3))</f>
        <v>1</v>
      </c>
      <c r="I15" s="19"/>
      <c r="J15" s="19"/>
      <c r="K15" s="18">
        <f>GETPIVOTDATA("Suma de GanoEquipo1",Hoja4!$A$3,"id1",CONCATENATE($B$15,K3))</f>
        <v>1</v>
      </c>
      <c r="L15" s="18">
        <f>GETPIVOTDATA("Suma de GanoEquipo1",Hoja4!$A$3,"id1",CONCATENATE($B$15,L3))</f>
        <v>1</v>
      </c>
      <c r="M15" s="18">
        <f>GETPIVOTDATA("Suma de GanoEquipo1",Hoja4!$A$3,"id1",CONCATENATE($B$15,M3))</f>
        <v>1</v>
      </c>
      <c r="N15" s="10"/>
      <c r="O15" s="18">
        <f>GETPIVOTDATA("Suma de GanoEquipo1",Hoja4!$A$3,"id1",CONCATENATE($B$15,O3))</f>
        <v>7</v>
      </c>
      <c r="P15" s="18">
        <f>GETPIVOTDATA("Suma de GanoEquipo1",Hoja4!$A$3,"id1",CONCATENATE($B$15,P3))</f>
        <v>1</v>
      </c>
      <c r="Q15" s="18">
        <f>GETPIVOTDATA("Suma de GanoEquipo1",Hoja4!$A$3,"id1",CONCATENATE($B$15,Q3))</f>
        <v>6</v>
      </c>
      <c r="R15" s="22">
        <f>GETPIVOTDATA("Suma de GanoEquipo1",Hoja4!$A$3,"id1",CONCATENATE($B$15,R3))</f>
        <v>4</v>
      </c>
      <c r="S15" s="12">
        <f t="shared" si="0"/>
        <v>29</v>
      </c>
    </row>
    <row r="16" spans="1:19" x14ac:dyDescent="0.25">
      <c r="A16" s="40"/>
      <c r="B16" s="13" t="s">
        <v>66</v>
      </c>
      <c r="C16" s="21"/>
      <c r="D16" s="19"/>
      <c r="E16" s="18">
        <f>GETPIVOTDATA("Suma de GanoEquipo1",Hoja4!$A$3,"id1",CONCATENATE($B$16,E3))</f>
        <v>2</v>
      </c>
      <c r="F16" s="19"/>
      <c r="G16" s="19"/>
      <c r="H16" s="19"/>
      <c r="I16" s="19"/>
      <c r="J16" s="19"/>
      <c r="K16" s="19"/>
      <c r="L16" s="18">
        <f>GETPIVOTDATA("Suma de GanoEquipo1",Hoja4!$A$3,"id1",CONCATENATE($B$16,L3))</f>
        <v>1</v>
      </c>
      <c r="M16" s="18">
        <f>GETPIVOTDATA("Suma de GanoEquipo1",Hoja4!$A$3,"id1",CONCATENATE($B$16,M3))</f>
        <v>2</v>
      </c>
      <c r="N16" s="19"/>
      <c r="O16" s="10"/>
      <c r="P16" s="19"/>
      <c r="Q16" s="18">
        <f>GETPIVOTDATA("Suma de GanoEquipo1",Hoja4!$A$3,"id1",CONCATENATE($B$16,Q3))</f>
        <v>6</v>
      </c>
      <c r="R16" s="22">
        <f>GETPIVOTDATA("Suma de GanoEquipo1",Hoja4!$A$3,"id1",CONCATENATE($B$16,R3))</f>
        <v>5</v>
      </c>
      <c r="S16" s="12">
        <f t="shared" si="0"/>
        <v>16</v>
      </c>
    </row>
    <row r="17" spans="1:19" x14ac:dyDescent="0.25">
      <c r="A17" s="40"/>
      <c r="B17" s="13" t="s">
        <v>311</v>
      </c>
      <c r="C17" s="21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0"/>
      <c r="Q17" s="19"/>
      <c r="R17" s="23"/>
      <c r="S17" s="12">
        <f t="shared" si="0"/>
        <v>0</v>
      </c>
    </row>
    <row r="18" spans="1:19" x14ac:dyDescent="0.25">
      <c r="A18" s="40"/>
      <c r="B18" s="13" t="s">
        <v>11</v>
      </c>
      <c r="C18" s="21"/>
      <c r="D18" s="19"/>
      <c r="E18" s="18">
        <f>GETPIVOTDATA("Suma de GanoEquipo1",Hoja4!$A$3,"id1",CONCATENATE($B$18,E3))</f>
        <v>9</v>
      </c>
      <c r="F18" s="19"/>
      <c r="G18" s="19"/>
      <c r="H18" s="18">
        <f>GETPIVOTDATA("Suma de GanoEquipo1",Hoja4!$A$3,"id1",CONCATENATE($B$18,H3))</f>
        <v>1</v>
      </c>
      <c r="I18" s="19"/>
      <c r="J18" s="18">
        <f>GETPIVOTDATA("Suma de GanoEquipo1",Hoja4!$A$3,"id1",CONCATENATE($B$18,J3))</f>
        <v>0</v>
      </c>
      <c r="K18" s="18">
        <f>GETPIVOTDATA("Suma de GanoEquipo1",Hoja4!$A$3,"id1",CONCATENATE($B$18,K3))</f>
        <v>1</v>
      </c>
      <c r="L18" s="19"/>
      <c r="M18" s="18">
        <f>GETPIVOTDATA("Suma de GanoEquipo1",Hoja4!$A$3,"id1",CONCATENATE($B$18,M3))</f>
        <v>1</v>
      </c>
      <c r="N18" s="19"/>
      <c r="O18" s="19"/>
      <c r="P18" s="18">
        <f>GETPIVOTDATA("Suma de GanoEquipo1",Hoja4!$A$3,"id1",CONCATENATE($B$18,P3))</f>
        <v>1</v>
      </c>
      <c r="Q18" s="10"/>
      <c r="R18" s="22">
        <f>GETPIVOTDATA("Suma de GanoEquipo1",Hoja4!$A$3,"id1",CONCATENATE($B$18,R3))</f>
        <v>6</v>
      </c>
      <c r="S18" s="12">
        <f t="shared" si="0"/>
        <v>19</v>
      </c>
    </row>
    <row r="19" spans="1:19" ht="15.75" thickBot="1" x14ac:dyDescent="0.3">
      <c r="A19" s="40"/>
      <c r="B19" s="13" t="s">
        <v>211</v>
      </c>
      <c r="C19" s="24"/>
      <c r="D19" s="25"/>
      <c r="E19" s="26">
        <f>GETPIVOTDATA("Suma de GanoEquipo1",Hoja4!$A$3,"id1",CONCATENATE($B$19,E3))</f>
        <v>0</v>
      </c>
      <c r="F19" s="25"/>
      <c r="G19" s="25"/>
      <c r="H19" s="25"/>
      <c r="I19" s="25"/>
      <c r="J19" s="25"/>
      <c r="K19" s="25"/>
      <c r="L19" s="25"/>
      <c r="M19" s="26">
        <f>GETPIVOTDATA("Suma de GanoEquipo1",Hoja4!$A$3,"id1",CONCATENATE($B$19,M3))</f>
        <v>0</v>
      </c>
      <c r="N19" s="25"/>
      <c r="O19" s="25"/>
      <c r="P19" s="26">
        <f>GETPIVOTDATA("Suma de GanoEquipo1",Hoja4!$A$3,"id1",CONCATENATE($B$19,P3))</f>
        <v>0</v>
      </c>
      <c r="Q19" s="25"/>
      <c r="R19" s="11"/>
      <c r="S19" s="12">
        <f t="shared" si="0"/>
        <v>0</v>
      </c>
    </row>
    <row r="21" spans="1:19" ht="23.25" x14ac:dyDescent="0.35">
      <c r="A21" s="17" t="s">
        <v>506</v>
      </c>
    </row>
    <row r="22" spans="1:19" ht="23.25" x14ac:dyDescent="0.25">
      <c r="C22" s="39" t="s">
        <v>483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</row>
    <row r="23" spans="1:19" ht="15.75" thickBot="1" x14ac:dyDescent="0.3">
      <c r="C23" s="14" t="s">
        <v>16</v>
      </c>
      <c r="D23" s="14" t="s">
        <v>56</v>
      </c>
      <c r="E23" s="14" t="s">
        <v>19</v>
      </c>
      <c r="F23" s="14" t="s">
        <v>10</v>
      </c>
      <c r="G23" s="14" t="s">
        <v>125</v>
      </c>
      <c r="H23" s="14" t="s">
        <v>319</v>
      </c>
      <c r="I23" s="14" t="s">
        <v>99</v>
      </c>
      <c r="J23" s="14" t="s">
        <v>342</v>
      </c>
      <c r="K23" s="14" t="s">
        <v>396</v>
      </c>
      <c r="L23" s="14" t="s">
        <v>327</v>
      </c>
      <c r="M23" s="14" t="s">
        <v>482</v>
      </c>
      <c r="N23" s="14" t="s">
        <v>43</v>
      </c>
      <c r="O23" s="14" t="s">
        <v>66</v>
      </c>
      <c r="P23" s="14" t="s">
        <v>311</v>
      </c>
      <c r="Q23" s="14" t="s">
        <v>11</v>
      </c>
      <c r="R23" s="14" t="s">
        <v>211</v>
      </c>
      <c r="S23" s="14" t="s">
        <v>505</v>
      </c>
    </row>
    <row r="24" spans="1:19" x14ac:dyDescent="0.25">
      <c r="A24" s="40" t="s">
        <v>484</v>
      </c>
      <c r="B24" s="13" t="s">
        <v>16</v>
      </c>
      <c r="C24" s="9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28"/>
      <c r="S24" s="12">
        <f>SUM(C24:R24)</f>
        <v>0</v>
      </c>
    </row>
    <row r="25" spans="1:19" x14ac:dyDescent="0.25">
      <c r="A25" s="40"/>
      <c r="B25" s="13" t="s">
        <v>56</v>
      </c>
      <c r="C25" s="29">
        <f>GETPIVOTDATA("GanoEquipo2",Hoja4!$D$3,"id2",CONCATENATE($B$25,C23))</f>
        <v>2</v>
      </c>
      <c r="D25" s="10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3"/>
      <c r="S25" s="12">
        <f t="shared" ref="S25:S39" si="1">SUM(C25:R25)</f>
        <v>2</v>
      </c>
    </row>
    <row r="26" spans="1:19" x14ac:dyDescent="0.25">
      <c r="A26" s="40"/>
      <c r="B26" s="13" t="s">
        <v>19</v>
      </c>
      <c r="C26" s="29">
        <f>GETPIVOTDATA("GanoEquipo2",Hoja4!$D$3,"id2",CONCATENATE($B$26,C23))</f>
        <v>9</v>
      </c>
      <c r="D26" s="18">
        <f>GETPIVOTDATA("GanoEquipo2",Hoja4!$D$3,"id2",CONCATENATE($B$26,D23))</f>
        <v>8</v>
      </c>
      <c r="E26" s="10"/>
      <c r="F26" s="18">
        <f>GETPIVOTDATA("GanoEquipo2",Hoja4!$D$3,"id2",CONCATENATE($B$26,F23))</f>
        <v>16</v>
      </c>
      <c r="G26" s="18">
        <f>GETPIVOTDATA("GanoEquipo2",Hoja4!$D$3,"id2",CONCATENATE($B$26,G23))</f>
        <v>7</v>
      </c>
      <c r="H26" s="19"/>
      <c r="I26" s="18">
        <f>GETPIVOTDATA("GanoEquipo2",Hoja4!$D$3,"id2",CONCATENATE($B$26,I23))</f>
        <v>12</v>
      </c>
      <c r="J26" s="19"/>
      <c r="K26" s="19"/>
      <c r="L26" s="19"/>
      <c r="M26" s="19"/>
      <c r="N26" s="18">
        <f>GETPIVOTDATA("GanoEquipo2",Hoja4!$D$3,"id2",CONCATENATE($B$26,N23))</f>
        <v>13</v>
      </c>
      <c r="O26" s="18">
        <f>GETPIVOTDATA("GanoEquipo2",Hoja4!$D$3,"id2",CONCATENATE($B$26,O23))</f>
        <v>11</v>
      </c>
      <c r="P26" s="19"/>
      <c r="Q26" s="18">
        <f>GETPIVOTDATA("GanoEquipo2",Hoja4!$D$3,"id2",CONCATENATE($B$26,Q23))</f>
        <v>9</v>
      </c>
      <c r="R26" s="22">
        <f>GETPIVOTDATA("GanoEquipo2",Hoja4!$D$3,"id2",CONCATENATE($B$26,R23))</f>
        <v>5</v>
      </c>
      <c r="S26" s="12">
        <f t="shared" si="1"/>
        <v>90</v>
      </c>
    </row>
    <row r="27" spans="1:19" x14ac:dyDescent="0.25">
      <c r="A27" s="40"/>
      <c r="B27" s="13" t="s">
        <v>10</v>
      </c>
      <c r="C27" s="29">
        <f>GETPIVOTDATA("GanoEquipo2",Hoja4!$D$3,"id2",CONCATENATE($B$27,C23))</f>
        <v>0</v>
      </c>
      <c r="D27" s="18">
        <f>GETPIVOTDATA("GanoEquipo2",Hoja4!$D$3,"id2",CONCATENATE($B$27,D23))</f>
        <v>8</v>
      </c>
      <c r="E27" s="19"/>
      <c r="F27" s="10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3"/>
      <c r="S27" s="12">
        <f t="shared" si="1"/>
        <v>8</v>
      </c>
    </row>
    <row r="28" spans="1:19" x14ac:dyDescent="0.25">
      <c r="A28" s="40"/>
      <c r="B28" s="13" t="s">
        <v>125</v>
      </c>
      <c r="C28" s="29">
        <f>GETPIVOTDATA("GanoEquipo2",Hoja4!$D$3,"id2",CONCATENATE($B$28,C23))</f>
        <v>2</v>
      </c>
      <c r="D28" s="18">
        <f>GETPIVOTDATA("GanoEquipo2",Hoja4!$D$3,"id2",CONCATENATE($B$28,D23))</f>
        <v>4</v>
      </c>
      <c r="E28" s="19"/>
      <c r="F28" s="18">
        <f>GETPIVOTDATA("GanoEquipo2",Hoja4!$D$3,"id2",CONCATENATE($B$28,F23))</f>
        <v>2</v>
      </c>
      <c r="G28" s="10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3"/>
      <c r="S28" s="12">
        <f t="shared" si="1"/>
        <v>8</v>
      </c>
    </row>
    <row r="29" spans="1:19" x14ac:dyDescent="0.25">
      <c r="A29" s="40"/>
      <c r="B29" s="13" t="s">
        <v>319</v>
      </c>
      <c r="C29" s="29">
        <f>GETPIVOTDATA("GanoEquipo2",Hoja4!$D$3,"id2",CONCATENATE($B$29,C23))</f>
        <v>0</v>
      </c>
      <c r="D29" s="18">
        <f>GETPIVOTDATA("GanoEquipo2",Hoja4!$D$3,"id2",CONCATENATE($B$29,D23))</f>
        <v>2</v>
      </c>
      <c r="E29" s="18">
        <f>GETPIVOTDATA("GanoEquipo2",Hoja4!$D$3,"id2",CONCATENATE($B$29,E23))</f>
        <v>0</v>
      </c>
      <c r="F29" s="18">
        <f>GETPIVOTDATA("GanoEquipo2",Hoja4!$D$3,"id2",CONCATENATE($B$29,F23))</f>
        <v>1</v>
      </c>
      <c r="G29" s="18">
        <f>GETPIVOTDATA("GanoEquipo2",Hoja4!$D$3,"id2",CONCATENATE($B$29,G23))</f>
        <v>0</v>
      </c>
      <c r="H29" s="10"/>
      <c r="I29" s="19"/>
      <c r="J29" s="19"/>
      <c r="K29" s="19"/>
      <c r="L29" s="19"/>
      <c r="M29" s="18">
        <f>GETPIVOTDATA("GanoEquipo2",Hoja4!$D$3,"id2",CONCATENATE($B$29,M23))</f>
        <v>0</v>
      </c>
      <c r="N29" s="18">
        <f>GETPIVOTDATA("GanoEquipo2",Hoja4!$D$3,"id2",CONCATENATE($B$29,N23))</f>
        <v>0</v>
      </c>
      <c r="O29" s="19"/>
      <c r="P29" s="19"/>
      <c r="Q29" s="18">
        <f>GETPIVOTDATA("GanoEquipo2",Hoja4!$D$3,"id2",CONCATENATE($B$29,Q23))</f>
        <v>0</v>
      </c>
      <c r="R29" s="23"/>
      <c r="S29" s="12">
        <f t="shared" si="1"/>
        <v>3</v>
      </c>
    </row>
    <row r="30" spans="1:19" x14ac:dyDescent="0.25">
      <c r="A30" s="40"/>
      <c r="B30" s="13" t="s">
        <v>99</v>
      </c>
      <c r="C30" s="29">
        <f>GETPIVOTDATA("GanoEquipo2",Hoja4!$D$3,"id2",CONCATENATE($B$30,C23))</f>
        <v>0</v>
      </c>
      <c r="D30" s="18">
        <f>GETPIVOTDATA("GanoEquipo2",Hoja4!$D$3,"id2",CONCATENATE($B$30,D23))</f>
        <v>1</v>
      </c>
      <c r="E30" s="19"/>
      <c r="F30" s="18">
        <f>GETPIVOTDATA("GanoEquipo2",Hoja4!$D$3,"id2",CONCATENATE($B$30,F23))</f>
        <v>1</v>
      </c>
      <c r="G30" s="18">
        <f>GETPIVOTDATA("GanoEquipo2",Hoja4!$D$3,"id2",CONCATENATE($B$30,G23))</f>
        <v>2</v>
      </c>
      <c r="H30" s="19"/>
      <c r="I30" s="10"/>
      <c r="J30" s="19"/>
      <c r="K30" s="19"/>
      <c r="L30" s="19"/>
      <c r="M30" s="19"/>
      <c r="N30" s="19"/>
      <c r="O30" s="19"/>
      <c r="P30" s="19"/>
      <c r="Q30" s="19"/>
      <c r="R30" s="23"/>
      <c r="S30" s="12">
        <f t="shared" si="1"/>
        <v>4</v>
      </c>
    </row>
    <row r="31" spans="1:19" x14ac:dyDescent="0.25">
      <c r="A31" s="40"/>
      <c r="B31" s="13" t="s">
        <v>342</v>
      </c>
      <c r="C31" s="21"/>
      <c r="D31" s="18">
        <f>GETPIVOTDATA("GanoEquipo2",Hoja4!$D$3,"id2",CONCATENATE($B$31,D23))</f>
        <v>1</v>
      </c>
      <c r="E31" s="18">
        <f>GETPIVOTDATA("GanoEquipo2",Hoja4!$D$3,"id2",CONCATENATE($B$31,E23))</f>
        <v>1</v>
      </c>
      <c r="F31" s="19"/>
      <c r="G31" s="18">
        <f>GETPIVOTDATA("GanoEquipo2",Hoja4!$D$3,"id2",CONCATENATE($B$31,G23))</f>
        <v>0</v>
      </c>
      <c r="H31" s="18">
        <f>GETPIVOTDATA("GanoEquipo2",Hoja4!$D$3,"id2",CONCATENATE($B$31,H23))</f>
        <v>0</v>
      </c>
      <c r="I31" s="19"/>
      <c r="J31" s="10"/>
      <c r="K31" s="19"/>
      <c r="L31" s="19"/>
      <c r="M31" s="19"/>
      <c r="N31" s="19"/>
      <c r="O31" s="19"/>
      <c r="P31" s="19"/>
      <c r="Q31" s="18">
        <f>GETPIVOTDATA("GanoEquipo2",Hoja4!$D$3,"id2",CONCATENATE($B$31,Q23))</f>
        <v>1</v>
      </c>
      <c r="R31" s="23"/>
      <c r="S31" s="12">
        <f t="shared" si="1"/>
        <v>3</v>
      </c>
    </row>
    <row r="32" spans="1:19" x14ac:dyDescent="0.25">
      <c r="A32" s="40"/>
      <c r="B32" s="13" t="s">
        <v>396</v>
      </c>
      <c r="C32" s="29">
        <f>GETPIVOTDATA("GanoEquipo2",Hoja4!$D$3,"id2",CONCATENATE($B$32,C23))</f>
        <v>0</v>
      </c>
      <c r="D32" s="19"/>
      <c r="E32" s="19"/>
      <c r="F32" s="19"/>
      <c r="G32" s="19"/>
      <c r="H32" s="19"/>
      <c r="I32" s="19"/>
      <c r="J32" s="19"/>
      <c r="K32" s="10"/>
      <c r="L32" s="19"/>
      <c r="M32" s="19"/>
      <c r="N32" s="18">
        <f>GETPIVOTDATA("GanoEquipo2",Hoja4!$D$3,"id2",CONCATENATE($B$32,N23))</f>
        <v>0</v>
      </c>
      <c r="O32" s="19"/>
      <c r="P32" s="19"/>
      <c r="Q32" s="18">
        <f>GETPIVOTDATA("GanoEquipo2",Hoja4!$D$3,"id2",CONCATENATE($B$32,Q23))</f>
        <v>0</v>
      </c>
      <c r="R32" s="23"/>
      <c r="S32" s="12">
        <f t="shared" si="1"/>
        <v>0</v>
      </c>
    </row>
    <row r="33" spans="1:19" x14ac:dyDescent="0.25">
      <c r="A33" s="40"/>
      <c r="B33" s="13" t="s">
        <v>327</v>
      </c>
      <c r="C33" s="21"/>
      <c r="D33" s="18">
        <f>GETPIVOTDATA("GanoEquipo2",Hoja4!$D$3,"id2",CONCATENATE($B$33,D23))</f>
        <v>0</v>
      </c>
      <c r="E33" s="19"/>
      <c r="F33" s="19"/>
      <c r="G33" s="19"/>
      <c r="H33" s="19"/>
      <c r="I33" s="19"/>
      <c r="J33" s="19"/>
      <c r="K33" s="19"/>
      <c r="L33" s="10"/>
      <c r="M33" s="19"/>
      <c r="N33" s="18">
        <f>GETPIVOTDATA("GanoEquipo2",Hoja4!$D$3,"id2",CONCATENATE($B$33,N23))</f>
        <v>0</v>
      </c>
      <c r="O33" s="18">
        <f>GETPIVOTDATA("GanoEquipo2",Hoja4!$D$3,"id2",CONCATENATE($B$33,O23))</f>
        <v>0</v>
      </c>
      <c r="P33" s="19"/>
      <c r="Q33" s="19"/>
      <c r="R33" s="23"/>
      <c r="S33" s="12">
        <f t="shared" si="1"/>
        <v>0</v>
      </c>
    </row>
    <row r="34" spans="1:19" x14ac:dyDescent="0.25">
      <c r="A34" s="40"/>
      <c r="B34" s="13" t="s">
        <v>482</v>
      </c>
      <c r="C34" s="29">
        <f>GETPIVOTDATA("GanoEquipo2",Hoja4!$D$3,"id2",CONCATENATE($B$34,C23))</f>
        <v>1</v>
      </c>
      <c r="D34" s="18">
        <f>GETPIVOTDATA("GanoEquipo2",Hoja4!$D$3,"id2",CONCATENATE($B$34,D23))</f>
        <v>0</v>
      </c>
      <c r="E34" s="18">
        <f>GETPIVOTDATA("GanoEquipo2",Hoja4!$D$3,"id2",CONCATENATE($B$34,E23))</f>
        <v>2</v>
      </c>
      <c r="F34" s="18">
        <f>GETPIVOTDATA("GanoEquipo2",Hoja4!$D$3,"id2",CONCATENATE($B$34,F23))</f>
        <v>3</v>
      </c>
      <c r="G34" s="18">
        <f>GETPIVOTDATA("GanoEquipo2",Hoja4!$D$3,"id2",CONCATENATE($B$34,G23))</f>
        <v>1</v>
      </c>
      <c r="H34" s="19"/>
      <c r="I34" s="18">
        <f>GETPIVOTDATA("GanoEquipo2",Hoja4!$D$3,"id2",CONCATENATE($B$34,I23))</f>
        <v>4</v>
      </c>
      <c r="J34" s="19"/>
      <c r="K34" s="19"/>
      <c r="L34" s="19"/>
      <c r="M34" s="10"/>
      <c r="N34" s="18">
        <f>GETPIVOTDATA("GanoEquipo2",Hoja4!$D$3,"id2",CONCATENATE($B$34,N23))</f>
        <v>1</v>
      </c>
      <c r="O34" s="18">
        <f>GETPIVOTDATA("GanoEquipo2",Hoja4!$D$3,"id2",CONCATENATE($B$34,O23))</f>
        <v>2</v>
      </c>
      <c r="P34" s="19"/>
      <c r="Q34" s="18">
        <f>GETPIVOTDATA("GanoEquipo2",Hoja4!$D$3,"id2",CONCATENATE($B$34,Q23))</f>
        <v>2</v>
      </c>
      <c r="R34" s="22">
        <f>GETPIVOTDATA("GanoEquipo2",Hoja4!$D$3,"id2",CONCATENATE($B$34,R23))</f>
        <v>2</v>
      </c>
      <c r="S34" s="12">
        <f t="shared" si="1"/>
        <v>18</v>
      </c>
    </row>
    <row r="35" spans="1:19" x14ac:dyDescent="0.25">
      <c r="A35" s="40"/>
      <c r="B35" s="13" t="s">
        <v>43</v>
      </c>
      <c r="C35" s="29">
        <f>GETPIVOTDATA("GanoEquipo2",Hoja4!$D$3,"id2",CONCATENATE($B$35,C23))</f>
        <v>0</v>
      </c>
      <c r="D35" s="18">
        <f>GETPIVOTDATA("GanoEquipo2",Hoja4!$D$3,"id2",CONCATENATE($B$35,D23))</f>
        <v>7</v>
      </c>
      <c r="E35" s="19"/>
      <c r="F35" s="18">
        <f>GETPIVOTDATA("GanoEquipo2",Hoja4!$D$3,"id2",CONCATENATE($B$35,F23))</f>
        <v>12</v>
      </c>
      <c r="G35" s="18">
        <f>GETPIVOTDATA("GanoEquipo2",Hoja4!$D$3,"id2",CONCATENATE($B$35,G23))</f>
        <v>5</v>
      </c>
      <c r="H35" s="19"/>
      <c r="I35" s="18">
        <f>GETPIVOTDATA("GanoEquipo2",Hoja4!$D$3,"id2",CONCATENATE($B$35,I23))</f>
        <v>10</v>
      </c>
      <c r="J35" s="19"/>
      <c r="K35" s="19"/>
      <c r="L35" s="19"/>
      <c r="M35" s="19"/>
      <c r="N35" s="10"/>
      <c r="O35" s="19"/>
      <c r="P35" s="19"/>
      <c r="Q35" s="19"/>
      <c r="R35" s="23"/>
      <c r="S35" s="12">
        <f t="shared" si="1"/>
        <v>34</v>
      </c>
    </row>
    <row r="36" spans="1:19" x14ac:dyDescent="0.25">
      <c r="A36" s="40"/>
      <c r="B36" s="13" t="s">
        <v>66</v>
      </c>
      <c r="C36" s="29">
        <f>GETPIVOTDATA("GanoEquipo2",Hoja4!$D$3,"id2",CONCATENATE($B$36,C23))</f>
        <v>3</v>
      </c>
      <c r="D36" s="18">
        <f>GETPIVOTDATA("GanoEquipo2",Hoja4!$D$3,"id2",CONCATENATE($B$36,D23))</f>
        <v>7</v>
      </c>
      <c r="E36" s="19"/>
      <c r="F36" s="18">
        <f>GETPIVOTDATA("GanoEquipo2",Hoja4!$D$3,"id2",CONCATENATE($B$36,F23))</f>
        <v>6</v>
      </c>
      <c r="G36" s="18">
        <f>GETPIVOTDATA("GanoEquipo2",Hoja4!$D$3,"id2",CONCATENATE($B$36,G23))</f>
        <v>7</v>
      </c>
      <c r="H36" s="19"/>
      <c r="I36" s="18">
        <f>GETPIVOTDATA("GanoEquipo2",Hoja4!$D$3,"id2",CONCATENATE($B$36,I23))</f>
        <v>8</v>
      </c>
      <c r="J36" s="19"/>
      <c r="K36" s="19"/>
      <c r="L36" s="19"/>
      <c r="M36" s="19"/>
      <c r="N36" s="18">
        <f>GETPIVOTDATA("GanoEquipo2",Hoja4!$D$3,"id2",CONCATENATE($B$36,N23))</f>
        <v>2</v>
      </c>
      <c r="O36" s="10"/>
      <c r="P36" s="19"/>
      <c r="Q36" s="19"/>
      <c r="R36" s="23"/>
      <c r="S36" s="12">
        <f t="shared" si="1"/>
        <v>33</v>
      </c>
    </row>
    <row r="37" spans="1:19" x14ac:dyDescent="0.25">
      <c r="A37" s="40"/>
      <c r="B37" s="13" t="s">
        <v>311</v>
      </c>
      <c r="C37" s="29">
        <f>GETPIVOTDATA("GanoEquipo2",Hoja4!$D$3,"id2",CONCATENATE($B$37,C23))</f>
        <v>1</v>
      </c>
      <c r="D37" s="18">
        <f>GETPIVOTDATA("GanoEquipo2",Hoja4!$D$3,"id2",CONCATENATE($B$37,D23))</f>
        <v>0</v>
      </c>
      <c r="E37" s="18">
        <f>GETPIVOTDATA("GanoEquipo2",Hoja4!$D$3,"id2",CONCATENATE($B$37,E23))</f>
        <v>0</v>
      </c>
      <c r="F37" s="18">
        <f>GETPIVOTDATA("GanoEquipo2",Hoja4!$D$3,"id2",CONCATENATE($B$37,F23))</f>
        <v>1</v>
      </c>
      <c r="G37" s="18">
        <f>GETPIVOTDATA("GanoEquipo2",Hoja4!$D$3,"id2",CONCATENATE($B$37,G23))</f>
        <v>0</v>
      </c>
      <c r="H37" s="19"/>
      <c r="I37" s="18">
        <f>GETPIVOTDATA("GanoEquipo2",Hoja4!$D$3,"id2",CONCATENATE($B$37,I23))</f>
        <v>0</v>
      </c>
      <c r="J37" s="19"/>
      <c r="K37" s="19"/>
      <c r="L37" s="19"/>
      <c r="M37" s="18">
        <f>GETPIVOTDATA("GanoEquipo2",Hoja4!$D$3,"id2",CONCATENATE($B$37,M23))</f>
        <v>0</v>
      </c>
      <c r="N37" s="18">
        <f>GETPIVOTDATA("GanoEquipo2",Hoja4!$D$3,"id2",CONCATENATE($B$37,N23))</f>
        <v>0</v>
      </c>
      <c r="O37" s="19"/>
      <c r="P37" s="10"/>
      <c r="Q37" s="18">
        <f>GETPIVOTDATA("GanoEquipo2",Hoja4!$D$3,"id2",CONCATENATE($B$37,Q23))</f>
        <v>0</v>
      </c>
      <c r="R37" s="22">
        <f>GETPIVOTDATA("GanoEquipo2",Hoja4!$D$3,"id2",CONCATENATE($B$37,R23))</f>
        <v>0</v>
      </c>
      <c r="S37" s="12">
        <f t="shared" si="1"/>
        <v>2</v>
      </c>
    </row>
    <row r="38" spans="1:19" x14ac:dyDescent="0.25">
      <c r="A38" s="40"/>
      <c r="B38" s="13" t="s">
        <v>11</v>
      </c>
      <c r="C38" s="29">
        <f>GETPIVOTDATA("GanoEquipo2",Hoja4!$D$3,"id2",CONCATENATE($B$38,C23))</f>
        <v>13</v>
      </c>
      <c r="D38" s="18">
        <f>GETPIVOTDATA("GanoEquipo2",Hoja4!$D$3,"id2",CONCATENATE($B$38,D23))</f>
        <v>13</v>
      </c>
      <c r="E38" s="19"/>
      <c r="F38" s="18">
        <f>GETPIVOTDATA("GanoEquipo2",Hoja4!$D$3,"id2",CONCATENATE($B$38,F23))</f>
        <v>18</v>
      </c>
      <c r="G38" s="18">
        <f>GETPIVOTDATA("GanoEquipo2",Hoja4!$D$3,"id2",CONCATENATE($B$38,G23))</f>
        <v>6</v>
      </c>
      <c r="H38" s="19"/>
      <c r="I38" s="18">
        <f>GETPIVOTDATA("GanoEquipo2",Hoja4!$D$3,"id2",CONCATENATE($B$38,I23))</f>
        <v>13</v>
      </c>
      <c r="J38" s="19"/>
      <c r="K38" s="19"/>
      <c r="L38" s="19"/>
      <c r="M38" s="19"/>
      <c r="N38" s="18">
        <f>GETPIVOTDATA("GanoEquipo2",Hoja4!$D$3,"id2",CONCATENATE($B$38,N23))</f>
        <v>14</v>
      </c>
      <c r="O38" s="18">
        <f>GETPIVOTDATA("GanoEquipo2",Hoja4!$D$3,"id2",CONCATENATE($B$38,O23))</f>
        <v>12</v>
      </c>
      <c r="P38" s="19"/>
      <c r="Q38" s="10"/>
      <c r="R38" s="23"/>
      <c r="S38" s="12">
        <f t="shared" si="1"/>
        <v>89</v>
      </c>
    </row>
    <row r="39" spans="1:19" ht="15.75" thickBot="1" x14ac:dyDescent="0.3">
      <c r="A39" s="40"/>
      <c r="B39" s="13" t="s">
        <v>211</v>
      </c>
      <c r="C39" s="30">
        <f>GETPIVOTDATA("GanoEquipo2",Hoja4!$D$3,"id2",CONCATENATE($B$39,C23))</f>
        <v>0</v>
      </c>
      <c r="D39" s="26">
        <f>GETPIVOTDATA("GanoEquipo2",Hoja4!$D$3,"id2",CONCATENATE($B$39,D23))</f>
        <v>1</v>
      </c>
      <c r="E39" s="25"/>
      <c r="F39" s="26">
        <f>GETPIVOTDATA("GanoEquipo2",Hoja4!$D$3,"id2",CONCATENATE($B$39,F23))</f>
        <v>1</v>
      </c>
      <c r="G39" s="26">
        <f>GETPIVOTDATA("GanoEquipo2",Hoja4!$D$3,"id2",CONCATENATE($B$39,G23))</f>
        <v>1</v>
      </c>
      <c r="H39" s="25"/>
      <c r="I39" s="26">
        <f>GETPIVOTDATA("GanoEquipo2",Hoja4!$D$3,"id2",CONCATENATE($B$39,I23))</f>
        <v>1</v>
      </c>
      <c r="J39" s="25"/>
      <c r="K39" s="25"/>
      <c r="L39" s="25"/>
      <c r="M39" s="25"/>
      <c r="N39" s="26">
        <f>GETPIVOTDATA("GanoEquipo2",Hoja4!$D$3,"id2",CONCATENATE($B$39,N23))</f>
        <v>0</v>
      </c>
      <c r="O39" s="26">
        <f>GETPIVOTDATA("GanoEquipo2",Hoja4!$D$3,"id2",CONCATENATE($B$39,O23))</f>
        <v>1</v>
      </c>
      <c r="P39" s="25"/>
      <c r="Q39" s="26">
        <f>GETPIVOTDATA("GanoEquipo2",Hoja4!$D$3,"id2",CONCATENATE($B$39,Q23))</f>
        <v>0</v>
      </c>
      <c r="R39" s="11"/>
      <c r="S39" s="12">
        <f t="shared" si="1"/>
        <v>5</v>
      </c>
    </row>
    <row r="41" spans="1:19" ht="23.25" x14ac:dyDescent="0.35">
      <c r="A41" s="17" t="s">
        <v>593</v>
      </c>
    </row>
    <row r="42" spans="1:19" ht="23.25" x14ac:dyDescent="0.25">
      <c r="C42" s="39" t="s">
        <v>596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</row>
    <row r="43" spans="1:19" ht="15.75" thickBot="1" x14ac:dyDescent="0.3">
      <c r="C43" s="14" t="s">
        <v>16</v>
      </c>
      <c r="D43" s="14" t="s">
        <v>56</v>
      </c>
      <c r="E43" s="14" t="s">
        <v>19</v>
      </c>
      <c r="F43" s="14" t="s">
        <v>10</v>
      </c>
      <c r="G43" s="14" t="s">
        <v>125</v>
      </c>
      <c r="H43" s="14" t="s">
        <v>319</v>
      </c>
      <c r="I43" s="14" t="s">
        <v>99</v>
      </c>
      <c r="J43" s="14" t="s">
        <v>342</v>
      </c>
      <c r="K43" s="14" t="s">
        <v>396</v>
      </c>
      <c r="L43" s="14" t="s">
        <v>327</v>
      </c>
      <c r="M43" s="14" t="s">
        <v>482</v>
      </c>
      <c r="N43" s="14" t="s">
        <v>43</v>
      </c>
      <c r="O43" s="14" t="s">
        <v>66</v>
      </c>
      <c r="P43" s="14" t="s">
        <v>311</v>
      </c>
      <c r="Q43" s="14" t="s">
        <v>11</v>
      </c>
      <c r="R43" s="14" t="s">
        <v>211</v>
      </c>
      <c r="S43" s="14" t="s">
        <v>598</v>
      </c>
    </row>
    <row r="44" spans="1:19" x14ac:dyDescent="0.25">
      <c r="A44" s="40" t="s">
        <v>595</v>
      </c>
      <c r="B44" s="13" t="s">
        <v>16</v>
      </c>
      <c r="C44" s="9"/>
      <c r="D44" s="15">
        <f>GETPIVOTDATA("Empate",Hoja4!$G$3,"id1",CONCATENATE($B$44,D43))</f>
        <v>2</v>
      </c>
      <c r="E44" s="15">
        <f>GETPIVOTDATA("Empate",Hoja4!$G$3,"id1",CONCATENATE($B$44,E43))</f>
        <v>8</v>
      </c>
      <c r="F44" s="15">
        <f>GETPIVOTDATA("Empate",Hoja4!$G$3,"id1",CONCATENATE($B$44,F43))</f>
        <v>6</v>
      </c>
      <c r="G44" s="15">
        <f>GETPIVOTDATA("Empate",Hoja4!$G$3,"id1",CONCATENATE($B$44,G43))</f>
        <v>3</v>
      </c>
      <c r="H44" s="15">
        <f>GETPIVOTDATA("Empate",Hoja4!$G$3,"id1",CONCATENATE($B$44,H43))</f>
        <v>0</v>
      </c>
      <c r="I44" s="15">
        <f>GETPIVOTDATA("Empate",Hoja4!$G$3,"id1",CONCATENATE($B$44,I43))</f>
        <v>5</v>
      </c>
      <c r="J44" s="16"/>
      <c r="K44" s="15">
        <f>GETPIVOTDATA("Empate",Hoja4!$G$3,"id1",CONCATENATE($B$44,K43))</f>
        <v>0</v>
      </c>
      <c r="L44" s="16"/>
      <c r="M44" s="15">
        <f>GETPIVOTDATA("Empate",Hoja4!$G$3,"id1",CONCATENATE($B$44,M43))</f>
        <v>1</v>
      </c>
      <c r="N44" s="15">
        <f>GETPIVOTDATA("Empate",Hoja4!$G$3,"id1",CONCATENATE($B$44,N43))</f>
        <v>5</v>
      </c>
      <c r="O44" s="15">
        <f>GETPIVOTDATA("Empate",Hoja4!$G$3,"id1",CONCATENATE($B$44,O43))</f>
        <v>2</v>
      </c>
      <c r="P44" s="15">
        <f>GETPIVOTDATA("Empate",Hoja4!$G$3,"id1",CONCATENATE($B$44,P43))</f>
        <v>0</v>
      </c>
      <c r="Q44" s="15">
        <f>GETPIVOTDATA("Empate",Hoja4!$G$3,"id1",CONCATENATE($B$44,Q43))</f>
        <v>4</v>
      </c>
      <c r="R44" s="20">
        <f>GETPIVOTDATA("Empate",Hoja4!$G$3,"id1",CONCATENATE($B$44,R43))</f>
        <v>0</v>
      </c>
      <c r="S44" s="12">
        <f>SUM(C44:R44)</f>
        <v>36</v>
      </c>
    </row>
    <row r="45" spans="1:19" x14ac:dyDescent="0.25">
      <c r="A45" s="40"/>
      <c r="B45" s="13" t="s">
        <v>56</v>
      </c>
      <c r="C45" s="21"/>
      <c r="D45" s="10"/>
      <c r="E45" s="18">
        <f>GETPIVOTDATA("Empate",Hoja4!$G$3,"id1",CONCATENATE($B$45,E43))</f>
        <v>0</v>
      </c>
      <c r="F45" s="18">
        <f>GETPIVOTDATA("Empate",Hoja4!$G$3,"id1",CONCATENATE($B$45,F43))</f>
        <v>3</v>
      </c>
      <c r="G45" s="18">
        <f>GETPIVOTDATA("Empate",Hoja4!$G$3,"id1",CONCATENATE($B$45,G43))</f>
        <v>5</v>
      </c>
      <c r="H45" s="18">
        <f>GETPIVOTDATA("Empate",Hoja4!$G$3,"id1",CONCATENATE($B$45,H43))</f>
        <v>0</v>
      </c>
      <c r="I45" s="18">
        <f>GETPIVOTDATA("Empate",Hoja4!$G$3,"id1",CONCATENATE($B$45,I43))</f>
        <v>5</v>
      </c>
      <c r="J45" s="18">
        <f>GETPIVOTDATA("Empate",Hoja4!$G$3,"id1",CONCATENATE($B$45,J43))</f>
        <v>0</v>
      </c>
      <c r="K45" s="19"/>
      <c r="L45" s="18">
        <f>GETPIVOTDATA("Empate",Hoja4!$G$3,"id1",CONCATENATE($B$45,L43))</f>
        <v>1</v>
      </c>
      <c r="M45" s="18">
        <f>GETPIVOTDATA("Empate",Hoja4!$G$3,"id1",CONCATENATE($B$45,M43))</f>
        <v>2</v>
      </c>
      <c r="N45" s="18">
        <f>GETPIVOTDATA("Empate",Hoja4!$G$3,"id1",CONCATENATE($B$45,N43))</f>
        <v>2</v>
      </c>
      <c r="O45" s="18">
        <f>GETPIVOTDATA("Empate",Hoja4!$G$3,"id1",CONCATENATE($B$45,O43))</f>
        <v>4</v>
      </c>
      <c r="P45" s="18">
        <f>GETPIVOTDATA("Empate",Hoja4!$G$3,"id1",CONCATENATE($B$45,P43))</f>
        <v>0</v>
      </c>
      <c r="Q45" s="18">
        <f>GETPIVOTDATA("Empate",Hoja4!$G$3,"id1",CONCATENATE($B$45,Q43))</f>
        <v>1</v>
      </c>
      <c r="R45" s="22">
        <f>GETPIVOTDATA("Empate",Hoja4!$G$3,"id1",CONCATENATE($B$45,R43))</f>
        <v>2</v>
      </c>
      <c r="S45" s="12">
        <f t="shared" ref="S45:S59" si="2">SUM(C45:R45)</f>
        <v>25</v>
      </c>
    </row>
    <row r="46" spans="1:19" x14ac:dyDescent="0.25">
      <c r="A46" s="40"/>
      <c r="B46" s="13" t="s">
        <v>19</v>
      </c>
      <c r="C46" s="21"/>
      <c r="D46" s="19"/>
      <c r="E46" s="10"/>
      <c r="F46" s="19"/>
      <c r="G46" s="19"/>
      <c r="H46" s="18">
        <f>GETPIVOTDATA("Empate",Hoja4!$G$3,"id1",CONCATENATE($B$46,H43))</f>
        <v>0</v>
      </c>
      <c r="I46" s="19"/>
      <c r="J46" s="18">
        <f>GETPIVOTDATA("Empate",Hoja4!$G$3,"id1",CONCATENATE($B$46,J43))</f>
        <v>0</v>
      </c>
      <c r="K46" s="19"/>
      <c r="L46" s="19"/>
      <c r="M46" s="18">
        <f>GETPIVOTDATA("Empate",Hoja4!$G$3,"id1",CONCATENATE($B$46,M43))</f>
        <v>0</v>
      </c>
      <c r="N46" s="19"/>
      <c r="O46" s="19"/>
      <c r="P46" s="18">
        <f>GETPIVOTDATA("Empate",Hoja4!$G$3,"id1",CONCATENATE($B$46,P43))</f>
        <v>0</v>
      </c>
      <c r="Q46" s="19"/>
      <c r="R46" s="23"/>
      <c r="S46" s="12">
        <f t="shared" si="2"/>
        <v>0</v>
      </c>
    </row>
    <row r="47" spans="1:19" x14ac:dyDescent="0.25">
      <c r="A47" s="40"/>
      <c r="B47" s="13" t="s">
        <v>10</v>
      </c>
      <c r="C47" s="21"/>
      <c r="D47" s="19"/>
      <c r="E47" s="18">
        <f>GETPIVOTDATA("Empate",Hoja4!$G$3,"id1",CONCATENATE($B$47,E43))</f>
        <v>2</v>
      </c>
      <c r="F47" s="10"/>
      <c r="G47" s="18">
        <f>GETPIVOTDATA("Empate",Hoja4!$G$3,"id1",CONCATENATE($B$47,G43))</f>
        <v>3</v>
      </c>
      <c r="H47" s="18">
        <f>GETPIVOTDATA("Empate",Hoja4!$G$3,"id1",CONCATENATE($B$47,H43))</f>
        <v>0</v>
      </c>
      <c r="I47" s="18">
        <f>GETPIVOTDATA("Empate",Hoja4!$G$3,"id1",CONCATENATE($B$47,I43))</f>
        <v>1</v>
      </c>
      <c r="J47" s="19"/>
      <c r="K47" s="19"/>
      <c r="L47" s="19"/>
      <c r="M47" s="18">
        <f>GETPIVOTDATA("Empate",Hoja4!$G$3,"id1",CONCATENATE($B$47,M43))</f>
        <v>2</v>
      </c>
      <c r="N47" s="18">
        <f>GETPIVOTDATA("Empate",Hoja4!$G$3,"id1",CONCATENATE($B$47,N43))</f>
        <v>2</v>
      </c>
      <c r="O47" s="18">
        <f>GETPIVOTDATA("Empate",Hoja4!$G$3,"id1",CONCATENATE($B$47,O43))</f>
        <v>6</v>
      </c>
      <c r="P47" s="18">
        <f>GETPIVOTDATA("Empate",Hoja4!$G$3,"id1",CONCATENATE($B$47,P43))</f>
        <v>0</v>
      </c>
      <c r="Q47" s="18">
        <f>GETPIVOTDATA("Empate",Hoja4!$G$3,"id1",CONCATENATE($B$47,Q43))</f>
        <v>4</v>
      </c>
      <c r="R47" s="22">
        <f>GETPIVOTDATA("Empate",Hoja4!$G$3,"id1",CONCATENATE($B$47,R43))</f>
        <v>2</v>
      </c>
      <c r="S47" s="12">
        <f t="shared" si="2"/>
        <v>22</v>
      </c>
    </row>
    <row r="48" spans="1:19" x14ac:dyDescent="0.25">
      <c r="A48" s="40"/>
      <c r="B48" s="13" t="s">
        <v>125</v>
      </c>
      <c r="C48" s="21"/>
      <c r="D48" s="19"/>
      <c r="E48" s="18">
        <f>GETPIVOTDATA("Empate",Hoja4!$G$3,"id1",CONCATENATE($B$48,E$43))</f>
        <v>1</v>
      </c>
      <c r="F48" s="19"/>
      <c r="G48" s="10"/>
      <c r="H48" s="18">
        <f>GETPIVOTDATA("Empate",Hoja4!$G$3,"id1",CONCATENATE($B$48,H$43))</f>
        <v>0</v>
      </c>
      <c r="I48" s="18">
        <f>GETPIVOTDATA("Empate",Hoja4!$G$3,"id1",CONCATENATE($B$48,I$43))</f>
        <v>1</v>
      </c>
      <c r="J48" s="18">
        <f>GETPIVOTDATA("Empate",Hoja4!$G$3,"id1",CONCATENATE($B$48,J$43))</f>
        <v>0</v>
      </c>
      <c r="K48" s="19"/>
      <c r="L48" s="19"/>
      <c r="M48" s="18">
        <f>GETPIVOTDATA("Empate",Hoja4!$G$3,"id1",CONCATENATE($B$48,M$43))</f>
        <v>0</v>
      </c>
      <c r="N48" s="18">
        <f>GETPIVOTDATA("Empate",Hoja4!$G$3,"id1",CONCATENATE($B$48,N$43))</f>
        <v>1</v>
      </c>
      <c r="O48" s="18">
        <f>GETPIVOTDATA("Empate",Hoja4!$G$3,"id1",CONCATENATE($B$48,O$43))</f>
        <v>5</v>
      </c>
      <c r="P48" s="18">
        <f>GETPIVOTDATA("Empate",Hoja4!$G$3,"id1",CONCATENATE($B$48,P$43))</f>
        <v>0</v>
      </c>
      <c r="Q48" s="18">
        <f>GETPIVOTDATA("Empate",Hoja4!$G$3,"id1",CONCATENATE($B$48,Q$43))</f>
        <v>2</v>
      </c>
      <c r="R48" s="22">
        <f>GETPIVOTDATA("Empate",Hoja4!$G$3,"id1",CONCATENATE($B$48,R$43))</f>
        <v>1</v>
      </c>
      <c r="S48" s="12">
        <f t="shared" si="2"/>
        <v>11</v>
      </c>
    </row>
    <row r="49" spans="1:57" x14ac:dyDescent="0.25">
      <c r="A49" s="40"/>
      <c r="B49" s="13" t="s">
        <v>319</v>
      </c>
      <c r="C49" s="21"/>
      <c r="D49" s="19"/>
      <c r="E49" s="19"/>
      <c r="F49" s="19"/>
      <c r="G49" s="19"/>
      <c r="H49" s="10"/>
      <c r="I49" s="19"/>
      <c r="J49" s="18">
        <f>GETPIVOTDATA("Empate",Hoja4!$G$3,"id1",CONCATENATE($B49,J$43))</f>
        <v>0</v>
      </c>
      <c r="K49" s="19"/>
      <c r="L49" s="19"/>
      <c r="M49" s="19"/>
      <c r="N49" s="19"/>
      <c r="O49" s="19"/>
      <c r="P49" s="19"/>
      <c r="Q49" s="19"/>
      <c r="R49" s="23"/>
      <c r="S49" s="12">
        <f t="shared" si="2"/>
        <v>0</v>
      </c>
    </row>
    <row r="50" spans="1:57" x14ac:dyDescent="0.25">
      <c r="A50" s="40"/>
      <c r="B50" s="13" t="s">
        <v>99</v>
      </c>
      <c r="C50" s="21"/>
      <c r="D50" s="19"/>
      <c r="E50" s="18">
        <f>GETPIVOTDATA("Empate",Hoja4!$G$3,"id1",CONCATENATE($B50,E$43))</f>
        <v>1</v>
      </c>
      <c r="F50" s="19"/>
      <c r="G50" s="19"/>
      <c r="H50" s="19"/>
      <c r="I50" s="10"/>
      <c r="J50" s="19"/>
      <c r="K50" s="19"/>
      <c r="L50" s="19"/>
      <c r="M50" s="18">
        <f>GETPIVOTDATA("Empate",Hoja4!$G$3,"id1",CONCATENATE($B50,M$43))</f>
        <v>1</v>
      </c>
      <c r="N50" s="18">
        <f>GETPIVOTDATA("Empate",Hoja4!$G$3,"id1",CONCATENATE($B50,N$43))</f>
        <v>4</v>
      </c>
      <c r="O50" s="18">
        <f>GETPIVOTDATA("Empate",Hoja4!$G$3,"id1",CONCATENATE($B50,O$43))</f>
        <v>2</v>
      </c>
      <c r="P50" s="18">
        <f>GETPIVOTDATA("Empate",Hoja4!$G$3,"id1",CONCATENATE($B50,P$43))</f>
        <v>0</v>
      </c>
      <c r="Q50" s="18">
        <f>GETPIVOTDATA("Empate",Hoja4!$G$3,"id1",CONCATENATE($B50,Q$43))</f>
        <v>1</v>
      </c>
      <c r="R50" s="22">
        <f>GETPIVOTDATA("Empate",Hoja4!$G$3,"id1",CONCATENATE($B50,R$43))</f>
        <v>0</v>
      </c>
      <c r="S50" s="12">
        <f t="shared" si="2"/>
        <v>9</v>
      </c>
    </row>
    <row r="51" spans="1:57" x14ac:dyDescent="0.25">
      <c r="A51" s="40"/>
      <c r="B51" s="13" t="s">
        <v>342</v>
      </c>
      <c r="C51" s="21"/>
      <c r="D51" s="19"/>
      <c r="E51" s="19"/>
      <c r="F51" s="19"/>
      <c r="G51" s="19"/>
      <c r="H51" s="19"/>
      <c r="I51" s="19"/>
      <c r="J51" s="10"/>
      <c r="K51" s="19"/>
      <c r="L51" s="19"/>
      <c r="M51" s="19"/>
      <c r="N51" s="19"/>
      <c r="O51" s="19"/>
      <c r="P51" s="19"/>
      <c r="Q51" s="19"/>
      <c r="R51" s="23"/>
      <c r="S51" s="12">
        <f t="shared" si="2"/>
        <v>0</v>
      </c>
    </row>
    <row r="52" spans="1:57" x14ac:dyDescent="0.25">
      <c r="A52" s="40"/>
      <c r="B52" s="13" t="s">
        <v>396</v>
      </c>
      <c r="C52" s="21"/>
      <c r="D52" s="19"/>
      <c r="E52" s="19"/>
      <c r="F52" s="19"/>
      <c r="G52" s="19"/>
      <c r="H52" s="19"/>
      <c r="I52" s="19"/>
      <c r="J52" s="19"/>
      <c r="K52" s="10"/>
      <c r="L52" s="19"/>
      <c r="M52" s="19"/>
      <c r="N52" s="19"/>
      <c r="O52" s="19"/>
      <c r="P52" s="19"/>
      <c r="Q52" s="19"/>
      <c r="R52" s="23"/>
      <c r="S52" s="12">
        <f t="shared" si="2"/>
        <v>0</v>
      </c>
    </row>
    <row r="53" spans="1:57" x14ac:dyDescent="0.25">
      <c r="A53" s="40"/>
      <c r="B53" s="13" t="s">
        <v>327</v>
      </c>
      <c r="C53" s="21"/>
      <c r="D53" s="19"/>
      <c r="E53" s="19"/>
      <c r="F53" s="19"/>
      <c r="G53" s="19"/>
      <c r="H53" s="19"/>
      <c r="I53" s="19"/>
      <c r="J53" s="19"/>
      <c r="K53" s="19"/>
      <c r="L53" s="10"/>
      <c r="M53" s="19"/>
      <c r="N53" s="19"/>
      <c r="O53" s="19"/>
      <c r="P53" s="19"/>
      <c r="Q53" s="19"/>
      <c r="R53" s="23"/>
      <c r="S53" s="12">
        <f t="shared" si="2"/>
        <v>0</v>
      </c>
    </row>
    <row r="54" spans="1:57" x14ac:dyDescent="0.25">
      <c r="A54" s="40"/>
      <c r="B54" s="13" t="s">
        <v>482</v>
      </c>
      <c r="C54" s="21"/>
      <c r="D54" s="19"/>
      <c r="E54" s="19"/>
      <c r="F54" s="19"/>
      <c r="G54" s="19"/>
      <c r="H54" s="18">
        <f>GETPIVOTDATA("Empate",Hoja4!$G$3,"id1",CONCATENATE($B54,H$43))</f>
        <v>1</v>
      </c>
      <c r="I54" s="19"/>
      <c r="J54" s="19"/>
      <c r="K54" s="19"/>
      <c r="L54" s="19"/>
      <c r="M54" s="10"/>
      <c r="N54" s="19"/>
      <c r="O54" s="19"/>
      <c r="P54" s="18">
        <f>GETPIVOTDATA("Empate",Hoja4!$G$3,"id1",CONCATENATE($B54,P$43))</f>
        <v>1</v>
      </c>
      <c r="Q54" s="19"/>
      <c r="R54" s="23"/>
      <c r="S54" s="12">
        <f t="shared" si="2"/>
        <v>2</v>
      </c>
    </row>
    <row r="55" spans="1:57" x14ac:dyDescent="0.25">
      <c r="A55" s="40"/>
      <c r="B55" s="13" t="s">
        <v>43</v>
      </c>
      <c r="C55" s="21"/>
      <c r="D55" s="19"/>
      <c r="E55" s="18">
        <f>GETPIVOTDATA("Empate",Hoja4!$G$3,"id1",CONCATENATE($B55,E$43))</f>
        <v>9</v>
      </c>
      <c r="F55" s="19"/>
      <c r="G55" s="19"/>
      <c r="H55" s="18">
        <f>GETPIVOTDATA("Empate",Hoja4!$G$3,"id1",CONCATENATE($B55,H$43))</f>
        <v>0</v>
      </c>
      <c r="I55" s="19"/>
      <c r="J55" s="19"/>
      <c r="K55" s="18">
        <f>GETPIVOTDATA("Empate",Hoja4!$G$3,"id1",CONCATENATE($B55,K$43))</f>
        <v>0</v>
      </c>
      <c r="L55" s="18">
        <f>GETPIVOTDATA("Empate",Hoja4!$G$3,"id1",CONCATENATE($B55,L$43))</f>
        <v>0</v>
      </c>
      <c r="M55" s="18">
        <f>GETPIVOTDATA("Empate",Hoja4!$G$3,"id1",CONCATENATE($B55,M$43))</f>
        <v>1</v>
      </c>
      <c r="N55" s="10"/>
      <c r="O55" s="18">
        <f>GETPIVOTDATA("Empate",Hoja4!$G$3,"id1",CONCATENATE($B55,O$43))</f>
        <v>7</v>
      </c>
      <c r="P55" s="18">
        <f>GETPIVOTDATA("Empate",Hoja4!$G$3,"id1",CONCATENATE($B55,P$43))</f>
        <v>0</v>
      </c>
      <c r="Q55" s="18">
        <f>GETPIVOTDATA("Empate",Hoja4!$G$3,"id1",CONCATENATE($B55,Q$43))</f>
        <v>6</v>
      </c>
      <c r="R55" s="22">
        <f>GETPIVOTDATA("Empate",Hoja4!$G$3,"id1",CONCATENATE($B55,R$43))</f>
        <v>2</v>
      </c>
      <c r="S55" s="12">
        <f t="shared" si="2"/>
        <v>25</v>
      </c>
    </row>
    <row r="56" spans="1:57" x14ac:dyDescent="0.25">
      <c r="A56" s="40"/>
      <c r="B56" s="13" t="s">
        <v>66</v>
      </c>
      <c r="C56" s="21"/>
      <c r="D56" s="19"/>
      <c r="E56" s="18">
        <f>GETPIVOTDATA("Empate",Hoja4!$G$3,"id1",CONCATENATE($B56,E$43))</f>
        <v>3</v>
      </c>
      <c r="F56" s="19"/>
      <c r="G56" s="19"/>
      <c r="H56" s="19"/>
      <c r="I56" s="19"/>
      <c r="J56" s="19"/>
      <c r="K56" s="19"/>
      <c r="L56" s="18">
        <f>GETPIVOTDATA("Empate",Hoja4!$G$3,"id1",CONCATENATE($B56,L$43))</f>
        <v>0</v>
      </c>
      <c r="M56" s="18">
        <f>GETPIVOTDATA("Empate",Hoja4!$G$3,"id1",CONCATENATE($B56,M$43))</f>
        <v>1</v>
      </c>
      <c r="N56" s="19"/>
      <c r="O56" s="10"/>
      <c r="P56" s="19"/>
      <c r="Q56" s="18">
        <f>GETPIVOTDATA("Empate",Hoja4!$G$3,"id1",CONCATENATE($B56,Q$43))</f>
        <v>2</v>
      </c>
      <c r="R56" s="22">
        <f>GETPIVOTDATA("Empate",Hoja4!$G$3,"id1",CONCATENATE($B56,R$43))</f>
        <v>1</v>
      </c>
      <c r="S56" s="12">
        <f t="shared" si="2"/>
        <v>7</v>
      </c>
    </row>
    <row r="57" spans="1:57" x14ac:dyDescent="0.25">
      <c r="A57" s="40"/>
      <c r="B57" s="13" t="s">
        <v>311</v>
      </c>
      <c r="C57" s="21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0"/>
      <c r="Q57" s="19"/>
      <c r="R57" s="23"/>
      <c r="S57" s="12">
        <f t="shared" si="2"/>
        <v>0</v>
      </c>
    </row>
    <row r="58" spans="1:57" x14ac:dyDescent="0.25">
      <c r="A58" s="40"/>
      <c r="B58" s="13" t="s">
        <v>11</v>
      </c>
      <c r="C58" s="21"/>
      <c r="D58" s="19"/>
      <c r="E58" s="18">
        <f>GETPIVOTDATA("Empate",Hoja4!$G$3,"id1",CONCATENATE($B58,E$43))</f>
        <v>8</v>
      </c>
      <c r="F58" s="19"/>
      <c r="G58" s="19"/>
      <c r="H58" s="18">
        <f>GETPIVOTDATA("Empate",Hoja4!$G$3,"id1",CONCATENATE($B58,H$43))</f>
        <v>1</v>
      </c>
      <c r="I58" s="19"/>
      <c r="J58" s="18">
        <f>GETPIVOTDATA("Empate",Hoja4!$G$3,"id1",CONCATENATE($B58,J$43))</f>
        <v>1</v>
      </c>
      <c r="K58" s="18">
        <f>GETPIVOTDATA("Empate",Hoja4!$G$3,"id1",CONCATENATE($B58,K$43))</f>
        <v>0</v>
      </c>
      <c r="L58" s="19"/>
      <c r="M58" s="18">
        <f>GETPIVOTDATA("Empate",Hoja4!$G$3,"id1",CONCATENATE($B58,M$43))</f>
        <v>2</v>
      </c>
      <c r="N58" s="19"/>
      <c r="O58" s="19"/>
      <c r="P58" s="18">
        <f>GETPIVOTDATA("Empate",Hoja4!$G$3,"id1",CONCATENATE($B58,P$43))</f>
        <v>0</v>
      </c>
      <c r="Q58" s="10"/>
      <c r="R58" s="22">
        <f>GETPIVOTDATA("Empate",Hoja4!$G$3,"id1",CONCATENATE($B58,R$43))</f>
        <v>2</v>
      </c>
      <c r="S58" s="12">
        <f t="shared" si="2"/>
        <v>14</v>
      </c>
    </row>
    <row r="59" spans="1:57" ht="15.75" thickBot="1" x14ac:dyDescent="0.3">
      <c r="A59" s="40"/>
      <c r="B59" s="13" t="s">
        <v>211</v>
      </c>
      <c r="C59" s="24"/>
      <c r="D59" s="25"/>
      <c r="E59" s="26">
        <f>GETPIVOTDATA("Empate",Hoja4!$G$3,"id1",CONCATENATE($B59,E$43))</f>
        <v>1</v>
      </c>
      <c r="F59" s="25"/>
      <c r="G59" s="25"/>
      <c r="H59" s="25"/>
      <c r="I59" s="25"/>
      <c r="J59" s="25"/>
      <c r="K59" s="25"/>
      <c r="L59" s="25"/>
      <c r="M59" s="26">
        <f>GETPIVOTDATA("Empate",Hoja4!$G$3,"id1",CONCATENATE($B59,M$43))</f>
        <v>0</v>
      </c>
      <c r="N59" s="25"/>
      <c r="O59" s="25"/>
      <c r="P59" s="26">
        <f>GETPIVOTDATA("Empate",Hoja4!$G$3,"id1",CONCATENATE($B59,P$43))</f>
        <v>1</v>
      </c>
      <c r="Q59" s="25"/>
      <c r="R59" s="11"/>
      <c r="S59" s="12">
        <f t="shared" si="2"/>
        <v>2</v>
      </c>
    </row>
    <row r="61" spans="1:57" ht="23.25" x14ac:dyDescent="0.35">
      <c r="A61" s="17" t="s">
        <v>603</v>
      </c>
      <c r="U61" s="17" t="s">
        <v>605</v>
      </c>
    </row>
    <row r="62" spans="1:57" ht="23.25" x14ac:dyDescent="0.25">
      <c r="C62" s="39" t="s">
        <v>596</v>
      </c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W62" s="39" t="s">
        <v>596</v>
      </c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P62" s="8">
        <v>1</v>
      </c>
      <c r="AQ62" s="8">
        <v>2</v>
      </c>
      <c r="AR62" s="8">
        <v>3</v>
      </c>
      <c r="AS62" s="8">
        <v>4</v>
      </c>
      <c r="AT62" s="8">
        <v>5</v>
      </c>
      <c r="AU62" s="8">
        <v>6</v>
      </c>
      <c r="AV62" s="8">
        <v>7</v>
      </c>
      <c r="AW62" s="8">
        <v>8</v>
      </c>
      <c r="AX62" s="8">
        <v>9</v>
      </c>
      <c r="AY62" s="8">
        <v>10</v>
      </c>
      <c r="AZ62" s="8">
        <v>11</v>
      </c>
      <c r="BA62" s="8">
        <v>12</v>
      </c>
      <c r="BB62" s="8">
        <v>13</v>
      </c>
      <c r="BC62" s="8">
        <v>14</v>
      </c>
      <c r="BD62" s="8">
        <v>15</v>
      </c>
      <c r="BE62" s="8">
        <v>16</v>
      </c>
    </row>
    <row r="63" spans="1:57" ht="15.75" thickBot="1" x14ac:dyDescent="0.3">
      <c r="C63" s="14" t="s">
        <v>16</v>
      </c>
      <c r="D63" s="14" t="s">
        <v>56</v>
      </c>
      <c r="E63" s="14" t="s">
        <v>19</v>
      </c>
      <c r="F63" s="14" t="s">
        <v>10</v>
      </c>
      <c r="G63" s="14" t="s">
        <v>125</v>
      </c>
      <c r="H63" s="14" t="s">
        <v>319</v>
      </c>
      <c r="I63" s="14" t="s">
        <v>99</v>
      </c>
      <c r="J63" s="14" t="s">
        <v>342</v>
      </c>
      <c r="K63" s="14" t="s">
        <v>396</v>
      </c>
      <c r="L63" s="14" t="s">
        <v>327</v>
      </c>
      <c r="M63" s="14" t="s">
        <v>482</v>
      </c>
      <c r="N63" s="14" t="s">
        <v>43</v>
      </c>
      <c r="O63" s="14" t="s">
        <v>66</v>
      </c>
      <c r="P63" s="14" t="s">
        <v>311</v>
      </c>
      <c r="Q63" s="14" t="s">
        <v>11</v>
      </c>
      <c r="R63" s="14" t="s">
        <v>211</v>
      </c>
      <c r="S63" s="14" t="s">
        <v>597</v>
      </c>
      <c r="W63" s="14" t="s">
        <v>16</v>
      </c>
      <c r="X63" s="14" t="s">
        <v>56</v>
      </c>
      <c r="Y63" s="14" t="s">
        <v>19</v>
      </c>
      <c r="Z63" s="14" t="s">
        <v>10</v>
      </c>
      <c r="AA63" s="14" t="s">
        <v>125</v>
      </c>
      <c r="AB63" s="14" t="s">
        <v>319</v>
      </c>
      <c r="AC63" s="14" t="s">
        <v>99</v>
      </c>
      <c r="AD63" s="14" t="s">
        <v>342</v>
      </c>
      <c r="AE63" s="14" t="s">
        <v>396</v>
      </c>
      <c r="AF63" s="14" t="s">
        <v>327</v>
      </c>
      <c r="AG63" s="14" t="s">
        <v>482</v>
      </c>
      <c r="AH63" s="14" t="s">
        <v>43</v>
      </c>
      <c r="AI63" s="14" t="s">
        <v>66</v>
      </c>
      <c r="AJ63" s="14" t="s">
        <v>311</v>
      </c>
      <c r="AK63" s="14" t="s">
        <v>11</v>
      </c>
      <c r="AL63" s="14" t="s">
        <v>211</v>
      </c>
      <c r="AM63" s="14" t="s">
        <v>597</v>
      </c>
    </row>
    <row r="64" spans="1:57" x14ac:dyDescent="0.25">
      <c r="A64" s="40" t="s">
        <v>595</v>
      </c>
      <c r="B64" s="13" t="s">
        <v>16</v>
      </c>
      <c r="C64" s="9"/>
      <c r="D64" s="15">
        <f>D4+D24+D44</f>
        <v>12</v>
      </c>
      <c r="E64" s="15">
        <f t="shared" ref="E64:R64" si="3">E4+E24+E44</f>
        <v>23</v>
      </c>
      <c r="F64" s="15">
        <f t="shared" si="3"/>
        <v>24</v>
      </c>
      <c r="G64" s="15">
        <f t="shared" si="3"/>
        <v>10</v>
      </c>
      <c r="H64" s="15">
        <f t="shared" si="3"/>
        <v>1</v>
      </c>
      <c r="I64" s="15">
        <f t="shared" si="3"/>
        <v>15</v>
      </c>
      <c r="J64" s="15">
        <f t="shared" si="3"/>
        <v>0</v>
      </c>
      <c r="K64" s="15">
        <f t="shared" si="3"/>
        <v>1</v>
      </c>
      <c r="L64" s="15">
        <f t="shared" si="3"/>
        <v>0</v>
      </c>
      <c r="M64" s="15">
        <f t="shared" si="3"/>
        <v>3</v>
      </c>
      <c r="N64" s="15">
        <f t="shared" si="3"/>
        <v>23</v>
      </c>
      <c r="O64" s="15">
        <f t="shared" si="3"/>
        <v>14</v>
      </c>
      <c r="P64" s="15">
        <f t="shared" si="3"/>
        <v>1</v>
      </c>
      <c r="Q64" s="15">
        <f t="shared" si="3"/>
        <v>18</v>
      </c>
      <c r="R64" s="20">
        <f t="shared" si="3"/>
        <v>4</v>
      </c>
      <c r="S64" s="12">
        <f>SUM(C64:R64)</f>
        <v>149</v>
      </c>
      <c r="U64" s="40" t="s">
        <v>595</v>
      </c>
      <c r="V64" s="13" t="s">
        <v>16</v>
      </c>
      <c r="W64" s="9"/>
      <c r="X64" s="15">
        <f>INDEX($C$64:$R$79,$AO64,AQ$62)+INDEX($C$64:$R$79,AQ$62,$AO$64)</f>
        <v>14</v>
      </c>
      <c r="Y64" s="15">
        <f t="shared" ref="Y64:AL64" si="4">INDEX($C$64:$R$79,$AO64,AR$62)+INDEX($C$64:$R$79,AR$62,$AO$64)</f>
        <v>32</v>
      </c>
      <c r="Z64" s="15">
        <f t="shared" si="4"/>
        <v>24</v>
      </c>
      <c r="AA64" s="15">
        <f t="shared" si="4"/>
        <v>12</v>
      </c>
      <c r="AB64" s="15">
        <f t="shared" si="4"/>
        <v>1</v>
      </c>
      <c r="AC64" s="15">
        <f t="shared" si="4"/>
        <v>15</v>
      </c>
      <c r="AD64" s="15">
        <f t="shared" si="4"/>
        <v>0</v>
      </c>
      <c r="AE64" s="15">
        <f t="shared" si="4"/>
        <v>1</v>
      </c>
      <c r="AF64" s="15">
        <f t="shared" si="4"/>
        <v>0</v>
      </c>
      <c r="AG64" s="15">
        <f t="shared" si="4"/>
        <v>4</v>
      </c>
      <c r="AH64" s="15">
        <f t="shared" si="4"/>
        <v>23</v>
      </c>
      <c r="AI64" s="15">
        <f t="shared" si="4"/>
        <v>17</v>
      </c>
      <c r="AJ64" s="15">
        <f t="shared" si="4"/>
        <v>2</v>
      </c>
      <c r="AK64" s="15">
        <f t="shared" si="4"/>
        <v>31</v>
      </c>
      <c r="AL64" s="20">
        <f t="shared" si="4"/>
        <v>4</v>
      </c>
      <c r="AM64" s="12">
        <f>SUM(W64:AL64)</f>
        <v>180</v>
      </c>
      <c r="AO64" s="8">
        <v>1</v>
      </c>
    </row>
    <row r="65" spans="1:41" x14ac:dyDescent="0.25">
      <c r="A65" s="40"/>
      <c r="B65" s="13" t="s">
        <v>56</v>
      </c>
      <c r="C65" s="29">
        <f>C5+C25+C45</f>
        <v>2</v>
      </c>
      <c r="D65" s="10"/>
      <c r="E65" s="18">
        <f t="shared" ref="E65:R65" si="5">E5+E25+E45</f>
        <v>2</v>
      </c>
      <c r="F65" s="18">
        <f t="shared" si="5"/>
        <v>5</v>
      </c>
      <c r="G65" s="18">
        <f t="shared" si="5"/>
        <v>8</v>
      </c>
      <c r="H65" s="18">
        <f t="shared" si="5"/>
        <v>0</v>
      </c>
      <c r="I65" s="18">
        <f t="shared" si="5"/>
        <v>7</v>
      </c>
      <c r="J65" s="18">
        <f t="shared" si="5"/>
        <v>0</v>
      </c>
      <c r="K65" s="18">
        <f t="shared" si="5"/>
        <v>0</v>
      </c>
      <c r="L65" s="18">
        <f t="shared" si="5"/>
        <v>1</v>
      </c>
      <c r="M65" s="18">
        <f t="shared" si="5"/>
        <v>3</v>
      </c>
      <c r="N65" s="18">
        <f t="shared" si="5"/>
        <v>3</v>
      </c>
      <c r="O65" s="18">
        <f t="shared" si="5"/>
        <v>7</v>
      </c>
      <c r="P65" s="18">
        <f t="shared" si="5"/>
        <v>1</v>
      </c>
      <c r="Q65" s="18">
        <f t="shared" si="5"/>
        <v>3</v>
      </c>
      <c r="R65" s="22">
        <f t="shared" si="5"/>
        <v>3</v>
      </c>
      <c r="S65" s="12">
        <f>SUM(C65:R65)</f>
        <v>45</v>
      </c>
      <c r="U65" s="40"/>
      <c r="V65" s="13" t="s">
        <v>56</v>
      </c>
      <c r="W65" s="29">
        <f>INDEX($C$64:$R$79,$AO64,AQ$62)+INDEX($C$64:$R$79,AQ$62,$AO$64)</f>
        <v>14</v>
      </c>
      <c r="X65" s="10"/>
      <c r="Y65" s="18">
        <f>INDEX($C$64:$R$79,$AO65,AR$62)+INDEX($C$64:$R$79,AR$62,$AO$65)</f>
        <v>10</v>
      </c>
      <c r="Z65" s="18">
        <f t="shared" ref="Z65:AL65" si="6">INDEX($C$64:$R$79,$AO65,AS$62)+INDEX($C$64:$R$79,AS$62,$AO$65)</f>
        <v>13</v>
      </c>
      <c r="AA65" s="18">
        <f t="shared" si="6"/>
        <v>12</v>
      </c>
      <c r="AB65" s="18">
        <f t="shared" si="6"/>
        <v>2</v>
      </c>
      <c r="AC65" s="18">
        <f t="shared" si="6"/>
        <v>8</v>
      </c>
      <c r="AD65" s="18">
        <f t="shared" si="6"/>
        <v>1</v>
      </c>
      <c r="AE65" s="18">
        <f t="shared" si="6"/>
        <v>0</v>
      </c>
      <c r="AF65" s="18">
        <f t="shared" si="6"/>
        <v>1</v>
      </c>
      <c r="AG65" s="18">
        <f t="shared" si="6"/>
        <v>3</v>
      </c>
      <c r="AH65" s="18">
        <f t="shared" si="6"/>
        <v>10</v>
      </c>
      <c r="AI65" s="18">
        <f t="shared" si="6"/>
        <v>14</v>
      </c>
      <c r="AJ65" s="18">
        <f t="shared" si="6"/>
        <v>1</v>
      </c>
      <c r="AK65" s="18">
        <f t="shared" si="6"/>
        <v>16</v>
      </c>
      <c r="AL65" s="22">
        <f t="shared" si="6"/>
        <v>4</v>
      </c>
      <c r="AM65" s="12">
        <f>SUM(W65:AL65)</f>
        <v>109</v>
      </c>
      <c r="AO65" s="8">
        <v>2</v>
      </c>
    </row>
    <row r="66" spans="1:41" x14ac:dyDescent="0.25">
      <c r="A66" s="40"/>
      <c r="B66" s="13" t="s">
        <v>19</v>
      </c>
      <c r="C66" s="29">
        <f t="shared" ref="C66:R78" si="7">C6+C26+C46</f>
        <v>9</v>
      </c>
      <c r="D66" s="18">
        <f t="shared" si="7"/>
        <v>8</v>
      </c>
      <c r="E66" s="10"/>
      <c r="F66" s="18">
        <f t="shared" si="7"/>
        <v>16</v>
      </c>
      <c r="G66" s="18">
        <f t="shared" si="7"/>
        <v>7</v>
      </c>
      <c r="H66" s="18">
        <f t="shared" si="7"/>
        <v>2</v>
      </c>
      <c r="I66" s="18">
        <f t="shared" si="7"/>
        <v>12</v>
      </c>
      <c r="J66" s="18">
        <f t="shared" si="7"/>
        <v>0</v>
      </c>
      <c r="K66" s="18">
        <f t="shared" si="7"/>
        <v>0</v>
      </c>
      <c r="L66" s="18">
        <f t="shared" si="7"/>
        <v>0</v>
      </c>
      <c r="M66" s="18">
        <f t="shared" si="7"/>
        <v>4</v>
      </c>
      <c r="N66" s="18">
        <f t="shared" si="7"/>
        <v>13</v>
      </c>
      <c r="O66" s="18">
        <f t="shared" si="7"/>
        <v>11</v>
      </c>
      <c r="P66" s="18">
        <f t="shared" si="7"/>
        <v>1</v>
      </c>
      <c r="Q66" s="18">
        <f t="shared" si="7"/>
        <v>9</v>
      </c>
      <c r="R66" s="22">
        <f t="shared" si="7"/>
        <v>5</v>
      </c>
      <c r="S66" s="12">
        <f t="shared" ref="S66:S79" si="8">SUM(C66:R66)</f>
        <v>97</v>
      </c>
      <c r="U66" s="40"/>
      <c r="V66" s="13" t="s">
        <v>19</v>
      </c>
      <c r="W66" s="29">
        <f>INDEX($C$64:$R$79,$AO64,AR$62)+INDEX($C$64:$R$79,AR$62,$AO$64)</f>
        <v>32</v>
      </c>
      <c r="X66" s="18">
        <f>INDEX($C$64:$R$79,$AO65,AR$62)+INDEX($C$64:$R$79,AR$62,$AO$65)</f>
        <v>10</v>
      </c>
      <c r="Y66" s="10"/>
      <c r="Z66" s="18">
        <f>INDEX($C$64:$R$79,$AO66,AS$62)+INDEX($C$64:$R$79,AS$62,$AO$66)</f>
        <v>21</v>
      </c>
      <c r="AA66" s="18">
        <f t="shared" ref="AA66:AL66" si="9">INDEX($C$64:$R$79,$AO66,AT$62)+INDEX($C$64:$R$79,AT$62,$AO$66)</f>
        <v>10</v>
      </c>
      <c r="AB66" s="18">
        <f t="shared" si="9"/>
        <v>2</v>
      </c>
      <c r="AC66" s="18">
        <f t="shared" si="9"/>
        <v>13</v>
      </c>
      <c r="AD66" s="18">
        <f t="shared" si="9"/>
        <v>1</v>
      </c>
      <c r="AE66" s="18">
        <f t="shared" si="9"/>
        <v>0</v>
      </c>
      <c r="AF66" s="18">
        <f t="shared" si="9"/>
        <v>0</v>
      </c>
      <c r="AG66" s="18">
        <f t="shared" si="9"/>
        <v>6</v>
      </c>
      <c r="AH66" s="18">
        <f t="shared" si="9"/>
        <v>29</v>
      </c>
      <c r="AI66" s="18">
        <f t="shared" si="9"/>
        <v>16</v>
      </c>
      <c r="AJ66" s="18">
        <f t="shared" si="9"/>
        <v>1</v>
      </c>
      <c r="AK66" s="18">
        <f t="shared" si="9"/>
        <v>26</v>
      </c>
      <c r="AL66" s="22">
        <f t="shared" si="9"/>
        <v>6</v>
      </c>
      <c r="AM66" s="12">
        <f t="shared" ref="AM66:AM79" si="10">SUM(W66:AL66)</f>
        <v>173</v>
      </c>
      <c r="AO66" s="8">
        <v>3</v>
      </c>
    </row>
    <row r="67" spans="1:41" x14ac:dyDescent="0.25">
      <c r="A67" s="40"/>
      <c r="B67" s="13" t="s">
        <v>10</v>
      </c>
      <c r="C67" s="29">
        <f t="shared" si="7"/>
        <v>0</v>
      </c>
      <c r="D67" s="18">
        <f t="shared" si="7"/>
        <v>8</v>
      </c>
      <c r="E67" s="18">
        <f t="shared" si="7"/>
        <v>5</v>
      </c>
      <c r="F67" s="10"/>
      <c r="G67" s="18">
        <f t="shared" si="7"/>
        <v>10</v>
      </c>
      <c r="H67" s="18">
        <f t="shared" si="7"/>
        <v>0</v>
      </c>
      <c r="I67" s="18">
        <f t="shared" si="7"/>
        <v>13</v>
      </c>
      <c r="J67" s="18">
        <f t="shared" si="7"/>
        <v>0</v>
      </c>
      <c r="K67" s="18">
        <f t="shared" si="7"/>
        <v>0</v>
      </c>
      <c r="L67" s="18">
        <f t="shared" si="7"/>
        <v>0</v>
      </c>
      <c r="M67" s="18">
        <f t="shared" si="7"/>
        <v>3</v>
      </c>
      <c r="N67" s="18">
        <f t="shared" si="7"/>
        <v>9</v>
      </c>
      <c r="O67" s="18">
        <f t="shared" si="7"/>
        <v>13</v>
      </c>
      <c r="P67" s="18">
        <f t="shared" si="7"/>
        <v>0</v>
      </c>
      <c r="Q67" s="18">
        <f t="shared" si="7"/>
        <v>10</v>
      </c>
      <c r="R67" s="22">
        <f t="shared" si="7"/>
        <v>9</v>
      </c>
      <c r="S67" s="12">
        <f t="shared" si="8"/>
        <v>80</v>
      </c>
      <c r="U67" s="40"/>
      <c r="V67" s="13" t="s">
        <v>10</v>
      </c>
      <c r="W67" s="29">
        <f>INDEX($C$64:$R$79,$AO64,AS$62)+INDEX($C$64:$R$79,AS$62,$AO$64)</f>
        <v>24</v>
      </c>
      <c r="X67" s="18">
        <f>INDEX($C$64:$R$79,$AO65,AS$62)+INDEX($C$64:$R$79,AS$62,$AO$65)</f>
        <v>13</v>
      </c>
      <c r="Y67" s="18">
        <f>INDEX($C$64:$R$79,$AO66,AS$62)+INDEX($C$64:$R$79,AS$62,$AO$66)</f>
        <v>21</v>
      </c>
      <c r="Z67" s="10"/>
      <c r="AA67" s="18">
        <f>INDEX($C$64:$R$79,$AO67,AT$62)+INDEX($C$64:$R$79,AT$62,$AO$67)</f>
        <v>12</v>
      </c>
      <c r="AB67" s="18">
        <f t="shared" ref="AB67:AL67" si="11">INDEX($C$64:$R$79,$AO67,AU$62)+INDEX($C$64:$R$79,AU$62,$AO$67)</f>
        <v>1</v>
      </c>
      <c r="AC67" s="18">
        <f t="shared" si="11"/>
        <v>14</v>
      </c>
      <c r="AD67" s="18">
        <f t="shared" si="11"/>
        <v>0</v>
      </c>
      <c r="AE67" s="18">
        <f t="shared" si="11"/>
        <v>0</v>
      </c>
      <c r="AF67" s="18">
        <f t="shared" si="11"/>
        <v>0</v>
      </c>
      <c r="AG67" s="18">
        <f t="shared" si="11"/>
        <v>6</v>
      </c>
      <c r="AH67" s="18">
        <f t="shared" si="11"/>
        <v>21</v>
      </c>
      <c r="AI67" s="18">
        <f t="shared" si="11"/>
        <v>19</v>
      </c>
      <c r="AJ67" s="18">
        <f t="shared" si="11"/>
        <v>1</v>
      </c>
      <c r="AK67" s="18">
        <f t="shared" si="11"/>
        <v>28</v>
      </c>
      <c r="AL67" s="22">
        <f t="shared" si="11"/>
        <v>10</v>
      </c>
      <c r="AM67" s="12">
        <f t="shared" si="10"/>
        <v>170</v>
      </c>
      <c r="AO67" s="8">
        <v>4</v>
      </c>
    </row>
    <row r="68" spans="1:41" x14ac:dyDescent="0.25">
      <c r="A68" s="40"/>
      <c r="B68" s="13" t="s">
        <v>125</v>
      </c>
      <c r="C68" s="29">
        <f t="shared" si="7"/>
        <v>2</v>
      </c>
      <c r="D68" s="18">
        <f t="shared" si="7"/>
        <v>4</v>
      </c>
      <c r="E68" s="18">
        <f t="shared" si="7"/>
        <v>3</v>
      </c>
      <c r="F68" s="18">
        <f t="shared" si="7"/>
        <v>2</v>
      </c>
      <c r="G68" s="10"/>
      <c r="H68" s="18">
        <f t="shared" si="7"/>
        <v>3</v>
      </c>
      <c r="I68" s="18">
        <f t="shared" si="7"/>
        <v>10</v>
      </c>
      <c r="J68" s="18">
        <f t="shared" si="7"/>
        <v>1</v>
      </c>
      <c r="K68" s="18">
        <f t="shared" si="7"/>
        <v>0</v>
      </c>
      <c r="L68" s="18">
        <f t="shared" si="7"/>
        <v>0</v>
      </c>
      <c r="M68" s="18">
        <f t="shared" si="7"/>
        <v>2</v>
      </c>
      <c r="N68" s="18">
        <f t="shared" si="7"/>
        <v>4</v>
      </c>
      <c r="O68" s="18">
        <f t="shared" si="7"/>
        <v>7</v>
      </c>
      <c r="P68" s="18">
        <f t="shared" si="7"/>
        <v>2</v>
      </c>
      <c r="Q68" s="18">
        <f t="shared" si="7"/>
        <v>5</v>
      </c>
      <c r="R68" s="22">
        <f t="shared" si="7"/>
        <v>5</v>
      </c>
      <c r="S68" s="12">
        <f t="shared" si="8"/>
        <v>50</v>
      </c>
      <c r="U68" s="40"/>
      <c r="V68" s="13" t="s">
        <v>125</v>
      </c>
      <c r="W68" s="29">
        <f>INDEX($C$64:$R$79,$AO64,AT$62)+INDEX($C$64:$R$79,AT$62,$AO$64)</f>
        <v>12</v>
      </c>
      <c r="X68" s="18">
        <f>INDEX($C$64:$R$79,$AO65,AT$62)+INDEX($C$64:$R$79,AT$62,$AO$65)</f>
        <v>12</v>
      </c>
      <c r="Y68" s="18">
        <f>INDEX($C$64:$R$79,$AO66,AT$62)+INDEX($C$64:$R$79,AT$62,$AO$66)</f>
        <v>10</v>
      </c>
      <c r="Z68" s="18">
        <f>INDEX($C$64:$R$79,$AO67,AT$62)+INDEX($C$64:$R$79,AT$62,$AO$67)</f>
        <v>12</v>
      </c>
      <c r="AA68" s="10"/>
      <c r="AB68" s="18">
        <f>INDEX($C$64:$R$79,$AO68,AU$62)+INDEX($C$64:$R$79,AU$62,$AO$68)</f>
        <v>3</v>
      </c>
      <c r="AC68" s="18">
        <f t="shared" ref="AC68:AL68" si="12">INDEX($C$64:$R$79,$AO68,AV$62)+INDEX($C$64:$R$79,AV$62,$AO$68)</f>
        <v>12</v>
      </c>
      <c r="AD68" s="18">
        <f t="shared" si="12"/>
        <v>1</v>
      </c>
      <c r="AE68" s="18">
        <f t="shared" si="12"/>
        <v>0</v>
      </c>
      <c r="AF68" s="18">
        <f t="shared" si="12"/>
        <v>0</v>
      </c>
      <c r="AG68" s="18">
        <f t="shared" si="12"/>
        <v>3</v>
      </c>
      <c r="AH68" s="18">
        <f t="shared" si="12"/>
        <v>9</v>
      </c>
      <c r="AI68" s="18">
        <f t="shared" si="12"/>
        <v>14</v>
      </c>
      <c r="AJ68" s="18">
        <f t="shared" si="12"/>
        <v>2</v>
      </c>
      <c r="AK68" s="18">
        <f t="shared" si="12"/>
        <v>11</v>
      </c>
      <c r="AL68" s="22">
        <f t="shared" si="12"/>
        <v>6</v>
      </c>
      <c r="AM68" s="12">
        <f t="shared" si="10"/>
        <v>107</v>
      </c>
      <c r="AO68" s="8">
        <v>5</v>
      </c>
    </row>
    <row r="69" spans="1:41" x14ac:dyDescent="0.25">
      <c r="A69" s="40"/>
      <c r="B69" s="13" t="s">
        <v>319</v>
      </c>
      <c r="C69" s="29">
        <f t="shared" si="7"/>
        <v>0</v>
      </c>
      <c r="D69" s="18">
        <f t="shared" si="7"/>
        <v>2</v>
      </c>
      <c r="E69" s="18">
        <f t="shared" si="7"/>
        <v>0</v>
      </c>
      <c r="F69" s="18">
        <f t="shared" si="7"/>
        <v>1</v>
      </c>
      <c r="G69" s="18">
        <f t="shared" si="7"/>
        <v>0</v>
      </c>
      <c r="H69" s="10"/>
      <c r="I69" s="18">
        <f t="shared" si="7"/>
        <v>0</v>
      </c>
      <c r="J69" s="18">
        <f t="shared" si="7"/>
        <v>1</v>
      </c>
      <c r="K69" s="18">
        <f t="shared" si="7"/>
        <v>0</v>
      </c>
      <c r="L69" s="18">
        <f t="shared" si="7"/>
        <v>0</v>
      </c>
      <c r="M69" s="18">
        <f t="shared" si="7"/>
        <v>0</v>
      </c>
      <c r="N69" s="18">
        <f t="shared" si="7"/>
        <v>0</v>
      </c>
      <c r="O69" s="18">
        <f t="shared" si="7"/>
        <v>0</v>
      </c>
      <c r="P69" s="18">
        <f t="shared" si="7"/>
        <v>0</v>
      </c>
      <c r="Q69" s="18">
        <f t="shared" si="7"/>
        <v>0</v>
      </c>
      <c r="R69" s="22">
        <f t="shared" si="7"/>
        <v>0</v>
      </c>
      <c r="S69" s="12">
        <f t="shared" si="8"/>
        <v>4</v>
      </c>
      <c r="U69" s="40"/>
      <c r="V69" s="13" t="s">
        <v>319</v>
      </c>
      <c r="W69" s="29">
        <f>INDEX($C$64:$R$79,$AO64,AU$62)+INDEX($C$64:$R$79,AU$62,$AO$64)</f>
        <v>1</v>
      </c>
      <c r="X69" s="18">
        <f>INDEX($C$64:$R$79,$AO65,AU$62)+INDEX($C$64:$R$79,AU$62,$AO$65)</f>
        <v>2</v>
      </c>
      <c r="Y69" s="18">
        <f>INDEX($C$64:$R$79,$AO66,AU$62)+INDEX($C$64:$R$79,AU$62,$AO$66)</f>
        <v>2</v>
      </c>
      <c r="Z69" s="18">
        <f>INDEX($C$64:$R$79,$AO67,AU$62)+INDEX($C$64:$R$79,AU$62,$AO$67)</f>
        <v>1</v>
      </c>
      <c r="AA69" s="18">
        <f>INDEX($C$64:$R$79,$AO68,AU$62)+INDEX($C$64:$R$79,AU$62,$AO$68)</f>
        <v>3</v>
      </c>
      <c r="AB69" s="10"/>
      <c r="AC69" s="18">
        <f>INDEX($C$64:$R$79,$AO69,AV$62)+INDEX($C$64:$R$79,AV$62,$AO$69)</f>
        <v>0</v>
      </c>
      <c r="AD69" s="18">
        <f t="shared" ref="AD69:AL69" si="13">INDEX($C$64:$R$79,$AO69,AW$62)+INDEX($C$64:$R$79,AW$62,$AO$69)</f>
        <v>1</v>
      </c>
      <c r="AE69" s="18">
        <f t="shared" si="13"/>
        <v>0</v>
      </c>
      <c r="AF69" s="18">
        <f t="shared" si="13"/>
        <v>0</v>
      </c>
      <c r="AG69" s="18">
        <f t="shared" si="13"/>
        <v>1</v>
      </c>
      <c r="AH69" s="18">
        <f t="shared" si="13"/>
        <v>1</v>
      </c>
      <c r="AI69" s="18">
        <f t="shared" si="13"/>
        <v>0</v>
      </c>
      <c r="AJ69" s="18">
        <f t="shared" si="13"/>
        <v>0</v>
      </c>
      <c r="AK69" s="18">
        <f t="shared" si="13"/>
        <v>2</v>
      </c>
      <c r="AL69" s="22">
        <f t="shared" si="13"/>
        <v>0</v>
      </c>
      <c r="AM69" s="12">
        <f t="shared" si="10"/>
        <v>14</v>
      </c>
      <c r="AO69" s="8">
        <v>6</v>
      </c>
    </row>
    <row r="70" spans="1:41" x14ac:dyDescent="0.25">
      <c r="A70" s="40"/>
      <c r="B70" s="13" t="s">
        <v>99</v>
      </c>
      <c r="C70" s="29">
        <f t="shared" si="7"/>
        <v>0</v>
      </c>
      <c r="D70" s="18">
        <f t="shared" si="7"/>
        <v>1</v>
      </c>
      <c r="E70" s="18">
        <f t="shared" si="7"/>
        <v>1</v>
      </c>
      <c r="F70" s="18">
        <f t="shared" si="7"/>
        <v>1</v>
      </c>
      <c r="G70" s="18">
        <f t="shared" si="7"/>
        <v>2</v>
      </c>
      <c r="H70" s="18">
        <f t="shared" si="7"/>
        <v>0</v>
      </c>
      <c r="I70" s="10"/>
      <c r="J70" s="18">
        <f t="shared" si="7"/>
        <v>0</v>
      </c>
      <c r="K70" s="18">
        <f t="shared" si="7"/>
        <v>0</v>
      </c>
      <c r="L70" s="18">
        <f t="shared" si="7"/>
        <v>0</v>
      </c>
      <c r="M70" s="18">
        <f t="shared" si="7"/>
        <v>1</v>
      </c>
      <c r="N70" s="18">
        <f t="shared" si="7"/>
        <v>7</v>
      </c>
      <c r="O70" s="18">
        <f t="shared" si="7"/>
        <v>3</v>
      </c>
      <c r="P70" s="18">
        <f t="shared" si="7"/>
        <v>1</v>
      </c>
      <c r="Q70" s="18">
        <f t="shared" si="7"/>
        <v>4</v>
      </c>
      <c r="R70" s="22">
        <f t="shared" si="7"/>
        <v>2</v>
      </c>
      <c r="S70" s="12">
        <f t="shared" si="8"/>
        <v>23</v>
      </c>
      <c r="U70" s="40"/>
      <c r="V70" s="13" t="s">
        <v>99</v>
      </c>
      <c r="W70" s="29">
        <f>INDEX($C$64:$R$79,$AO64,AV$62)+INDEX($C$64:$R$79,AV$62,$AO$64)</f>
        <v>15</v>
      </c>
      <c r="X70" s="18">
        <f>INDEX($C$64:$R$79,$AO65,AV$62)+INDEX($C$64:$R$79,AV$62,$AO$65)</f>
        <v>8</v>
      </c>
      <c r="Y70" s="18">
        <f>INDEX($C$64:$R$79,$AO66,AV$62)+INDEX($C$64:$R$79,AV$62,$AO$66)</f>
        <v>13</v>
      </c>
      <c r="Z70" s="18">
        <f>INDEX($C$64:$R$79,$AO67,AV$62)+INDEX($C$64:$R$79,AV$62,$AO$67)</f>
        <v>14</v>
      </c>
      <c r="AA70" s="18">
        <f>INDEX($C$64:$R$79,$AO68,AV$62)+INDEX($C$64:$R$79,AV$62,$AO$68)</f>
        <v>12</v>
      </c>
      <c r="AB70" s="18">
        <f>INDEX($C$64:$R$79,$AO69,AV$62)+INDEX($C$64:$R$79,AV$62,$AO$69)</f>
        <v>0</v>
      </c>
      <c r="AC70" s="10"/>
      <c r="AD70" s="18">
        <f>INDEX($C$64:$R$79,$AO70,AW$62)+INDEX($C$64:$R$79,AW$62,$AO$70)</f>
        <v>0</v>
      </c>
      <c r="AE70" s="18">
        <f t="shared" ref="AE70:AL70" si="14">INDEX($C$64:$R$79,$AO70,AX$62)+INDEX($C$64:$R$79,AX$62,$AO$70)</f>
        <v>0</v>
      </c>
      <c r="AF70" s="18">
        <f t="shared" si="14"/>
        <v>0</v>
      </c>
      <c r="AG70" s="18">
        <f t="shared" si="14"/>
        <v>5</v>
      </c>
      <c r="AH70" s="18">
        <f t="shared" si="14"/>
        <v>17</v>
      </c>
      <c r="AI70" s="18">
        <f t="shared" si="14"/>
        <v>11</v>
      </c>
      <c r="AJ70" s="18">
        <f t="shared" si="14"/>
        <v>1</v>
      </c>
      <c r="AK70" s="18">
        <f t="shared" si="14"/>
        <v>17</v>
      </c>
      <c r="AL70" s="22">
        <f t="shared" si="14"/>
        <v>3</v>
      </c>
      <c r="AM70" s="12">
        <f t="shared" si="10"/>
        <v>116</v>
      </c>
      <c r="AO70" s="8">
        <v>7</v>
      </c>
    </row>
    <row r="71" spans="1:41" x14ac:dyDescent="0.25">
      <c r="A71" s="40"/>
      <c r="B71" s="13" t="s">
        <v>342</v>
      </c>
      <c r="C71" s="29">
        <f t="shared" si="7"/>
        <v>0</v>
      </c>
      <c r="D71" s="18">
        <f t="shared" si="7"/>
        <v>1</v>
      </c>
      <c r="E71" s="18">
        <f t="shared" si="7"/>
        <v>1</v>
      </c>
      <c r="F71" s="18">
        <f t="shared" si="7"/>
        <v>0</v>
      </c>
      <c r="G71" s="18">
        <f t="shared" si="7"/>
        <v>0</v>
      </c>
      <c r="H71" s="18">
        <f t="shared" si="7"/>
        <v>0</v>
      </c>
      <c r="I71" s="18">
        <f t="shared" si="7"/>
        <v>0</v>
      </c>
      <c r="J71" s="10"/>
      <c r="K71" s="18">
        <f t="shared" si="7"/>
        <v>0</v>
      </c>
      <c r="L71" s="18">
        <f t="shared" si="7"/>
        <v>0</v>
      </c>
      <c r="M71" s="18">
        <f t="shared" si="7"/>
        <v>0</v>
      </c>
      <c r="N71" s="18">
        <f t="shared" si="7"/>
        <v>0</v>
      </c>
      <c r="O71" s="18">
        <f t="shared" si="7"/>
        <v>0</v>
      </c>
      <c r="P71" s="18">
        <f t="shared" si="7"/>
        <v>0</v>
      </c>
      <c r="Q71" s="18">
        <f t="shared" si="7"/>
        <v>1</v>
      </c>
      <c r="R71" s="22">
        <f t="shared" si="7"/>
        <v>0</v>
      </c>
      <c r="S71" s="12">
        <f t="shared" si="8"/>
        <v>3</v>
      </c>
      <c r="U71" s="40"/>
      <c r="V71" s="13" t="s">
        <v>342</v>
      </c>
      <c r="W71" s="29">
        <f>INDEX($C$64:$R$79,$AO64,AW$62)+INDEX($C$64:$R$79,AW$62,$AO$64)</f>
        <v>0</v>
      </c>
      <c r="X71" s="18">
        <f>INDEX($C$64:$R$79,$AO65,AW$62)+INDEX($C$64:$R$79,AW$62,$AO$65)</f>
        <v>1</v>
      </c>
      <c r="Y71" s="18">
        <f>INDEX($C$64:$R$79,$AO66,AW$62)+INDEX($C$64:$R$79,AW$62,$AO$66)</f>
        <v>1</v>
      </c>
      <c r="Z71" s="18">
        <f>INDEX($C$64:$R$79,$AO67,AW$62)+INDEX($C$64:$R$79,AW$62,$AO$67)</f>
        <v>0</v>
      </c>
      <c r="AA71" s="18">
        <f>INDEX($C$64:$R$79,$AO68,AW$62)+INDEX($C$64:$R$79,AW$62,$AO$68)</f>
        <v>1</v>
      </c>
      <c r="AB71" s="18">
        <f>INDEX($C$64:$R$79,$AO69,AW$62)+INDEX($C$64:$R$79,AW$62,$AO$69)</f>
        <v>1</v>
      </c>
      <c r="AC71" s="18">
        <f>INDEX($C$64:$R$79,$AO70,AW$62)+INDEX($C$64:$R$79,AW$62,$AO$70)</f>
        <v>0</v>
      </c>
      <c r="AD71" s="10"/>
      <c r="AE71" s="18">
        <f>INDEX($C$64:$R$79,$AO71,AX$62)+INDEX($C$64:$R$79,AX$62,$AO$71)</f>
        <v>0</v>
      </c>
      <c r="AF71" s="18">
        <f t="shared" ref="AF71:AL71" si="15">INDEX($C$64:$R$79,$AO71,AY$62)+INDEX($C$64:$R$79,AY$62,$AO$71)</f>
        <v>0</v>
      </c>
      <c r="AG71" s="18">
        <f t="shared" si="15"/>
        <v>0</v>
      </c>
      <c r="AH71" s="18">
        <f t="shared" si="15"/>
        <v>0</v>
      </c>
      <c r="AI71" s="18">
        <f t="shared" si="15"/>
        <v>0</v>
      </c>
      <c r="AJ71" s="18">
        <f t="shared" si="15"/>
        <v>0</v>
      </c>
      <c r="AK71" s="18">
        <f t="shared" si="15"/>
        <v>2</v>
      </c>
      <c r="AL71" s="22">
        <f t="shared" si="15"/>
        <v>0</v>
      </c>
      <c r="AM71" s="12">
        <f t="shared" si="10"/>
        <v>6</v>
      </c>
      <c r="AO71" s="8">
        <v>8</v>
      </c>
    </row>
    <row r="72" spans="1:41" x14ac:dyDescent="0.25">
      <c r="A72" s="40"/>
      <c r="B72" s="13" t="s">
        <v>396</v>
      </c>
      <c r="C72" s="29">
        <f t="shared" si="7"/>
        <v>0</v>
      </c>
      <c r="D72" s="18">
        <f t="shared" si="7"/>
        <v>0</v>
      </c>
      <c r="E72" s="18">
        <f t="shared" si="7"/>
        <v>0</v>
      </c>
      <c r="F72" s="18">
        <f t="shared" si="7"/>
        <v>0</v>
      </c>
      <c r="G72" s="18">
        <f t="shared" si="7"/>
        <v>0</v>
      </c>
      <c r="H72" s="18">
        <f t="shared" si="7"/>
        <v>0</v>
      </c>
      <c r="I72" s="18">
        <f t="shared" si="7"/>
        <v>0</v>
      </c>
      <c r="J72" s="18">
        <f t="shared" si="7"/>
        <v>0</v>
      </c>
      <c r="K72" s="10"/>
      <c r="L72" s="18">
        <f t="shared" si="7"/>
        <v>0</v>
      </c>
      <c r="M72" s="18">
        <f t="shared" si="7"/>
        <v>0</v>
      </c>
      <c r="N72" s="18">
        <f t="shared" si="7"/>
        <v>0</v>
      </c>
      <c r="O72" s="18">
        <f t="shared" si="7"/>
        <v>0</v>
      </c>
      <c r="P72" s="18">
        <f t="shared" si="7"/>
        <v>0</v>
      </c>
      <c r="Q72" s="18">
        <f t="shared" si="7"/>
        <v>0</v>
      </c>
      <c r="R72" s="22">
        <f t="shared" si="7"/>
        <v>0</v>
      </c>
      <c r="S72" s="12">
        <f t="shared" si="8"/>
        <v>0</v>
      </c>
      <c r="U72" s="40"/>
      <c r="V72" s="13" t="s">
        <v>396</v>
      </c>
      <c r="W72" s="29">
        <f>INDEX($C$64:$R$79,$AO64,AX$62)+INDEX($C$64:$R$79,AX$62,$AO$64)</f>
        <v>1</v>
      </c>
      <c r="X72" s="18">
        <f>INDEX($C$64:$R$79,$AO65,AX$62)+INDEX($C$64:$R$79,AX$62,$AO$65)</f>
        <v>0</v>
      </c>
      <c r="Y72" s="18">
        <f>INDEX($C$64:$R$79,$AO66,AX$62)+INDEX($C$64:$R$79,AX$62,$AO$66)</f>
        <v>0</v>
      </c>
      <c r="Z72" s="18">
        <f>INDEX($C$64:$R$79,$AO67,AX$62)+INDEX($C$64:$R$79,AX$62,$AO$67)</f>
        <v>0</v>
      </c>
      <c r="AA72" s="18">
        <f>INDEX($C$64:$R$79,$AO68,AX$62)+INDEX($C$64:$R$79,AX$62,$AO$68)</f>
        <v>0</v>
      </c>
      <c r="AB72" s="18">
        <f>INDEX($C$64:$R$79,$AO69,AX$62)+INDEX($C$64:$R$79,AX$62,$AO$69)</f>
        <v>0</v>
      </c>
      <c r="AC72" s="18">
        <f>INDEX($C$64:$R$79,$AO70,AX$62)+INDEX($C$64:$R$79,AX$62,$AO$70)</f>
        <v>0</v>
      </c>
      <c r="AD72" s="18">
        <f>INDEX($C$64:$R$79,$AO71,AX$62)+INDEX($C$64:$R$79,AX$62,$AO$71)</f>
        <v>0</v>
      </c>
      <c r="AE72" s="10"/>
      <c r="AF72" s="18">
        <f>INDEX($C$64:$R$79,$AO72,AY$62)+INDEX($C$64:$R$79,AY$62,$AO$72)</f>
        <v>0</v>
      </c>
      <c r="AG72" s="18">
        <f t="shared" ref="AG72:AL72" si="16">INDEX($C$64:$R$79,$AO72,AZ$62)+INDEX($C$64:$R$79,AZ$62,$AO$72)</f>
        <v>0</v>
      </c>
      <c r="AH72" s="18">
        <f t="shared" si="16"/>
        <v>1</v>
      </c>
      <c r="AI72" s="18">
        <f t="shared" si="16"/>
        <v>0</v>
      </c>
      <c r="AJ72" s="18">
        <f t="shared" si="16"/>
        <v>0</v>
      </c>
      <c r="AK72" s="18">
        <f t="shared" si="16"/>
        <v>1</v>
      </c>
      <c r="AL72" s="22">
        <f t="shared" si="16"/>
        <v>0</v>
      </c>
      <c r="AM72" s="12">
        <f t="shared" si="10"/>
        <v>3</v>
      </c>
      <c r="AO72" s="8">
        <v>9</v>
      </c>
    </row>
    <row r="73" spans="1:41" x14ac:dyDescent="0.25">
      <c r="A73" s="40"/>
      <c r="B73" s="13" t="s">
        <v>327</v>
      </c>
      <c r="C73" s="29">
        <f t="shared" si="7"/>
        <v>0</v>
      </c>
      <c r="D73" s="18">
        <f t="shared" si="7"/>
        <v>0</v>
      </c>
      <c r="E73" s="18">
        <f t="shared" si="7"/>
        <v>0</v>
      </c>
      <c r="F73" s="18">
        <f t="shared" si="7"/>
        <v>0</v>
      </c>
      <c r="G73" s="18">
        <f t="shared" si="7"/>
        <v>0</v>
      </c>
      <c r="H73" s="18">
        <f t="shared" si="7"/>
        <v>0</v>
      </c>
      <c r="I73" s="18">
        <f t="shared" si="7"/>
        <v>0</v>
      </c>
      <c r="J73" s="18">
        <f t="shared" si="7"/>
        <v>0</v>
      </c>
      <c r="K73" s="18">
        <f t="shared" si="7"/>
        <v>0</v>
      </c>
      <c r="L73" s="10"/>
      <c r="M73" s="18">
        <f t="shared" si="7"/>
        <v>0</v>
      </c>
      <c r="N73" s="18">
        <f t="shared" si="7"/>
        <v>0</v>
      </c>
      <c r="O73" s="18">
        <f t="shared" si="7"/>
        <v>0</v>
      </c>
      <c r="P73" s="18">
        <f t="shared" si="7"/>
        <v>0</v>
      </c>
      <c r="Q73" s="18">
        <f t="shared" si="7"/>
        <v>0</v>
      </c>
      <c r="R73" s="22">
        <f t="shared" si="7"/>
        <v>0</v>
      </c>
      <c r="S73" s="12">
        <f t="shared" si="8"/>
        <v>0</v>
      </c>
      <c r="U73" s="40"/>
      <c r="V73" s="13" t="s">
        <v>327</v>
      </c>
      <c r="W73" s="29">
        <f>INDEX($C$64:$R$79,$AO64,AY$62)+INDEX($C$64:$R$79,AY$62,$AO$64)</f>
        <v>0</v>
      </c>
      <c r="X73" s="18">
        <f>INDEX($C$64:$R$79,$AO65,AY$62)+INDEX($C$64:$R$79,AY$62,$AO$65)</f>
        <v>1</v>
      </c>
      <c r="Y73" s="18">
        <f>INDEX($C$64:$R$79,$AO66,AY$62)+INDEX($C$64:$R$79,AY$62,$AO$66)</f>
        <v>0</v>
      </c>
      <c r="Z73" s="18">
        <f>INDEX($C$64:$R$79,$AO67,AY$62)+INDEX($C$64:$R$79,AY$62,$AO$67)</f>
        <v>0</v>
      </c>
      <c r="AA73" s="18">
        <f>INDEX($C$64:$R$79,$AO68,AY$62)+INDEX($C$64:$R$79,AY$62,$AO$68)</f>
        <v>0</v>
      </c>
      <c r="AB73" s="18">
        <f>INDEX($C$64:$R$79,$AO69,AY$62)+INDEX($C$64:$R$79,AY$62,$AO$69)</f>
        <v>0</v>
      </c>
      <c r="AC73" s="18">
        <f>INDEX($C$64:$R$79,$AO70,AY$62)+INDEX($C$64:$R$79,AY$62,$AO$70)</f>
        <v>0</v>
      </c>
      <c r="AD73" s="18">
        <f>INDEX($C$64:$R$79,$AO71,AY$62)+INDEX($C$64:$R$79,AY$62,$AO$71)</f>
        <v>0</v>
      </c>
      <c r="AE73" s="18">
        <f>INDEX($C$64:$R$79,$AO72,AY$62)+INDEX($C$64:$R$79,AY$62,$AO$72)</f>
        <v>0</v>
      </c>
      <c r="AF73" s="10"/>
      <c r="AG73" s="18">
        <f>INDEX($C$64:$R$79,$AO73,AZ$62)+INDEX($C$64:$R$79,AZ$62,$AO$73)</f>
        <v>0</v>
      </c>
      <c r="AH73" s="18">
        <f t="shared" ref="AH73:AL73" si="17">INDEX($C$64:$R$79,$AO73,BA$62)+INDEX($C$64:$R$79,BA$62,$AO$73)</f>
        <v>1</v>
      </c>
      <c r="AI73" s="18">
        <f t="shared" si="17"/>
        <v>1</v>
      </c>
      <c r="AJ73" s="18">
        <f t="shared" si="17"/>
        <v>0</v>
      </c>
      <c r="AK73" s="18">
        <f t="shared" si="17"/>
        <v>0</v>
      </c>
      <c r="AL73" s="22">
        <f t="shared" si="17"/>
        <v>0</v>
      </c>
      <c r="AM73" s="12">
        <f t="shared" si="10"/>
        <v>3</v>
      </c>
      <c r="AO73" s="8">
        <v>10</v>
      </c>
    </row>
    <row r="74" spans="1:41" x14ac:dyDescent="0.25">
      <c r="A74" s="40"/>
      <c r="B74" s="13" t="s">
        <v>482</v>
      </c>
      <c r="C74" s="29">
        <f t="shared" si="7"/>
        <v>1</v>
      </c>
      <c r="D74" s="18">
        <f t="shared" si="7"/>
        <v>0</v>
      </c>
      <c r="E74" s="18">
        <f t="shared" si="7"/>
        <v>2</v>
      </c>
      <c r="F74" s="18">
        <f t="shared" si="7"/>
        <v>3</v>
      </c>
      <c r="G74" s="18">
        <f t="shared" si="7"/>
        <v>1</v>
      </c>
      <c r="H74" s="18">
        <f t="shared" si="7"/>
        <v>1</v>
      </c>
      <c r="I74" s="18">
        <f t="shared" si="7"/>
        <v>4</v>
      </c>
      <c r="J74" s="18">
        <f t="shared" si="7"/>
        <v>0</v>
      </c>
      <c r="K74" s="18">
        <f t="shared" si="7"/>
        <v>0</v>
      </c>
      <c r="L74" s="18">
        <f t="shared" si="7"/>
        <v>0</v>
      </c>
      <c r="M74" s="10"/>
      <c r="N74" s="18">
        <f t="shared" si="7"/>
        <v>1</v>
      </c>
      <c r="O74" s="18">
        <f t="shared" si="7"/>
        <v>2</v>
      </c>
      <c r="P74" s="18">
        <f t="shared" si="7"/>
        <v>1</v>
      </c>
      <c r="Q74" s="18">
        <f t="shared" si="7"/>
        <v>2</v>
      </c>
      <c r="R74" s="22">
        <f t="shared" si="7"/>
        <v>2</v>
      </c>
      <c r="S74" s="12">
        <f t="shared" si="8"/>
        <v>20</v>
      </c>
      <c r="U74" s="40"/>
      <c r="V74" s="13" t="s">
        <v>482</v>
      </c>
      <c r="W74" s="29">
        <f>INDEX($C$64:$R$79,$AO64,AZ$62)+INDEX($C$64:$R$79,AZ$62,$AO$64)</f>
        <v>4</v>
      </c>
      <c r="X74" s="18">
        <f>INDEX($C$64:$R$79,$AO65,AZ$62)+INDEX($C$64:$R$79,AZ$62,$AO$65)</f>
        <v>3</v>
      </c>
      <c r="Y74" s="18">
        <f>INDEX($C$64:$R$79,$AO66,AZ$62)+INDEX($C$64:$R$79,AZ$62,$AO$66)</f>
        <v>6</v>
      </c>
      <c r="Z74" s="18">
        <f>INDEX($C$64:$R$79,$AO67,AZ$62)+INDEX($C$64:$R$79,AZ$62,$AO$67)</f>
        <v>6</v>
      </c>
      <c r="AA74" s="18">
        <f>INDEX($C$64:$R$79,$AO68,AZ$62)+INDEX($C$64:$R$79,AZ$62,$AO$68)</f>
        <v>3</v>
      </c>
      <c r="AB74" s="18">
        <f>INDEX($C$64:$R$79,$AO69,AZ$62)+INDEX($C$64:$R$79,AZ$62,$AO$69)</f>
        <v>1</v>
      </c>
      <c r="AC74" s="18">
        <f>INDEX($C$64:$R$79,$AO70,AZ$62)+INDEX($C$64:$R$79,AZ$62,$AO$70)</f>
        <v>5</v>
      </c>
      <c r="AD74" s="18">
        <f>INDEX($C$64:$R$79,$AO71,AZ$62)+INDEX($C$64:$R$79,AZ$62,$AO$71)</f>
        <v>0</v>
      </c>
      <c r="AE74" s="18">
        <f>INDEX($C$64:$R$79,$AO72,AZ$62)+INDEX($C$64:$R$79,AZ$62,$AO$72)</f>
        <v>0</v>
      </c>
      <c r="AF74" s="18">
        <f>INDEX($C$64:$R$79,$AO73,AZ$62)+INDEX($C$64:$R$79,AZ$62,$AO$73)</f>
        <v>0</v>
      </c>
      <c r="AG74" s="10"/>
      <c r="AH74" s="18">
        <f>INDEX($C$64:$R$79,$AO74,BA$62)+INDEX($C$64:$R$79,BA$62,$AO$74)</f>
        <v>3</v>
      </c>
      <c r="AI74" s="18">
        <f t="shared" ref="AI74:AL74" si="18">INDEX($C$64:$R$79,$AO74,BB$62)+INDEX($C$64:$R$79,BB$62,$AO$74)</f>
        <v>5</v>
      </c>
      <c r="AJ74" s="18">
        <f t="shared" si="18"/>
        <v>1</v>
      </c>
      <c r="AK74" s="18">
        <f t="shared" si="18"/>
        <v>5</v>
      </c>
      <c r="AL74" s="22">
        <f t="shared" si="18"/>
        <v>2</v>
      </c>
      <c r="AM74" s="12">
        <f t="shared" si="10"/>
        <v>44</v>
      </c>
      <c r="AO74" s="32">
        <v>11</v>
      </c>
    </row>
    <row r="75" spans="1:41" x14ac:dyDescent="0.25">
      <c r="A75" s="40"/>
      <c r="B75" s="13" t="s">
        <v>43</v>
      </c>
      <c r="C75" s="29">
        <f t="shared" si="7"/>
        <v>0</v>
      </c>
      <c r="D75" s="18">
        <f t="shared" si="7"/>
        <v>7</v>
      </c>
      <c r="E75" s="18">
        <f t="shared" si="7"/>
        <v>16</v>
      </c>
      <c r="F75" s="18">
        <f t="shared" si="7"/>
        <v>12</v>
      </c>
      <c r="G75" s="18">
        <f t="shared" si="7"/>
        <v>5</v>
      </c>
      <c r="H75" s="18">
        <f t="shared" si="7"/>
        <v>1</v>
      </c>
      <c r="I75" s="18">
        <f t="shared" si="7"/>
        <v>10</v>
      </c>
      <c r="J75" s="18">
        <f t="shared" si="7"/>
        <v>0</v>
      </c>
      <c r="K75" s="18">
        <f t="shared" si="7"/>
        <v>1</v>
      </c>
      <c r="L75" s="18">
        <f t="shared" si="7"/>
        <v>1</v>
      </c>
      <c r="M75" s="18">
        <f t="shared" si="7"/>
        <v>2</v>
      </c>
      <c r="N75" s="10"/>
      <c r="O75" s="18">
        <f t="shared" si="7"/>
        <v>14</v>
      </c>
      <c r="P75" s="18">
        <f t="shared" si="7"/>
        <v>1</v>
      </c>
      <c r="Q75" s="18">
        <f t="shared" si="7"/>
        <v>12</v>
      </c>
      <c r="R75" s="22">
        <f t="shared" si="7"/>
        <v>6</v>
      </c>
      <c r="S75" s="12">
        <f t="shared" si="8"/>
        <v>88</v>
      </c>
      <c r="U75" s="40"/>
      <c r="V75" s="13" t="s">
        <v>43</v>
      </c>
      <c r="W75" s="29">
        <f>INDEX($C$64:$R$79,$AO64,BA$62)+INDEX($C$64:$R$79,BA$62,$AO$64)</f>
        <v>23</v>
      </c>
      <c r="X75" s="18">
        <f>INDEX($C$64:$R$79,$AO65,BA$62)+INDEX($C$64:$R$79,BA$62,$AO$65)</f>
        <v>10</v>
      </c>
      <c r="Y75" s="18">
        <f>INDEX($C$64:$R$79,$AO66,BA$62)+INDEX($C$64:$R$79,BA$62,$AO$66)</f>
        <v>29</v>
      </c>
      <c r="Z75" s="18">
        <f>INDEX($C$64:$R$79,$AO67,BA$62)+INDEX($C$64:$R$79,BA$62,$AO$67)</f>
        <v>21</v>
      </c>
      <c r="AA75" s="18">
        <f>INDEX($C$64:$R$79,$AO68,BA$62)+INDEX($C$64:$R$79,BA$62,$AO$68)</f>
        <v>9</v>
      </c>
      <c r="AB75" s="18">
        <f>INDEX($C$64:$R$79,$AO69,BA$62)+INDEX($C$64:$R$79,BA$62,$AO$69)</f>
        <v>1</v>
      </c>
      <c r="AC75" s="18">
        <f>INDEX($C$64:$R$79,$AO70,BA$62)+INDEX($C$64:$R$79,BA$62,$AO$70)</f>
        <v>17</v>
      </c>
      <c r="AD75" s="18">
        <f>INDEX($C$64:$R$79,$AO71,BA$62)+INDEX($C$64:$R$79,BA$62,$AO$71)</f>
        <v>0</v>
      </c>
      <c r="AE75" s="18">
        <f>INDEX($C$64:$R$79,$AO72,BA$62)+INDEX($C$64:$R$79,BA$62,$AO$72)</f>
        <v>1</v>
      </c>
      <c r="AF75" s="18">
        <f>INDEX($C$64:$R$79,$AO73,BA$62)+INDEX($C$64:$R$79,BA$62,$AO$73)</f>
        <v>1</v>
      </c>
      <c r="AG75" s="18">
        <f>INDEX($C$64:$R$79,$AO74,BA$62)+INDEX($C$64:$R$79,BA$62,$AO$74)</f>
        <v>3</v>
      </c>
      <c r="AH75" s="10"/>
      <c r="AI75" s="18">
        <f>INDEX($C$64:$R$79,$AO75,BB$62)+INDEX($C$64:$R$79,BB$62,$AO$75)</f>
        <v>16</v>
      </c>
      <c r="AJ75" s="18">
        <f t="shared" ref="AJ75:AL75" si="19">INDEX($C$64:$R$79,$AO75,BC$62)+INDEX($C$64:$R$79,BC$62,$AO$75)</f>
        <v>1</v>
      </c>
      <c r="AK75" s="18">
        <f t="shared" si="19"/>
        <v>26</v>
      </c>
      <c r="AL75" s="22">
        <f t="shared" si="19"/>
        <v>6</v>
      </c>
      <c r="AM75" s="12">
        <f t="shared" si="10"/>
        <v>164</v>
      </c>
      <c r="AO75" s="8">
        <v>12</v>
      </c>
    </row>
    <row r="76" spans="1:41" x14ac:dyDescent="0.25">
      <c r="A76" s="40"/>
      <c r="B76" s="13" t="s">
        <v>66</v>
      </c>
      <c r="C76" s="29">
        <f t="shared" si="7"/>
        <v>3</v>
      </c>
      <c r="D76" s="18">
        <f t="shared" si="7"/>
        <v>7</v>
      </c>
      <c r="E76" s="18">
        <f t="shared" si="7"/>
        <v>5</v>
      </c>
      <c r="F76" s="18">
        <f t="shared" si="7"/>
        <v>6</v>
      </c>
      <c r="G76" s="18">
        <f t="shared" si="7"/>
        <v>7</v>
      </c>
      <c r="H76" s="18">
        <f t="shared" si="7"/>
        <v>0</v>
      </c>
      <c r="I76" s="18">
        <f t="shared" si="7"/>
        <v>8</v>
      </c>
      <c r="J76" s="18">
        <f t="shared" si="7"/>
        <v>0</v>
      </c>
      <c r="K76" s="18">
        <f t="shared" si="7"/>
        <v>0</v>
      </c>
      <c r="L76" s="18">
        <f t="shared" si="7"/>
        <v>1</v>
      </c>
      <c r="M76" s="18">
        <f t="shared" si="7"/>
        <v>3</v>
      </c>
      <c r="N76" s="18">
        <f t="shared" si="7"/>
        <v>2</v>
      </c>
      <c r="O76" s="10"/>
      <c r="P76" s="18">
        <f t="shared" si="7"/>
        <v>0</v>
      </c>
      <c r="Q76" s="18">
        <f t="shared" si="7"/>
        <v>8</v>
      </c>
      <c r="R76" s="22">
        <f t="shared" si="7"/>
        <v>6</v>
      </c>
      <c r="S76" s="12">
        <f t="shared" si="8"/>
        <v>56</v>
      </c>
      <c r="U76" s="40"/>
      <c r="V76" s="13" t="s">
        <v>66</v>
      </c>
      <c r="W76" s="29">
        <f>INDEX($C$64:$R$79,$AO64,BB$62)+INDEX($C$64:$R$79,BB$62,$AO$64)</f>
        <v>17</v>
      </c>
      <c r="X76" s="18">
        <f>INDEX($C$64:$R$79,$AO65,BB$62)+INDEX($C$64:$R$79,BB$62,$AO$65)</f>
        <v>14</v>
      </c>
      <c r="Y76" s="18">
        <f>INDEX($C$64:$R$79,$AO66,BB$62)+INDEX($C$64:$R$79,BB$62,$AO$66)</f>
        <v>16</v>
      </c>
      <c r="Z76" s="18">
        <f>INDEX($C$64:$R$79,$AO67,BB$62)+INDEX($C$64:$R$79,BB$62,$AO$67)</f>
        <v>19</v>
      </c>
      <c r="AA76" s="18">
        <f>INDEX($C$64:$R$79,$AO68,BB$62)+INDEX($C$64:$R$79,BB$62,$AO$68)</f>
        <v>14</v>
      </c>
      <c r="AB76" s="18">
        <f>INDEX($C$64:$R$79,$AO69,BB$62)+INDEX($C$64:$R$79,BB$62,$AO$69)</f>
        <v>0</v>
      </c>
      <c r="AC76" s="18">
        <f>INDEX($C$64:$R$79,$AO70,BB$62)+INDEX($C$64:$R$79,BB$62,$AO$70)</f>
        <v>11</v>
      </c>
      <c r="AD76" s="18">
        <f>INDEX($C$64:$R$79,$AO71,BB$62)+INDEX($C$64:$R$79,BB$62,$AO$71)</f>
        <v>0</v>
      </c>
      <c r="AE76" s="18">
        <f>INDEX($C$64:$R$79,$AO72,BB$62)+INDEX($C$64:$R$79,BB$62,$AO$72)</f>
        <v>0</v>
      </c>
      <c r="AF76" s="18">
        <f>INDEX($C$64:$R$79,$AO73,BB$62)+INDEX($C$64:$R$79,BB$62,$AO$73)</f>
        <v>1</v>
      </c>
      <c r="AG76" s="18">
        <f>INDEX($C$64:$R$79,$AO74,BB$62)+INDEX($C$64:$R$79,BB$62,$AO$74)</f>
        <v>5</v>
      </c>
      <c r="AH76" s="18">
        <f>INDEX($C$64:$R$79,$AO75,BB$62)+INDEX($C$64:$R$79,BB$62,$AO$75)</f>
        <v>16</v>
      </c>
      <c r="AI76" s="10"/>
      <c r="AJ76" s="18">
        <f>INDEX($C$64:$R$79,$AO76,BC$62)+INDEX($C$64:$R$79,BC$62,$AO$76)</f>
        <v>0</v>
      </c>
      <c r="AK76" s="18">
        <f t="shared" ref="AK76:AL76" si="20">INDEX($C$64:$R$79,$AO76,BD$62)+INDEX($C$64:$R$79,BD$62,$AO$76)</f>
        <v>20</v>
      </c>
      <c r="AL76" s="22">
        <f t="shared" si="20"/>
        <v>7</v>
      </c>
      <c r="AM76" s="12">
        <f t="shared" si="10"/>
        <v>140</v>
      </c>
      <c r="AO76" s="8">
        <v>13</v>
      </c>
    </row>
    <row r="77" spans="1:41" x14ac:dyDescent="0.25">
      <c r="A77" s="40"/>
      <c r="B77" s="13" t="s">
        <v>311</v>
      </c>
      <c r="C77" s="29">
        <f t="shared" si="7"/>
        <v>1</v>
      </c>
      <c r="D77" s="18">
        <f t="shared" si="7"/>
        <v>0</v>
      </c>
      <c r="E77" s="18">
        <f t="shared" si="7"/>
        <v>0</v>
      </c>
      <c r="F77" s="18">
        <f t="shared" si="7"/>
        <v>1</v>
      </c>
      <c r="G77" s="18">
        <f t="shared" si="7"/>
        <v>0</v>
      </c>
      <c r="H77" s="18">
        <f t="shared" si="7"/>
        <v>0</v>
      </c>
      <c r="I77" s="18">
        <f t="shared" si="7"/>
        <v>0</v>
      </c>
      <c r="J77" s="18">
        <f t="shared" si="7"/>
        <v>0</v>
      </c>
      <c r="K77" s="18">
        <f t="shared" si="7"/>
        <v>0</v>
      </c>
      <c r="L77" s="18">
        <f t="shared" si="7"/>
        <v>0</v>
      </c>
      <c r="M77" s="18">
        <f t="shared" si="7"/>
        <v>0</v>
      </c>
      <c r="N77" s="18">
        <f t="shared" si="7"/>
        <v>0</v>
      </c>
      <c r="O77" s="18">
        <f t="shared" si="7"/>
        <v>0</v>
      </c>
      <c r="P77" s="10"/>
      <c r="Q77" s="18">
        <f t="shared" si="7"/>
        <v>0</v>
      </c>
      <c r="R77" s="22">
        <f t="shared" si="7"/>
        <v>0</v>
      </c>
      <c r="S77" s="12">
        <f t="shared" si="8"/>
        <v>2</v>
      </c>
      <c r="U77" s="40"/>
      <c r="V77" s="13" t="s">
        <v>311</v>
      </c>
      <c r="W77" s="29">
        <f>INDEX($C$64:$R$79,$AO64,BC$62)+INDEX($C$64:$R$79,BC$62,$AO$64)</f>
        <v>2</v>
      </c>
      <c r="X77" s="18">
        <f>INDEX($C$64:$R$79,$AO65,BC$62)+INDEX($C$64:$R$79,BC$62,$AO$65)</f>
        <v>1</v>
      </c>
      <c r="Y77" s="18">
        <f>INDEX($C$64:$R$79,$AO66,BC$62)+INDEX($C$64:$R$79,BC$62,$AO$66)</f>
        <v>1</v>
      </c>
      <c r="Z77" s="18">
        <f>INDEX($C$64:$R$79,$AO67,BC$62)+INDEX($C$64:$R$79,BC$62,$AO$67)</f>
        <v>1</v>
      </c>
      <c r="AA77" s="18">
        <f>INDEX($C$64:$R$79,$AO68,BC$62)+INDEX($C$64:$R$79,BC$62,$AO$68)</f>
        <v>2</v>
      </c>
      <c r="AB77" s="18">
        <f>INDEX($C$64:$R$79,$AO69,BC$62)+INDEX($C$64:$R$79,BC$62,$AO$69)</f>
        <v>0</v>
      </c>
      <c r="AC77" s="18">
        <f>INDEX($C$64:$R$79,$AO70,BC$62)+INDEX($C$64:$R$79,BC$62,$AO$70)</f>
        <v>1</v>
      </c>
      <c r="AD77" s="18">
        <f>INDEX($C$64:$R$79,$AO71,BC$62)+INDEX($C$64:$R$79,BC$62,$AO$71)</f>
        <v>0</v>
      </c>
      <c r="AE77" s="18">
        <f>INDEX($C$64:$R$79,$AO72,BC$62)+INDEX($C$64:$R$79,BC$62,$AO$72)</f>
        <v>0</v>
      </c>
      <c r="AF77" s="18">
        <f>INDEX($C$64:$R$79,$AO73,BC$62)+INDEX($C$64:$R$79,BC$62,$AO$73)</f>
        <v>0</v>
      </c>
      <c r="AG77" s="18">
        <f>INDEX($C$64:$R$79,$AO74,BC$62)+INDEX($C$64:$R$79,BC$62,$AO$74)</f>
        <v>1</v>
      </c>
      <c r="AH77" s="18">
        <f>INDEX($C$64:$R$79,$AO75,BC$62)+INDEX($C$64:$R$79,BC$62,$AO$75)</f>
        <v>1</v>
      </c>
      <c r="AI77" s="18">
        <f>INDEX($C$64:$R$79,$AO76,BC$62)+INDEX($C$64:$R$79,BC$62,$AO$76)</f>
        <v>0</v>
      </c>
      <c r="AJ77" s="10"/>
      <c r="AK77" s="18">
        <f>INDEX($C$64:$R$79,$AO77,BD$62)+INDEX($C$64:$R$79,BD$62,$AO$77)</f>
        <v>1</v>
      </c>
      <c r="AL77" s="22">
        <f>INDEX($C$64:$R$79,$AO77,BE$62)+INDEX($C$64:$R$79,BE$62,$AO$77)</f>
        <v>1</v>
      </c>
      <c r="AM77" s="12">
        <f t="shared" si="10"/>
        <v>12</v>
      </c>
      <c r="AO77" s="8">
        <v>14</v>
      </c>
    </row>
    <row r="78" spans="1:41" x14ac:dyDescent="0.25">
      <c r="A78" s="40"/>
      <c r="B78" s="13" t="s">
        <v>11</v>
      </c>
      <c r="C78" s="29">
        <f t="shared" si="7"/>
        <v>13</v>
      </c>
      <c r="D78" s="18">
        <f t="shared" si="7"/>
        <v>13</v>
      </c>
      <c r="E78" s="18">
        <f t="shared" si="7"/>
        <v>17</v>
      </c>
      <c r="F78" s="18">
        <f t="shared" si="7"/>
        <v>18</v>
      </c>
      <c r="G78" s="18">
        <f t="shared" si="7"/>
        <v>6</v>
      </c>
      <c r="H78" s="18">
        <f t="shared" si="7"/>
        <v>2</v>
      </c>
      <c r="I78" s="18">
        <f t="shared" si="7"/>
        <v>13</v>
      </c>
      <c r="J78" s="18">
        <f t="shared" si="7"/>
        <v>1</v>
      </c>
      <c r="K78" s="18">
        <f t="shared" si="7"/>
        <v>1</v>
      </c>
      <c r="L78" s="18">
        <f t="shared" si="7"/>
        <v>0</v>
      </c>
      <c r="M78" s="18">
        <f t="shared" si="7"/>
        <v>3</v>
      </c>
      <c r="N78" s="18">
        <f t="shared" si="7"/>
        <v>14</v>
      </c>
      <c r="O78" s="18">
        <f t="shared" si="7"/>
        <v>12</v>
      </c>
      <c r="P78" s="18">
        <f t="shared" si="7"/>
        <v>1</v>
      </c>
      <c r="Q78" s="10"/>
      <c r="R78" s="22">
        <f>R18+R38+R58</f>
        <v>8</v>
      </c>
      <c r="S78" s="12">
        <f t="shared" si="8"/>
        <v>122</v>
      </c>
      <c r="U78" s="40"/>
      <c r="V78" s="13" t="s">
        <v>11</v>
      </c>
      <c r="W78" s="29">
        <f>INDEX($C$64:$R$79,$AO64,BD$62)+INDEX($C$64:$R$79,BD$62,$AO$64)</f>
        <v>31</v>
      </c>
      <c r="X78" s="18">
        <f>INDEX($C$64:$R$79,$AO65,BD$62)+INDEX($C$64:$R$79,BD$62,$AO$65)</f>
        <v>16</v>
      </c>
      <c r="Y78" s="18">
        <f>INDEX($C$64:$R$79,$AO66,BD$62)+INDEX($C$64:$R$79,BD$62,$AO$66)</f>
        <v>26</v>
      </c>
      <c r="Z78" s="18">
        <f>INDEX($C$64:$R$79,$AO67,BD$62)+INDEX($C$64:$R$79,BD$62,$AO$67)</f>
        <v>28</v>
      </c>
      <c r="AA78" s="18">
        <f>INDEX($C$64:$R$79,$AO68,BD$62)+INDEX($C$64:$R$79,BD$62,$AO$68)</f>
        <v>11</v>
      </c>
      <c r="AB78" s="18">
        <f>INDEX($C$64:$R$79,$AO69,BD$62)+INDEX($C$64:$R$79,BD$62,$AO$69)</f>
        <v>2</v>
      </c>
      <c r="AC78" s="18">
        <f>INDEX($C$64:$R$79,$AO70,BD$62)+INDEX($C$64:$R$79,BD$62,$AO$70)</f>
        <v>17</v>
      </c>
      <c r="AD78" s="18">
        <f>INDEX($C$64:$R$79,$AO71,BD$62)+INDEX($C$64:$R$79,BD$62,$AO$71)</f>
        <v>2</v>
      </c>
      <c r="AE78" s="18">
        <f>INDEX($C$64:$R$79,$AO72,BD$62)+INDEX($C$64:$R$79,BD$62,$AO$72)</f>
        <v>1</v>
      </c>
      <c r="AF78" s="18">
        <f>INDEX($C$64:$R$79,$AO73,BD$62)+INDEX($C$64:$R$79,BD$62,$AO$73)</f>
        <v>0</v>
      </c>
      <c r="AG78" s="18">
        <f>INDEX($C$64:$R$79,$AO74,BD$62)+INDEX($C$64:$R$79,BD$62,$AO$74)</f>
        <v>5</v>
      </c>
      <c r="AH78" s="18">
        <f>INDEX($C$64:$R$79,$AO75,BD$62)+INDEX($C$64:$R$79,BD$62,$AO$75)</f>
        <v>26</v>
      </c>
      <c r="AI78" s="18">
        <f>INDEX($C$64:$R$79,$AO76,BD$62)+INDEX($C$64:$R$79,BD$62,$AO$76)</f>
        <v>20</v>
      </c>
      <c r="AJ78" s="18">
        <f>INDEX($C$64:$R$79,$AO77,BD$62)+INDEX($C$64:$R$79,BD$62,$AO$77)</f>
        <v>1</v>
      </c>
      <c r="AK78" s="10"/>
      <c r="AL78" s="22">
        <f>INDEX($C$64:$R$79,$AO78,BE$62)+INDEX($C$64:$R$79,BE$62,$AO$78)</f>
        <v>8</v>
      </c>
      <c r="AM78" s="12">
        <f t="shared" si="10"/>
        <v>194</v>
      </c>
      <c r="AO78" s="8">
        <v>15</v>
      </c>
    </row>
    <row r="79" spans="1:41" ht="15.75" thickBot="1" x14ac:dyDescent="0.3">
      <c r="A79" s="40"/>
      <c r="B79" s="13" t="s">
        <v>211</v>
      </c>
      <c r="C79" s="30">
        <f>C19+C39+C59</f>
        <v>0</v>
      </c>
      <c r="D79" s="26">
        <f t="shared" ref="D79:Q79" si="21">D19+D39+D59</f>
        <v>1</v>
      </c>
      <c r="E79" s="26">
        <f t="shared" si="21"/>
        <v>1</v>
      </c>
      <c r="F79" s="26">
        <f t="shared" si="21"/>
        <v>1</v>
      </c>
      <c r="G79" s="26">
        <f t="shared" si="21"/>
        <v>1</v>
      </c>
      <c r="H79" s="26">
        <f t="shared" si="21"/>
        <v>0</v>
      </c>
      <c r="I79" s="26">
        <f t="shared" si="21"/>
        <v>1</v>
      </c>
      <c r="J79" s="26">
        <f t="shared" si="21"/>
        <v>0</v>
      </c>
      <c r="K79" s="26">
        <f t="shared" si="21"/>
        <v>0</v>
      </c>
      <c r="L79" s="26">
        <f t="shared" si="21"/>
        <v>0</v>
      </c>
      <c r="M79" s="26">
        <f t="shared" si="21"/>
        <v>0</v>
      </c>
      <c r="N79" s="26">
        <f t="shared" si="21"/>
        <v>0</v>
      </c>
      <c r="O79" s="26">
        <f t="shared" si="21"/>
        <v>1</v>
      </c>
      <c r="P79" s="26">
        <f t="shared" si="21"/>
        <v>1</v>
      </c>
      <c r="Q79" s="26">
        <f t="shared" si="21"/>
        <v>0</v>
      </c>
      <c r="R79" s="11"/>
      <c r="S79" s="12">
        <f t="shared" si="8"/>
        <v>7</v>
      </c>
      <c r="U79" s="40"/>
      <c r="V79" s="13" t="s">
        <v>211</v>
      </c>
      <c r="W79" s="30">
        <f>INDEX($C$64:$R$79,$AO64,BE$62)+INDEX($C$64:$R$79,BE$62,$AO$64)</f>
        <v>4</v>
      </c>
      <c r="X79" s="26">
        <f>INDEX($C$64:$R$79,$AO65,BE$62)+INDEX($C$64:$R$79,BE$62,$AO$65)</f>
        <v>4</v>
      </c>
      <c r="Y79" s="26">
        <f>INDEX($C$64:$R$79,$AO66,BE$62)+INDEX($C$64:$R$79,BE$62,$AO$66)</f>
        <v>6</v>
      </c>
      <c r="Z79" s="26">
        <f>INDEX($C$64:$R$79,$AO67,BE$62)+INDEX($C$64:$R$79,BE$62,$AO$67)</f>
        <v>10</v>
      </c>
      <c r="AA79" s="26">
        <f>INDEX($C$64:$R$79,$AO68,BE$62)+INDEX($C$64:$R$79,BE$62,$AO$68)</f>
        <v>6</v>
      </c>
      <c r="AB79" s="26">
        <f>INDEX($C$64:$R$79,$AO69,BE$62)+INDEX($C$64:$R$79,BE$62,$AO$69)</f>
        <v>0</v>
      </c>
      <c r="AC79" s="26">
        <f>INDEX($C$64:$R$79,$AO70,BE$62)+INDEX($C$64:$R$79,BE$62,$AO$70)</f>
        <v>3</v>
      </c>
      <c r="AD79" s="26">
        <f>INDEX($C$64:$R$79,$AO71,BE$62)+INDEX($C$64:$R$79,BE$62,$AO$71)</f>
        <v>0</v>
      </c>
      <c r="AE79" s="26">
        <f>INDEX($C$64:$R$79,$AO72,BE$62)+INDEX($C$64:$R$79,BE$62,$AO$72)</f>
        <v>0</v>
      </c>
      <c r="AF79" s="26">
        <f>INDEX($C$64:$R$79,$AO73,BE$62)+INDEX($C$64:$R$79,BE$62,$AO$73)</f>
        <v>0</v>
      </c>
      <c r="AG79" s="26">
        <f>INDEX($C$64:$R$79,$AO74,BE$62)+INDEX($C$64:$R$79,BE$62,$AO$74)</f>
        <v>2</v>
      </c>
      <c r="AH79" s="26">
        <f>INDEX($C$64:$R$79,$AO75,BE$62)+INDEX($C$64:$R$79,BE$62,$AO$75)</f>
        <v>6</v>
      </c>
      <c r="AI79" s="26">
        <f>INDEX($C$64:$R$79,$AO76,BE$62)+INDEX($C$64:$R$79,BE$62,$AO$76)</f>
        <v>7</v>
      </c>
      <c r="AJ79" s="26">
        <f>INDEX($C$64:$R$79,$AO77,BE$62)+INDEX($C$64:$R$79,BE$62,$AO$77)</f>
        <v>1</v>
      </c>
      <c r="AK79" s="26">
        <f>INDEX($C$64:$R$79,$AO79,BD$62)+INDEX($C$64:$R$79,BD$62,$AO$78)</f>
        <v>0</v>
      </c>
      <c r="AL79" s="11"/>
      <c r="AM79" s="12">
        <f t="shared" si="10"/>
        <v>49</v>
      </c>
      <c r="AO79" s="8">
        <v>16</v>
      </c>
    </row>
    <row r="81" spans="1:19" ht="23.25" x14ac:dyDescent="0.35">
      <c r="A81" s="17" t="s">
        <v>602</v>
      </c>
    </row>
    <row r="82" spans="1:19" ht="23.25" x14ac:dyDescent="0.25">
      <c r="C82" s="39" t="s">
        <v>601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</row>
    <row r="83" spans="1:19" ht="15.75" thickBot="1" x14ac:dyDescent="0.3">
      <c r="C83" s="14" t="s">
        <v>16</v>
      </c>
      <c r="D83" s="14" t="s">
        <v>56</v>
      </c>
      <c r="E83" s="14" t="s">
        <v>19</v>
      </c>
      <c r="F83" s="14" t="s">
        <v>10</v>
      </c>
      <c r="G83" s="14" t="s">
        <v>125</v>
      </c>
      <c r="H83" s="14" t="s">
        <v>319</v>
      </c>
      <c r="I83" s="14" t="s">
        <v>99</v>
      </c>
      <c r="J83" s="14" t="s">
        <v>342</v>
      </c>
      <c r="K83" s="14" t="s">
        <v>396</v>
      </c>
      <c r="L83" s="14" t="s">
        <v>327</v>
      </c>
      <c r="M83" s="14" t="s">
        <v>482</v>
      </c>
      <c r="N83" s="14" t="s">
        <v>43</v>
      </c>
      <c r="O83" s="14" t="s">
        <v>66</v>
      </c>
      <c r="P83" s="14" t="s">
        <v>311</v>
      </c>
      <c r="Q83" s="14" t="s">
        <v>11</v>
      </c>
      <c r="R83" s="14" t="s">
        <v>211</v>
      </c>
      <c r="S83" s="14" t="s">
        <v>597</v>
      </c>
    </row>
    <row r="84" spans="1:19" x14ac:dyDescent="0.25">
      <c r="A84" s="40" t="s">
        <v>600</v>
      </c>
      <c r="B84" s="13" t="s">
        <v>16</v>
      </c>
      <c r="C84" s="9"/>
      <c r="D84" s="15">
        <f>D4+D24</f>
        <v>10</v>
      </c>
      <c r="E84" s="15">
        <f t="shared" ref="E84:R84" si="22">E4+E24</f>
        <v>15</v>
      </c>
      <c r="F84" s="15">
        <f t="shared" si="22"/>
        <v>18</v>
      </c>
      <c r="G84" s="15">
        <f t="shared" si="22"/>
        <v>7</v>
      </c>
      <c r="H84" s="15">
        <f t="shared" si="22"/>
        <v>1</v>
      </c>
      <c r="I84" s="15">
        <f t="shared" si="22"/>
        <v>10</v>
      </c>
      <c r="J84" s="15">
        <f t="shared" si="22"/>
        <v>0</v>
      </c>
      <c r="K84" s="15">
        <f t="shared" si="22"/>
        <v>1</v>
      </c>
      <c r="L84" s="15">
        <f t="shared" si="22"/>
        <v>0</v>
      </c>
      <c r="M84" s="15">
        <f t="shared" si="22"/>
        <v>2</v>
      </c>
      <c r="N84" s="15">
        <f t="shared" si="22"/>
        <v>18</v>
      </c>
      <c r="O84" s="15">
        <f t="shared" si="22"/>
        <v>12</v>
      </c>
      <c r="P84" s="15">
        <f t="shared" si="22"/>
        <v>1</v>
      </c>
      <c r="Q84" s="15">
        <f t="shared" si="22"/>
        <v>14</v>
      </c>
      <c r="R84" s="20">
        <f t="shared" si="22"/>
        <v>4</v>
      </c>
      <c r="S84" s="12">
        <f>SUM(C84:R84)</f>
        <v>113</v>
      </c>
    </row>
    <row r="85" spans="1:19" x14ac:dyDescent="0.25">
      <c r="A85" s="40"/>
      <c r="B85" s="13" t="s">
        <v>56</v>
      </c>
      <c r="C85" s="29">
        <f>C5+C25</f>
        <v>2</v>
      </c>
      <c r="D85" s="10"/>
      <c r="E85" s="18">
        <f t="shared" ref="E85:R85" si="23">E5+E25</f>
        <v>2</v>
      </c>
      <c r="F85" s="18">
        <f t="shared" si="23"/>
        <v>2</v>
      </c>
      <c r="G85" s="18">
        <f t="shared" si="23"/>
        <v>3</v>
      </c>
      <c r="H85" s="18">
        <f t="shared" si="23"/>
        <v>0</v>
      </c>
      <c r="I85" s="18">
        <f t="shared" si="23"/>
        <v>2</v>
      </c>
      <c r="J85" s="18">
        <f t="shared" si="23"/>
        <v>0</v>
      </c>
      <c r="K85" s="18">
        <f t="shared" si="23"/>
        <v>0</v>
      </c>
      <c r="L85" s="18">
        <f t="shared" si="23"/>
        <v>0</v>
      </c>
      <c r="M85" s="18">
        <f t="shared" si="23"/>
        <v>1</v>
      </c>
      <c r="N85" s="18">
        <f t="shared" si="23"/>
        <v>1</v>
      </c>
      <c r="O85" s="18">
        <f t="shared" si="23"/>
        <v>3</v>
      </c>
      <c r="P85" s="18">
        <f t="shared" si="23"/>
        <v>1</v>
      </c>
      <c r="Q85" s="18">
        <f t="shared" si="23"/>
        <v>2</v>
      </c>
      <c r="R85" s="22">
        <f t="shared" si="23"/>
        <v>1</v>
      </c>
      <c r="S85" s="12">
        <f>SUM(C85:R85)</f>
        <v>20</v>
      </c>
    </row>
    <row r="86" spans="1:19" x14ac:dyDescent="0.25">
      <c r="A86" s="40"/>
      <c r="B86" s="13" t="s">
        <v>19</v>
      </c>
      <c r="C86" s="29">
        <f t="shared" ref="C86:R86" si="24">C6+C26</f>
        <v>9</v>
      </c>
      <c r="D86" s="18">
        <f t="shared" si="24"/>
        <v>8</v>
      </c>
      <c r="E86" s="10"/>
      <c r="F86" s="18">
        <f t="shared" si="24"/>
        <v>16</v>
      </c>
      <c r="G86" s="18">
        <f t="shared" si="24"/>
        <v>7</v>
      </c>
      <c r="H86" s="18">
        <f t="shared" si="24"/>
        <v>2</v>
      </c>
      <c r="I86" s="18">
        <f t="shared" si="24"/>
        <v>12</v>
      </c>
      <c r="J86" s="18">
        <f t="shared" si="24"/>
        <v>0</v>
      </c>
      <c r="K86" s="18">
        <f t="shared" si="24"/>
        <v>0</v>
      </c>
      <c r="L86" s="18">
        <f t="shared" si="24"/>
        <v>0</v>
      </c>
      <c r="M86" s="18">
        <f t="shared" si="24"/>
        <v>4</v>
      </c>
      <c r="N86" s="18">
        <f t="shared" si="24"/>
        <v>13</v>
      </c>
      <c r="O86" s="18">
        <f t="shared" si="24"/>
        <v>11</v>
      </c>
      <c r="P86" s="18">
        <f t="shared" si="24"/>
        <v>1</v>
      </c>
      <c r="Q86" s="18">
        <f t="shared" si="24"/>
        <v>9</v>
      </c>
      <c r="R86" s="22">
        <f t="shared" si="24"/>
        <v>5</v>
      </c>
      <c r="S86" s="12">
        <f t="shared" ref="S86:S99" si="25">SUM(C86:R86)</f>
        <v>97</v>
      </c>
    </row>
    <row r="87" spans="1:19" x14ac:dyDescent="0.25">
      <c r="A87" s="40"/>
      <c r="B87" s="13" t="s">
        <v>10</v>
      </c>
      <c r="C87" s="29">
        <f t="shared" ref="C87:R87" si="26">C7+C27</f>
        <v>0</v>
      </c>
      <c r="D87" s="18">
        <f t="shared" si="26"/>
        <v>8</v>
      </c>
      <c r="E87" s="18">
        <f t="shared" si="26"/>
        <v>3</v>
      </c>
      <c r="F87" s="10"/>
      <c r="G87" s="18">
        <f t="shared" si="26"/>
        <v>7</v>
      </c>
      <c r="H87" s="18">
        <f t="shared" si="26"/>
        <v>0</v>
      </c>
      <c r="I87" s="18">
        <f t="shared" si="26"/>
        <v>12</v>
      </c>
      <c r="J87" s="18">
        <f t="shared" si="26"/>
        <v>0</v>
      </c>
      <c r="K87" s="18">
        <f t="shared" si="26"/>
        <v>0</v>
      </c>
      <c r="L87" s="18">
        <f t="shared" si="26"/>
        <v>0</v>
      </c>
      <c r="M87" s="18">
        <f t="shared" si="26"/>
        <v>1</v>
      </c>
      <c r="N87" s="18">
        <f t="shared" si="26"/>
        <v>7</v>
      </c>
      <c r="O87" s="18">
        <f t="shared" si="26"/>
        <v>7</v>
      </c>
      <c r="P87" s="18">
        <f t="shared" si="26"/>
        <v>0</v>
      </c>
      <c r="Q87" s="18">
        <f t="shared" si="26"/>
        <v>6</v>
      </c>
      <c r="R87" s="22">
        <f t="shared" si="26"/>
        <v>7</v>
      </c>
      <c r="S87" s="12">
        <f t="shared" si="25"/>
        <v>58</v>
      </c>
    </row>
    <row r="88" spans="1:19" x14ac:dyDescent="0.25">
      <c r="A88" s="40"/>
      <c r="B88" s="13" t="s">
        <v>125</v>
      </c>
      <c r="C88" s="29">
        <f t="shared" ref="C88:R88" si="27">C8+C28</f>
        <v>2</v>
      </c>
      <c r="D88" s="18">
        <f t="shared" si="27"/>
        <v>4</v>
      </c>
      <c r="E88" s="18">
        <f t="shared" si="27"/>
        <v>2</v>
      </c>
      <c r="F88" s="18">
        <f t="shared" si="27"/>
        <v>2</v>
      </c>
      <c r="G88" s="10"/>
      <c r="H88" s="18">
        <f t="shared" si="27"/>
        <v>3</v>
      </c>
      <c r="I88" s="18">
        <f t="shared" si="27"/>
        <v>9</v>
      </c>
      <c r="J88" s="18">
        <f t="shared" si="27"/>
        <v>1</v>
      </c>
      <c r="K88" s="18">
        <f t="shared" si="27"/>
        <v>0</v>
      </c>
      <c r="L88" s="18">
        <f t="shared" si="27"/>
        <v>0</v>
      </c>
      <c r="M88" s="18">
        <f t="shared" si="27"/>
        <v>2</v>
      </c>
      <c r="N88" s="18">
        <f t="shared" si="27"/>
        <v>3</v>
      </c>
      <c r="O88" s="18">
        <f t="shared" si="27"/>
        <v>2</v>
      </c>
      <c r="P88" s="18">
        <f t="shared" si="27"/>
        <v>2</v>
      </c>
      <c r="Q88" s="18">
        <f t="shared" si="27"/>
        <v>3</v>
      </c>
      <c r="R88" s="22">
        <f t="shared" si="27"/>
        <v>4</v>
      </c>
      <c r="S88" s="12">
        <f t="shared" si="25"/>
        <v>39</v>
      </c>
    </row>
    <row r="89" spans="1:19" x14ac:dyDescent="0.25">
      <c r="A89" s="40"/>
      <c r="B89" s="13" t="s">
        <v>319</v>
      </c>
      <c r="C89" s="29">
        <f t="shared" ref="C89:R89" si="28">C9+C29</f>
        <v>0</v>
      </c>
      <c r="D89" s="18">
        <f t="shared" si="28"/>
        <v>2</v>
      </c>
      <c r="E89" s="18">
        <f t="shared" si="28"/>
        <v>0</v>
      </c>
      <c r="F89" s="18">
        <f t="shared" si="28"/>
        <v>1</v>
      </c>
      <c r="G89" s="18">
        <f t="shared" si="28"/>
        <v>0</v>
      </c>
      <c r="H89" s="10"/>
      <c r="I89" s="18">
        <f t="shared" si="28"/>
        <v>0</v>
      </c>
      <c r="J89" s="18">
        <f t="shared" si="28"/>
        <v>1</v>
      </c>
      <c r="K89" s="18">
        <f t="shared" si="28"/>
        <v>0</v>
      </c>
      <c r="L89" s="18">
        <f t="shared" si="28"/>
        <v>0</v>
      </c>
      <c r="M89" s="18">
        <f t="shared" si="28"/>
        <v>0</v>
      </c>
      <c r="N89" s="18">
        <f t="shared" si="28"/>
        <v>0</v>
      </c>
      <c r="O89" s="18">
        <f t="shared" si="28"/>
        <v>0</v>
      </c>
      <c r="P89" s="18">
        <f t="shared" si="28"/>
        <v>0</v>
      </c>
      <c r="Q89" s="18">
        <f t="shared" si="28"/>
        <v>0</v>
      </c>
      <c r="R89" s="22">
        <f t="shared" si="28"/>
        <v>0</v>
      </c>
      <c r="S89" s="12">
        <f t="shared" si="25"/>
        <v>4</v>
      </c>
    </row>
    <row r="90" spans="1:19" x14ac:dyDescent="0.25">
      <c r="A90" s="40"/>
      <c r="B90" s="13" t="s">
        <v>99</v>
      </c>
      <c r="C90" s="29">
        <f t="shared" ref="C90:R90" si="29">C10+C30</f>
        <v>0</v>
      </c>
      <c r="D90" s="18">
        <f t="shared" si="29"/>
        <v>1</v>
      </c>
      <c r="E90" s="18">
        <f t="shared" si="29"/>
        <v>0</v>
      </c>
      <c r="F90" s="18">
        <f t="shared" si="29"/>
        <v>1</v>
      </c>
      <c r="G90" s="18">
        <f t="shared" si="29"/>
        <v>2</v>
      </c>
      <c r="H90" s="18">
        <f t="shared" si="29"/>
        <v>0</v>
      </c>
      <c r="I90" s="10"/>
      <c r="J90" s="18">
        <f t="shared" si="29"/>
        <v>0</v>
      </c>
      <c r="K90" s="18">
        <f t="shared" si="29"/>
        <v>0</v>
      </c>
      <c r="L90" s="18">
        <f t="shared" si="29"/>
        <v>0</v>
      </c>
      <c r="M90" s="18">
        <f t="shared" si="29"/>
        <v>0</v>
      </c>
      <c r="N90" s="18">
        <f t="shared" si="29"/>
        <v>3</v>
      </c>
      <c r="O90" s="18">
        <f t="shared" si="29"/>
        <v>1</v>
      </c>
      <c r="P90" s="18">
        <f t="shared" si="29"/>
        <v>1</v>
      </c>
      <c r="Q90" s="18">
        <f t="shared" si="29"/>
        <v>3</v>
      </c>
      <c r="R90" s="22">
        <f t="shared" si="29"/>
        <v>2</v>
      </c>
      <c r="S90" s="12">
        <f t="shared" si="25"/>
        <v>14</v>
      </c>
    </row>
    <row r="91" spans="1:19" x14ac:dyDescent="0.25">
      <c r="A91" s="40"/>
      <c r="B91" s="13" t="s">
        <v>342</v>
      </c>
      <c r="C91" s="29">
        <f t="shared" ref="C91:R91" si="30">C11+C31</f>
        <v>0</v>
      </c>
      <c r="D91" s="18">
        <f t="shared" si="30"/>
        <v>1</v>
      </c>
      <c r="E91" s="18">
        <f t="shared" si="30"/>
        <v>1</v>
      </c>
      <c r="F91" s="18">
        <f t="shared" si="30"/>
        <v>0</v>
      </c>
      <c r="G91" s="18">
        <f t="shared" si="30"/>
        <v>0</v>
      </c>
      <c r="H91" s="18">
        <f t="shared" si="30"/>
        <v>0</v>
      </c>
      <c r="I91" s="18">
        <f t="shared" si="30"/>
        <v>0</v>
      </c>
      <c r="J91" s="10"/>
      <c r="K91" s="18">
        <f t="shared" si="30"/>
        <v>0</v>
      </c>
      <c r="L91" s="18">
        <f t="shared" si="30"/>
        <v>0</v>
      </c>
      <c r="M91" s="18">
        <f t="shared" si="30"/>
        <v>0</v>
      </c>
      <c r="N91" s="18">
        <f t="shared" si="30"/>
        <v>0</v>
      </c>
      <c r="O91" s="18">
        <f t="shared" si="30"/>
        <v>0</v>
      </c>
      <c r="P91" s="18">
        <f t="shared" si="30"/>
        <v>0</v>
      </c>
      <c r="Q91" s="18">
        <f t="shared" si="30"/>
        <v>1</v>
      </c>
      <c r="R91" s="22">
        <f t="shared" si="30"/>
        <v>0</v>
      </c>
      <c r="S91" s="12">
        <f t="shared" si="25"/>
        <v>3</v>
      </c>
    </row>
    <row r="92" spans="1:19" x14ac:dyDescent="0.25">
      <c r="A92" s="40"/>
      <c r="B92" s="13" t="s">
        <v>396</v>
      </c>
      <c r="C92" s="29">
        <f t="shared" ref="C92:R92" si="31">C12+C32</f>
        <v>0</v>
      </c>
      <c r="D92" s="18">
        <f t="shared" si="31"/>
        <v>0</v>
      </c>
      <c r="E92" s="18">
        <f t="shared" si="31"/>
        <v>0</v>
      </c>
      <c r="F92" s="18">
        <f t="shared" si="31"/>
        <v>0</v>
      </c>
      <c r="G92" s="18">
        <f t="shared" si="31"/>
        <v>0</v>
      </c>
      <c r="H92" s="18">
        <f t="shared" si="31"/>
        <v>0</v>
      </c>
      <c r="I92" s="18">
        <f t="shared" si="31"/>
        <v>0</v>
      </c>
      <c r="J92" s="18">
        <f t="shared" si="31"/>
        <v>0</v>
      </c>
      <c r="K92" s="10"/>
      <c r="L92" s="18">
        <f t="shared" si="31"/>
        <v>0</v>
      </c>
      <c r="M92" s="18">
        <f t="shared" si="31"/>
        <v>0</v>
      </c>
      <c r="N92" s="18">
        <f t="shared" si="31"/>
        <v>0</v>
      </c>
      <c r="O92" s="18">
        <f t="shared" si="31"/>
        <v>0</v>
      </c>
      <c r="P92" s="18">
        <f t="shared" si="31"/>
        <v>0</v>
      </c>
      <c r="Q92" s="18">
        <f t="shared" si="31"/>
        <v>0</v>
      </c>
      <c r="R92" s="22">
        <f t="shared" si="31"/>
        <v>0</v>
      </c>
      <c r="S92" s="12">
        <f t="shared" si="25"/>
        <v>0</v>
      </c>
    </row>
    <row r="93" spans="1:19" x14ac:dyDescent="0.25">
      <c r="A93" s="40"/>
      <c r="B93" s="13" t="s">
        <v>327</v>
      </c>
      <c r="C93" s="29">
        <f t="shared" ref="C93:R93" si="32">C13+C33</f>
        <v>0</v>
      </c>
      <c r="D93" s="18">
        <f t="shared" si="32"/>
        <v>0</v>
      </c>
      <c r="E93" s="18">
        <f t="shared" si="32"/>
        <v>0</v>
      </c>
      <c r="F93" s="18">
        <f t="shared" si="32"/>
        <v>0</v>
      </c>
      <c r="G93" s="18">
        <f t="shared" si="32"/>
        <v>0</v>
      </c>
      <c r="H93" s="18">
        <f t="shared" si="32"/>
        <v>0</v>
      </c>
      <c r="I93" s="18">
        <f t="shared" si="32"/>
        <v>0</v>
      </c>
      <c r="J93" s="18">
        <f t="shared" si="32"/>
        <v>0</v>
      </c>
      <c r="K93" s="18">
        <f t="shared" si="32"/>
        <v>0</v>
      </c>
      <c r="L93" s="10"/>
      <c r="M93" s="18">
        <f t="shared" si="32"/>
        <v>0</v>
      </c>
      <c r="N93" s="18">
        <f t="shared" si="32"/>
        <v>0</v>
      </c>
      <c r="O93" s="18">
        <f t="shared" si="32"/>
        <v>0</v>
      </c>
      <c r="P93" s="18">
        <f t="shared" si="32"/>
        <v>0</v>
      </c>
      <c r="Q93" s="18">
        <f t="shared" si="32"/>
        <v>0</v>
      </c>
      <c r="R93" s="22">
        <f t="shared" si="32"/>
        <v>0</v>
      </c>
      <c r="S93" s="12">
        <f t="shared" si="25"/>
        <v>0</v>
      </c>
    </row>
    <row r="94" spans="1:19" x14ac:dyDescent="0.25">
      <c r="A94" s="40"/>
      <c r="B94" s="13" t="s">
        <v>482</v>
      </c>
      <c r="C94" s="29">
        <f t="shared" ref="C94:R94" si="33">C14+C34</f>
        <v>1</v>
      </c>
      <c r="D94" s="18">
        <f t="shared" si="33"/>
        <v>0</v>
      </c>
      <c r="E94" s="18">
        <f t="shared" si="33"/>
        <v>2</v>
      </c>
      <c r="F94" s="18">
        <f t="shared" si="33"/>
        <v>3</v>
      </c>
      <c r="G94" s="18">
        <f t="shared" si="33"/>
        <v>1</v>
      </c>
      <c r="H94" s="18">
        <f t="shared" si="33"/>
        <v>0</v>
      </c>
      <c r="I94" s="18">
        <f t="shared" si="33"/>
        <v>4</v>
      </c>
      <c r="J94" s="18">
        <f t="shared" si="33"/>
        <v>0</v>
      </c>
      <c r="K94" s="18">
        <f t="shared" si="33"/>
        <v>0</v>
      </c>
      <c r="L94" s="18">
        <f t="shared" si="33"/>
        <v>0</v>
      </c>
      <c r="M94" s="10"/>
      <c r="N94" s="18">
        <f t="shared" si="33"/>
        <v>1</v>
      </c>
      <c r="O94" s="18">
        <f t="shared" si="33"/>
        <v>2</v>
      </c>
      <c r="P94" s="18">
        <f t="shared" si="33"/>
        <v>0</v>
      </c>
      <c r="Q94" s="18">
        <f t="shared" si="33"/>
        <v>2</v>
      </c>
      <c r="R94" s="22">
        <f t="shared" si="33"/>
        <v>2</v>
      </c>
      <c r="S94" s="12">
        <f t="shared" si="25"/>
        <v>18</v>
      </c>
    </row>
    <row r="95" spans="1:19" x14ac:dyDescent="0.25">
      <c r="A95" s="40"/>
      <c r="B95" s="13" t="s">
        <v>43</v>
      </c>
      <c r="C95" s="29">
        <f t="shared" ref="C95:R95" si="34">C15+C35</f>
        <v>0</v>
      </c>
      <c r="D95" s="18">
        <f t="shared" si="34"/>
        <v>7</v>
      </c>
      <c r="E95" s="18">
        <f t="shared" si="34"/>
        <v>7</v>
      </c>
      <c r="F95" s="18">
        <f t="shared" si="34"/>
        <v>12</v>
      </c>
      <c r="G95" s="18">
        <f t="shared" si="34"/>
        <v>5</v>
      </c>
      <c r="H95" s="18">
        <f t="shared" si="34"/>
        <v>1</v>
      </c>
      <c r="I95" s="18">
        <f t="shared" si="34"/>
        <v>10</v>
      </c>
      <c r="J95" s="18">
        <f t="shared" si="34"/>
        <v>0</v>
      </c>
      <c r="K95" s="18">
        <f t="shared" si="34"/>
        <v>1</v>
      </c>
      <c r="L95" s="18">
        <f t="shared" si="34"/>
        <v>1</v>
      </c>
      <c r="M95" s="18">
        <f t="shared" si="34"/>
        <v>1</v>
      </c>
      <c r="N95" s="10"/>
      <c r="O95" s="18">
        <f t="shared" si="34"/>
        <v>7</v>
      </c>
      <c r="P95" s="18">
        <f t="shared" si="34"/>
        <v>1</v>
      </c>
      <c r="Q95" s="18">
        <f t="shared" si="34"/>
        <v>6</v>
      </c>
      <c r="R95" s="22">
        <f t="shared" si="34"/>
        <v>4</v>
      </c>
      <c r="S95" s="12">
        <f t="shared" si="25"/>
        <v>63</v>
      </c>
    </row>
    <row r="96" spans="1:19" x14ac:dyDescent="0.25">
      <c r="A96" s="40"/>
      <c r="B96" s="13" t="s">
        <v>66</v>
      </c>
      <c r="C96" s="29">
        <f t="shared" ref="C96:R96" si="35">C16+C36</f>
        <v>3</v>
      </c>
      <c r="D96" s="18">
        <f t="shared" si="35"/>
        <v>7</v>
      </c>
      <c r="E96" s="18">
        <f t="shared" si="35"/>
        <v>2</v>
      </c>
      <c r="F96" s="18">
        <f t="shared" si="35"/>
        <v>6</v>
      </c>
      <c r="G96" s="18">
        <f t="shared" si="35"/>
        <v>7</v>
      </c>
      <c r="H96" s="18">
        <f t="shared" si="35"/>
        <v>0</v>
      </c>
      <c r="I96" s="18">
        <f t="shared" si="35"/>
        <v>8</v>
      </c>
      <c r="J96" s="18">
        <f t="shared" si="35"/>
        <v>0</v>
      </c>
      <c r="K96" s="18">
        <f t="shared" si="35"/>
        <v>0</v>
      </c>
      <c r="L96" s="18">
        <f t="shared" si="35"/>
        <v>1</v>
      </c>
      <c r="M96" s="18">
        <f t="shared" si="35"/>
        <v>2</v>
      </c>
      <c r="N96" s="18">
        <f t="shared" si="35"/>
        <v>2</v>
      </c>
      <c r="O96" s="10"/>
      <c r="P96" s="18">
        <f t="shared" si="35"/>
        <v>0</v>
      </c>
      <c r="Q96" s="18">
        <f t="shared" si="35"/>
        <v>6</v>
      </c>
      <c r="R96" s="22">
        <f t="shared" si="35"/>
        <v>5</v>
      </c>
      <c r="S96" s="12">
        <f t="shared" si="25"/>
        <v>49</v>
      </c>
    </row>
    <row r="97" spans="1:19" x14ac:dyDescent="0.25">
      <c r="A97" s="40"/>
      <c r="B97" s="13" t="s">
        <v>311</v>
      </c>
      <c r="C97" s="29">
        <f t="shared" ref="C97:R97" si="36">C17+C37</f>
        <v>1</v>
      </c>
      <c r="D97" s="18">
        <f t="shared" si="36"/>
        <v>0</v>
      </c>
      <c r="E97" s="18">
        <f t="shared" si="36"/>
        <v>0</v>
      </c>
      <c r="F97" s="18">
        <f t="shared" si="36"/>
        <v>1</v>
      </c>
      <c r="G97" s="18">
        <f t="shared" si="36"/>
        <v>0</v>
      </c>
      <c r="H97" s="18">
        <f t="shared" si="36"/>
        <v>0</v>
      </c>
      <c r="I97" s="18">
        <f t="shared" si="36"/>
        <v>0</v>
      </c>
      <c r="J97" s="18">
        <f t="shared" si="36"/>
        <v>0</v>
      </c>
      <c r="K97" s="18">
        <f t="shared" si="36"/>
        <v>0</v>
      </c>
      <c r="L97" s="18">
        <f t="shared" si="36"/>
        <v>0</v>
      </c>
      <c r="M97" s="18">
        <f t="shared" si="36"/>
        <v>0</v>
      </c>
      <c r="N97" s="18">
        <f t="shared" si="36"/>
        <v>0</v>
      </c>
      <c r="O97" s="18">
        <f t="shared" si="36"/>
        <v>0</v>
      </c>
      <c r="P97" s="10"/>
      <c r="Q97" s="18">
        <f t="shared" si="36"/>
        <v>0</v>
      </c>
      <c r="R97" s="22">
        <f t="shared" si="36"/>
        <v>0</v>
      </c>
      <c r="S97" s="12">
        <f t="shared" si="25"/>
        <v>2</v>
      </c>
    </row>
    <row r="98" spans="1:19" x14ac:dyDescent="0.25">
      <c r="A98" s="40"/>
      <c r="B98" s="13" t="s">
        <v>11</v>
      </c>
      <c r="C98" s="29">
        <f t="shared" ref="C98:R98" si="37">C18+C38</f>
        <v>13</v>
      </c>
      <c r="D98" s="18">
        <f t="shared" si="37"/>
        <v>13</v>
      </c>
      <c r="E98" s="18">
        <f t="shared" si="37"/>
        <v>9</v>
      </c>
      <c r="F98" s="18">
        <f t="shared" si="37"/>
        <v>18</v>
      </c>
      <c r="G98" s="18">
        <f t="shared" si="37"/>
        <v>6</v>
      </c>
      <c r="H98" s="18">
        <f t="shared" si="37"/>
        <v>1</v>
      </c>
      <c r="I98" s="18">
        <f t="shared" si="37"/>
        <v>13</v>
      </c>
      <c r="J98" s="18">
        <f t="shared" si="37"/>
        <v>0</v>
      </c>
      <c r="K98" s="18">
        <f t="shared" si="37"/>
        <v>1</v>
      </c>
      <c r="L98" s="18">
        <f t="shared" si="37"/>
        <v>0</v>
      </c>
      <c r="M98" s="18">
        <f t="shared" si="37"/>
        <v>1</v>
      </c>
      <c r="N98" s="18">
        <f t="shared" si="37"/>
        <v>14</v>
      </c>
      <c r="O98" s="18">
        <f t="shared" si="37"/>
        <v>12</v>
      </c>
      <c r="P98" s="18">
        <f t="shared" si="37"/>
        <v>1</v>
      </c>
      <c r="Q98" s="10"/>
      <c r="R98" s="22">
        <f t="shared" si="37"/>
        <v>6</v>
      </c>
      <c r="S98" s="12">
        <f t="shared" si="25"/>
        <v>108</v>
      </c>
    </row>
    <row r="99" spans="1:19" ht="15.75" thickBot="1" x14ac:dyDescent="0.3">
      <c r="A99" s="40"/>
      <c r="B99" s="13" t="s">
        <v>211</v>
      </c>
      <c r="C99" s="30">
        <f t="shared" ref="C99:Q99" si="38">C19+C39</f>
        <v>0</v>
      </c>
      <c r="D99" s="26">
        <f t="shared" si="38"/>
        <v>1</v>
      </c>
      <c r="E99" s="26">
        <f t="shared" si="38"/>
        <v>0</v>
      </c>
      <c r="F99" s="26">
        <f t="shared" si="38"/>
        <v>1</v>
      </c>
      <c r="G99" s="26">
        <f t="shared" si="38"/>
        <v>1</v>
      </c>
      <c r="H99" s="26">
        <f t="shared" si="38"/>
        <v>0</v>
      </c>
      <c r="I99" s="26">
        <f t="shared" si="38"/>
        <v>1</v>
      </c>
      <c r="J99" s="26">
        <f t="shared" si="38"/>
        <v>0</v>
      </c>
      <c r="K99" s="26">
        <f t="shared" si="38"/>
        <v>0</v>
      </c>
      <c r="L99" s="26">
        <f t="shared" si="38"/>
        <v>0</v>
      </c>
      <c r="M99" s="26">
        <f t="shared" si="38"/>
        <v>0</v>
      </c>
      <c r="N99" s="26">
        <f t="shared" si="38"/>
        <v>0</v>
      </c>
      <c r="O99" s="26">
        <f t="shared" si="38"/>
        <v>1</v>
      </c>
      <c r="P99" s="26">
        <f t="shared" si="38"/>
        <v>0</v>
      </c>
      <c r="Q99" s="26">
        <f t="shared" si="38"/>
        <v>0</v>
      </c>
      <c r="R99" s="11"/>
      <c r="S99" s="12">
        <f t="shared" si="25"/>
        <v>5</v>
      </c>
    </row>
    <row r="101" spans="1:19" ht="23.25" x14ac:dyDescent="0.35">
      <c r="A101" s="17" t="s">
        <v>599</v>
      </c>
    </row>
    <row r="102" spans="1:19" ht="23.25" x14ac:dyDescent="0.25">
      <c r="C102" s="39" t="s">
        <v>601</v>
      </c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</row>
    <row r="103" spans="1:19" ht="15.75" thickBot="1" x14ac:dyDescent="0.3">
      <c r="C103" s="14" t="s">
        <v>16</v>
      </c>
      <c r="D103" s="14" t="s">
        <v>56</v>
      </c>
      <c r="E103" s="14" t="s">
        <v>19</v>
      </c>
      <c r="F103" s="14" t="s">
        <v>10</v>
      </c>
      <c r="G103" s="14" t="s">
        <v>125</v>
      </c>
      <c r="H103" s="14" t="s">
        <v>319</v>
      </c>
      <c r="I103" s="14" t="s">
        <v>99</v>
      </c>
      <c r="J103" s="14" t="s">
        <v>342</v>
      </c>
      <c r="K103" s="14" t="s">
        <v>396</v>
      </c>
      <c r="L103" s="14" t="s">
        <v>327</v>
      </c>
      <c r="M103" s="14" t="s">
        <v>482</v>
      </c>
      <c r="N103" s="14" t="s">
        <v>43</v>
      </c>
      <c r="O103" s="14" t="s">
        <v>66</v>
      </c>
      <c r="P103" s="14" t="s">
        <v>311</v>
      </c>
      <c r="Q103" s="14" t="s">
        <v>11</v>
      </c>
      <c r="R103" s="14" t="s">
        <v>211</v>
      </c>
      <c r="S103" s="14"/>
    </row>
    <row r="104" spans="1:19" x14ac:dyDescent="0.25">
      <c r="A104" s="40" t="s">
        <v>600</v>
      </c>
      <c r="B104" s="13" t="s">
        <v>16</v>
      </c>
      <c r="C104" s="9"/>
      <c r="D104" s="33">
        <f>IF(X64=0,"NP",D84/X64)</f>
        <v>0.7142857142857143</v>
      </c>
      <c r="E104" s="33">
        <f t="shared" ref="E104:Q104" si="39">IF(Y64=0,"NP",E84/Y64)</f>
        <v>0.46875</v>
      </c>
      <c r="F104" s="33">
        <f t="shared" si="39"/>
        <v>0.75</v>
      </c>
      <c r="G104" s="33">
        <f t="shared" si="39"/>
        <v>0.58333333333333337</v>
      </c>
      <c r="H104" s="33">
        <f t="shared" si="39"/>
        <v>1</v>
      </c>
      <c r="I104" s="33">
        <f t="shared" si="39"/>
        <v>0.66666666666666663</v>
      </c>
      <c r="J104" s="33" t="str">
        <f t="shared" si="39"/>
        <v>NP</v>
      </c>
      <c r="K104" s="33">
        <f t="shared" si="39"/>
        <v>1</v>
      </c>
      <c r="L104" s="33" t="str">
        <f t="shared" si="39"/>
        <v>NP</v>
      </c>
      <c r="M104" s="33">
        <f t="shared" si="39"/>
        <v>0.5</v>
      </c>
      <c r="N104" s="33">
        <f t="shared" si="39"/>
        <v>0.78260869565217395</v>
      </c>
      <c r="O104" s="33">
        <f t="shared" si="39"/>
        <v>0.70588235294117652</v>
      </c>
      <c r="P104" s="33">
        <f t="shared" si="39"/>
        <v>0.5</v>
      </c>
      <c r="Q104" s="33">
        <f t="shared" si="39"/>
        <v>0.45161290322580644</v>
      </c>
      <c r="R104" s="34">
        <f>IF(AL64=0,"NP",R84/AL64)</f>
        <v>1</v>
      </c>
      <c r="S104" s="12"/>
    </row>
    <row r="105" spans="1:19" x14ac:dyDescent="0.25">
      <c r="A105" s="40"/>
      <c r="B105" s="13" t="s">
        <v>56</v>
      </c>
      <c r="C105" s="35">
        <f>IF(W65=0,"NP",C85/W65)</f>
        <v>0.14285714285714285</v>
      </c>
      <c r="D105" s="10"/>
      <c r="E105" s="31">
        <f t="shared" ref="E105:E119" si="40">IF(Y65=0,"NP",E85/Y65)</f>
        <v>0.2</v>
      </c>
      <c r="F105" s="31">
        <f t="shared" ref="F105:F119" si="41">IF(Z65=0,"NP",F85/Z65)</f>
        <v>0.15384615384615385</v>
      </c>
      <c r="G105" s="31">
        <f t="shared" ref="G105:G119" si="42">IF(AA65=0,"NP",G85/AA65)</f>
        <v>0.25</v>
      </c>
      <c r="H105" s="31">
        <f t="shared" ref="H105:H119" si="43">IF(AB65=0,"NP",H85/AB65)</f>
        <v>0</v>
      </c>
      <c r="I105" s="31">
        <f t="shared" ref="I105:I119" si="44">IF(AC65=0,"NP",I85/AC65)</f>
        <v>0.25</v>
      </c>
      <c r="J105" s="31">
        <f t="shared" ref="J105:J119" si="45">IF(AD65=0,"NP",J85/AD65)</f>
        <v>0</v>
      </c>
      <c r="K105" s="31" t="str">
        <f t="shared" ref="K105:K119" si="46">IF(AE65=0,"NP",K85/AE65)</f>
        <v>NP</v>
      </c>
      <c r="L105" s="31">
        <f t="shared" ref="L105:L119" si="47">IF(AF65=0,"NP",L85/AF65)</f>
        <v>0</v>
      </c>
      <c r="M105" s="31">
        <f t="shared" ref="M105:M119" si="48">IF(AG65=0,"NP",M85/AG65)</f>
        <v>0.33333333333333331</v>
      </c>
      <c r="N105" s="31">
        <f t="shared" ref="N105:N119" si="49">IF(AH65=0,"NP",N85/AH65)</f>
        <v>0.1</v>
      </c>
      <c r="O105" s="31">
        <f t="shared" ref="O105:O119" si="50">IF(AI65=0,"NP",O85/AI65)</f>
        <v>0.21428571428571427</v>
      </c>
      <c r="P105" s="31">
        <f t="shared" ref="P105:P119" si="51">IF(AJ65=0,"NP",P85/AJ65)</f>
        <v>1</v>
      </c>
      <c r="Q105" s="31">
        <f t="shared" ref="Q105:Q119" si="52">IF(AK65=0,"NP",Q85/AK65)</f>
        <v>0.125</v>
      </c>
      <c r="R105" s="36">
        <f t="shared" ref="R105:R118" si="53">IF(AL65=0,"NP",R85/AL65)</f>
        <v>0.25</v>
      </c>
      <c r="S105" s="12"/>
    </row>
    <row r="106" spans="1:19" x14ac:dyDescent="0.25">
      <c r="A106" s="40"/>
      <c r="B106" s="13" t="s">
        <v>19</v>
      </c>
      <c r="C106" s="35">
        <f t="shared" ref="C106:C119" si="54">IF(W66=0,"NP",C86/W66)</f>
        <v>0.28125</v>
      </c>
      <c r="D106" s="31">
        <f t="shared" ref="D106:D119" si="55">IF(X66=0,"NP",D86/X66)</f>
        <v>0.8</v>
      </c>
      <c r="E106" s="10"/>
      <c r="F106" s="31">
        <f t="shared" si="41"/>
        <v>0.76190476190476186</v>
      </c>
      <c r="G106" s="31">
        <f t="shared" si="42"/>
        <v>0.7</v>
      </c>
      <c r="H106" s="31">
        <f t="shared" si="43"/>
        <v>1</v>
      </c>
      <c r="I106" s="31">
        <f t="shared" si="44"/>
        <v>0.92307692307692313</v>
      </c>
      <c r="J106" s="31">
        <f t="shared" si="45"/>
        <v>0</v>
      </c>
      <c r="K106" s="31" t="str">
        <f t="shared" si="46"/>
        <v>NP</v>
      </c>
      <c r="L106" s="31" t="str">
        <f t="shared" si="47"/>
        <v>NP</v>
      </c>
      <c r="M106" s="31">
        <f t="shared" si="48"/>
        <v>0.66666666666666663</v>
      </c>
      <c r="N106" s="31">
        <f t="shared" si="49"/>
        <v>0.44827586206896552</v>
      </c>
      <c r="O106" s="31">
        <f t="shared" si="50"/>
        <v>0.6875</v>
      </c>
      <c r="P106" s="31">
        <f t="shared" si="51"/>
        <v>1</v>
      </c>
      <c r="Q106" s="31">
        <f t="shared" si="52"/>
        <v>0.34615384615384615</v>
      </c>
      <c r="R106" s="36">
        <f t="shared" si="53"/>
        <v>0.83333333333333337</v>
      </c>
      <c r="S106" s="12"/>
    </row>
    <row r="107" spans="1:19" x14ac:dyDescent="0.25">
      <c r="A107" s="40"/>
      <c r="B107" s="13" t="s">
        <v>10</v>
      </c>
      <c r="C107" s="35">
        <f t="shared" si="54"/>
        <v>0</v>
      </c>
      <c r="D107" s="31">
        <f t="shared" si="55"/>
        <v>0.61538461538461542</v>
      </c>
      <c r="E107" s="31">
        <f t="shared" si="40"/>
        <v>0.14285714285714285</v>
      </c>
      <c r="F107" s="10"/>
      <c r="G107" s="31">
        <f t="shared" si="42"/>
        <v>0.58333333333333337</v>
      </c>
      <c r="H107" s="31">
        <f t="shared" si="43"/>
        <v>0</v>
      </c>
      <c r="I107" s="31">
        <f t="shared" si="44"/>
        <v>0.8571428571428571</v>
      </c>
      <c r="J107" s="31" t="str">
        <f t="shared" si="45"/>
        <v>NP</v>
      </c>
      <c r="K107" s="31" t="str">
        <f t="shared" si="46"/>
        <v>NP</v>
      </c>
      <c r="L107" s="31" t="str">
        <f t="shared" si="47"/>
        <v>NP</v>
      </c>
      <c r="M107" s="31">
        <f t="shared" si="48"/>
        <v>0.16666666666666666</v>
      </c>
      <c r="N107" s="31">
        <f t="shared" si="49"/>
        <v>0.33333333333333331</v>
      </c>
      <c r="O107" s="31">
        <f t="shared" si="50"/>
        <v>0.36842105263157893</v>
      </c>
      <c r="P107" s="31">
        <f t="shared" si="51"/>
        <v>0</v>
      </c>
      <c r="Q107" s="31">
        <f t="shared" si="52"/>
        <v>0.21428571428571427</v>
      </c>
      <c r="R107" s="36">
        <f t="shared" si="53"/>
        <v>0.7</v>
      </c>
      <c r="S107" s="12"/>
    </row>
    <row r="108" spans="1:19" x14ac:dyDescent="0.25">
      <c r="A108" s="40"/>
      <c r="B108" s="13" t="s">
        <v>125</v>
      </c>
      <c r="C108" s="35">
        <f t="shared" si="54"/>
        <v>0.16666666666666666</v>
      </c>
      <c r="D108" s="31">
        <f t="shared" si="55"/>
        <v>0.33333333333333331</v>
      </c>
      <c r="E108" s="31">
        <f t="shared" si="40"/>
        <v>0.2</v>
      </c>
      <c r="F108" s="31">
        <f t="shared" si="41"/>
        <v>0.16666666666666666</v>
      </c>
      <c r="G108" s="10"/>
      <c r="H108" s="31">
        <f t="shared" si="43"/>
        <v>1</v>
      </c>
      <c r="I108" s="31">
        <f t="shared" si="44"/>
        <v>0.75</v>
      </c>
      <c r="J108" s="31">
        <f t="shared" si="45"/>
        <v>1</v>
      </c>
      <c r="K108" s="31" t="str">
        <f t="shared" si="46"/>
        <v>NP</v>
      </c>
      <c r="L108" s="31" t="str">
        <f t="shared" si="47"/>
        <v>NP</v>
      </c>
      <c r="M108" s="31">
        <f t="shared" si="48"/>
        <v>0.66666666666666663</v>
      </c>
      <c r="N108" s="31">
        <f t="shared" si="49"/>
        <v>0.33333333333333331</v>
      </c>
      <c r="O108" s="31">
        <f t="shared" si="50"/>
        <v>0.14285714285714285</v>
      </c>
      <c r="P108" s="31">
        <f>IF(AJ68=0,"NP",P88/AJ68)</f>
        <v>1</v>
      </c>
      <c r="Q108" s="31">
        <f t="shared" si="52"/>
        <v>0.27272727272727271</v>
      </c>
      <c r="R108" s="36">
        <f t="shared" si="53"/>
        <v>0.66666666666666663</v>
      </c>
      <c r="S108" s="12"/>
    </row>
    <row r="109" spans="1:19" x14ac:dyDescent="0.25">
      <c r="A109" s="40"/>
      <c r="B109" s="13" t="s">
        <v>319</v>
      </c>
      <c r="C109" s="35">
        <f t="shared" si="54"/>
        <v>0</v>
      </c>
      <c r="D109" s="31">
        <f t="shared" si="55"/>
        <v>1</v>
      </c>
      <c r="E109" s="31">
        <f t="shared" si="40"/>
        <v>0</v>
      </c>
      <c r="F109" s="31">
        <f t="shared" si="41"/>
        <v>1</v>
      </c>
      <c r="G109" s="31">
        <f t="shared" si="42"/>
        <v>0</v>
      </c>
      <c r="H109" s="10"/>
      <c r="I109" s="31" t="str">
        <f t="shared" si="44"/>
        <v>NP</v>
      </c>
      <c r="J109" s="31">
        <f t="shared" si="45"/>
        <v>1</v>
      </c>
      <c r="K109" s="31" t="str">
        <f t="shared" si="46"/>
        <v>NP</v>
      </c>
      <c r="L109" s="31" t="str">
        <f t="shared" si="47"/>
        <v>NP</v>
      </c>
      <c r="M109" s="31">
        <f t="shared" si="48"/>
        <v>0</v>
      </c>
      <c r="N109" s="31">
        <f t="shared" si="49"/>
        <v>0</v>
      </c>
      <c r="O109" s="31" t="str">
        <f t="shared" si="50"/>
        <v>NP</v>
      </c>
      <c r="P109" s="31" t="str">
        <f t="shared" si="51"/>
        <v>NP</v>
      </c>
      <c r="Q109" s="31">
        <f t="shared" si="52"/>
        <v>0</v>
      </c>
      <c r="R109" s="36" t="str">
        <f t="shared" si="53"/>
        <v>NP</v>
      </c>
      <c r="S109" s="12"/>
    </row>
    <row r="110" spans="1:19" x14ac:dyDescent="0.25">
      <c r="A110" s="40"/>
      <c r="B110" s="13" t="s">
        <v>99</v>
      </c>
      <c r="C110" s="35">
        <f t="shared" si="54"/>
        <v>0</v>
      </c>
      <c r="D110" s="31">
        <f t="shared" si="55"/>
        <v>0.125</v>
      </c>
      <c r="E110" s="31">
        <f t="shared" si="40"/>
        <v>0</v>
      </c>
      <c r="F110" s="31">
        <f t="shared" si="41"/>
        <v>7.1428571428571425E-2</v>
      </c>
      <c r="G110" s="31">
        <f t="shared" si="42"/>
        <v>0.16666666666666666</v>
      </c>
      <c r="H110" s="31" t="str">
        <f t="shared" si="43"/>
        <v>NP</v>
      </c>
      <c r="I110" s="10"/>
      <c r="J110" s="31" t="str">
        <f t="shared" si="45"/>
        <v>NP</v>
      </c>
      <c r="K110" s="31" t="str">
        <f t="shared" si="46"/>
        <v>NP</v>
      </c>
      <c r="L110" s="31" t="str">
        <f t="shared" si="47"/>
        <v>NP</v>
      </c>
      <c r="M110" s="31">
        <f t="shared" si="48"/>
        <v>0</v>
      </c>
      <c r="N110" s="31">
        <f t="shared" si="49"/>
        <v>0.17647058823529413</v>
      </c>
      <c r="O110" s="31">
        <f t="shared" si="50"/>
        <v>9.0909090909090912E-2</v>
      </c>
      <c r="P110" s="31">
        <f t="shared" si="51"/>
        <v>1</v>
      </c>
      <c r="Q110" s="31">
        <f t="shared" si="52"/>
        <v>0.17647058823529413</v>
      </c>
      <c r="R110" s="36">
        <f t="shared" si="53"/>
        <v>0.66666666666666663</v>
      </c>
      <c r="S110" s="12"/>
    </row>
    <row r="111" spans="1:19" x14ac:dyDescent="0.25">
      <c r="A111" s="40"/>
      <c r="B111" s="13" t="s">
        <v>342</v>
      </c>
      <c r="C111" s="35" t="str">
        <f t="shared" si="54"/>
        <v>NP</v>
      </c>
      <c r="D111" s="31">
        <f>IF(X71=0,"NP",D91/X71)</f>
        <v>1</v>
      </c>
      <c r="E111" s="31">
        <f>IF(Y71=0,"NP",E91/Y71)</f>
        <v>1</v>
      </c>
      <c r="F111" s="31" t="str">
        <f t="shared" si="41"/>
        <v>NP</v>
      </c>
      <c r="G111" s="31">
        <f t="shared" si="42"/>
        <v>0</v>
      </c>
      <c r="H111" s="31">
        <f t="shared" si="43"/>
        <v>0</v>
      </c>
      <c r="I111" s="31" t="str">
        <f t="shared" si="44"/>
        <v>NP</v>
      </c>
      <c r="J111" s="10"/>
      <c r="K111" s="31" t="str">
        <f t="shared" si="46"/>
        <v>NP</v>
      </c>
      <c r="L111" s="31" t="str">
        <f t="shared" si="47"/>
        <v>NP</v>
      </c>
      <c r="M111" s="31" t="str">
        <f t="shared" si="48"/>
        <v>NP</v>
      </c>
      <c r="N111" s="31" t="str">
        <f t="shared" si="49"/>
        <v>NP</v>
      </c>
      <c r="O111" s="31" t="str">
        <f t="shared" si="50"/>
        <v>NP</v>
      </c>
      <c r="P111" s="31" t="str">
        <f t="shared" si="51"/>
        <v>NP</v>
      </c>
      <c r="Q111" s="31">
        <f t="shared" si="52"/>
        <v>0.5</v>
      </c>
      <c r="R111" s="36" t="str">
        <f t="shared" si="53"/>
        <v>NP</v>
      </c>
      <c r="S111" s="12"/>
    </row>
    <row r="112" spans="1:19" x14ac:dyDescent="0.25">
      <c r="A112" s="40"/>
      <c r="B112" s="13" t="s">
        <v>396</v>
      </c>
      <c r="C112" s="35">
        <f t="shared" si="54"/>
        <v>0</v>
      </c>
      <c r="D112" s="31" t="str">
        <f t="shared" si="55"/>
        <v>NP</v>
      </c>
      <c r="E112" s="31" t="str">
        <f t="shared" si="40"/>
        <v>NP</v>
      </c>
      <c r="F112" s="31" t="str">
        <f t="shared" si="41"/>
        <v>NP</v>
      </c>
      <c r="G112" s="31" t="str">
        <f t="shared" si="42"/>
        <v>NP</v>
      </c>
      <c r="H112" s="31" t="str">
        <f t="shared" si="43"/>
        <v>NP</v>
      </c>
      <c r="I112" s="31" t="str">
        <f t="shared" si="44"/>
        <v>NP</v>
      </c>
      <c r="J112" s="31" t="str">
        <f t="shared" si="45"/>
        <v>NP</v>
      </c>
      <c r="K112" s="10"/>
      <c r="L112" s="31" t="str">
        <f t="shared" si="47"/>
        <v>NP</v>
      </c>
      <c r="M112" s="31" t="str">
        <f t="shared" si="48"/>
        <v>NP</v>
      </c>
      <c r="N112" s="31">
        <f t="shared" si="49"/>
        <v>0</v>
      </c>
      <c r="O112" s="31" t="str">
        <f t="shared" si="50"/>
        <v>NP</v>
      </c>
      <c r="P112" s="31" t="str">
        <f t="shared" si="51"/>
        <v>NP</v>
      </c>
      <c r="Q112" s="31">
        <f t="shared" si="52"/>
        <v>0</v>
      </c>
      <c r="R112" s="36" t="str">
        <f t="shared" si="53"/>
        <v>NP</v>
      </c>
      <c r="S112" s="12"/>
    </row>
    <row r="113" spans="1:19" x14ac:dyDescent="0.25">
      <c r="A113" s="40"/>
      <c r="B113" s="13" t="s">
        <v>327</v>
      </c>
      <c r="C113" s="35" t="str">
        <f t="shared" si="54"/>
        <v>NP</v>
      </c>
      <c r="D113" s="31">
        <f t="shared" si="55"/>
        <v>0</v>
      </c>
      <c r="E113" s="31" t="str">
        <f t="shared" si="40"/>
        <v>NP</v>
      </c>
      <c r="F113" s="31" t="str">
        <f t="shared" si="41"/>
        <v>NP</v>
      </c>
      <c r="G113" s="31" t="str">
        <f t="shared" si="42"/>
        <v>NP</v>
      </c>
      <c r="H113" s="31" t="str">
        <f t="shared" si="43"/>
        <v>NP</v>
      </c>
      <c r="I113" s="31" t="str">
        <f t="shared" si="44"/>
        <v>NP</v>
      </c>
      <c r="J113" s="31" t="str">
        <f t="shared" si="45"/>
        <v>NP</v>
      </c>
      <c r="K113" s="31" t="str">
        <f t="shared" si="46"/>
        <v>NP</v>
      </c>
      <c r="L113" s="10"/>
      <c r="M113" s="31" t="str">
        <f t="shared" si="48"/>
        <v>NP</v>
      </c>
      <c r="N113" s="31">
        <f t="shared" si="49"/>
        <v>0</v>
      </c>
      <c r="O113" s="31">
        <f t="shared" si="50"/>
        <v>0</v>
      </c>
      <c r="P113" s="31" t="str">
        <f t="shared" si="51"/>
        <v>NP</v>
      </c>
      <c r="Q113" s="31" t="str">
        <f t="shared" si="52"/>
        <v>NP</v>
      </c>
      <c r="R113" s="36" t="str">
        <f t="shared" si="53"/>
        <v>NP</v>
      </c>
      <c r="S113" s="12"/>
    </row>
    <row r="114" spans="1:19" x14ac:dyDescent="0.25">
      <c r="A114" s="40"/>
      <c r="B114" s="13" t="s">
        <v>482</v>
      </c>
      <c r="C114" s="35">
        <f t="shared" si="54"/>
        <v>0.25</v>
      </c>
      <c r="D114" s="31">
        <f t="shared" si="55"/>
        <v>0</v>
      </c>
      <c r="E114" s="31">
        <f t="shared" si="40"/>
        <v>0.33333333333333331</v>
      </c>
      <c r="F114" s="31">
        <f t="shared" si="41"/>
        <v>0.5</v>
      </c>
      <c r="G114" s="31">
        <f t="shared" si="42"/>
        <v>0.33333333333333331</v>
      </c>
      <c r="H114" s="31">
        <f t="shared" si="43"/>
        <v>0</v>
      </c>
      <c r="I114" s="31">
        <f t="shared" si="44"/>
        <v>0.8</v>
      </c>
      <c r="J114" s="31" t="str">
        <f t="shared" si="45"/>
        <v>NP</v>
      </c>
      <c r="K114" s="31" t="str">
        <f t="shared" si="46"/>
        <v>NP</v>
      </c>
      <c r="L114" s="31" t="str">
        <f t="shared" si="47"/>
        <v>NP</v>
      </c>
      <c r="M114" s="10"/>
      <c r="N114" s="31">
        <f t="shared" si="49"/>
        <v>0.33333333333333331</v>
      </c>
      <c r="O114" s="31">
        <f t="shared" si="50"/>
        <v>0.4</v>
      </c>
      <c r="P114" s="31">
        <f t="shared" si="51"/>
        <v>0</v>
      </c>
      <c r="Q114" s="31">
        <f t="shared" si="52"/>
        <v>0.4</v>
      </c>
      <c r="R114" s="36">
        <f t="shared" si="53"/>
        <v>1</v>
      </c>
      <c r="S114" s="12"/>
    </row>
    <row r="115" spans="1:19" x14ac:dyDescent="0.25">
      <c r="A115" s="40"/>
      <c r="B115" s="13" t="s">
        <v>43</v>
      </c>
      <c r="C115" s="35">
        <f t="shared" si="54"/>
        <v>0</v>
      </c>
      <c r="D115" s="31">
        <f t="shared" si="55"/>
        <v>0.7</v>
      </c>
      <c r="E115" s="31">
        <f t="shared" si="40"/>
        <v>0.2413793103448276</v>
      </c>
      <c r="F115" s="31">
        <f t="shared" si="41"/>
        <v>0.5714285714285714</v>
      </c>
      <c r="G115" s="31">
        <f t="shared" si="42"/>
        <v>0.55555555555555558</v>
      </c>
      <c r="H115" s="31">
        <f t="shared" si="43"/>
        <v>1</v>
      </c>
      <c r="I115" s="31">
        <f t="shared" si="44"/>
        <v>0.58823529411764708</v>
      </c>
      <c r="J115" s="31" t="str">
        <f t="shared" si="45"/>
        <v>NP</v>
      </c>
      <c r="K115" s="31">
        <f t="shared" si="46"/>
        <v>1</v>
      </c>
      <c r="L115" s="31">
        <f t="shared" si="47"/>
        <v>1</v>
      </c>
      <c r="M115" s="31">
        <f t="shared" si="48"/>
        <v>0.33333333333333331</v>
      </c>
      <c r="N115" s="10"/>
      <c r="O115" s="31">
        <f t="shared" si="50"/>
        <v>0.4375</v>
      </c>
      <c r="P115" s="31">
        <f t="shared" si="51"/>
        <v>1</v>
      </c>
      <c r="Q115" s="31">
        <f t="shared" si="52"/>
        <v>0.23076923076923078</v>
      </c>
      <c r="R115" s="36">
        <f t="shared" si="53"/>
        <v>0.66666666666666663</v>
      </c>
      <c r="S115" s="12"/>
    </row>
    <row r="116" spans="1:19" x14ac:dyDescent="0.25">
      <c r="A116" s="40"/>
      <c r="B116" s="13" t="s">
        <v>66</v>
      </c>
      <c r="C116" s="35">
        <f t="shared" si="54"/>
        <v>0.17647058823529413</v>
      </c>
      <c r="D116" s="31">
        <f t="shared" si="55"/>
        <v>0.5</v>
      </c>
      <c r="E116" s="31">
        <f t="shared" si="40"/>
        <v>0.125</v>
      </c>
      <c r="F116" s="31">
        <f t="shared" si="41"/>
        <v>0.31578947368421051</v>
      </c>
      <c r="G116" s="31">
        <f t="shared" si="42"/>
        <v>0.5</v>
      </c>
      <c r="H116" s="31" t="str">
        <f t="shared" si="43"/>
        <v>NP</v>
      </c>
      <c r="I116" s="31">
        <f t="shared" si="44"/>
        <v>0.72727272727272729</v>
      </c>
      <c r="J116" s="31" t="str">
        <f t="shared" si="45"/>
        <v>NP</v>
      </c>
      <c r="K116" s="31" t="str">
        <f t="shared" si="46"/>
        <v>NP</v>
      </c>
      <c r="L116" s="31">
        <f t="shared" si="47"/>
        <v>1</v>
      </c>
      <c r="M116" s="31">
        <f t="shared" si="48"/>
        <v>0.4</v>
      </c>
      <c r="N116" s="31">
        <f t="shared" si="49"/>
        <v>0.125</v>
      </c>
      <c r="O116" s="10"/>
      <c r="P116" s="31" t="str">
        <f t="shared" si="51"/>
        <v>NP</v>
      </c>
      <c r="Q116" s="31">
        <f t="shared" si="52"/>
        <v>0.3</v>
      </c>
      <c r="R116" s="36">
        <f t="shared" si="53"/>
        <v>0.7142857142857143</v>
      </c>
      <c r="S116" s="12"/>
    </row>
    <row r="117" spans="1:19" x14ac:dyDescent="0.25">
      <c r="A117" s="40"/>
      <c r="B117" s="13" t="s">
        <v>311</v>
      </c>
      <c r="C117" s="35">
        <f t="shared" si="54"/>
        <v>0.5</v>
      </c>
      <c r="D117" s="31">
        <f t="shared" si="55"/>
        <v>0</v>
      </c>
      <c r="E117" s="31">
        <f t="shared" si="40"/>
        <v>0</v>
      </c>
      <c r="F117" s="31">
        <f t="shared" si="41"/>
        <v>1</v>
      </c>
      <c r="G117" s="31">
        <f t="shared" si="42"/>
        <v>0</v>
      </c>
      <c r="H117" s="31" t="str">
        <f t="shared" si="43"/>
        <v>NP</v>
      </c>
      <c r="I117" s="31">
        <f t="shared" si="44"/>
        <v>0</v>
      </c>
      <c r="J117" s="31" t="str">
        <f t="shared" si="45"/>
        <v>NP</v>
      </c>
      <c r="K117" s="31" t="str">
        <f t="shared" si="46"/>
        <v>NP</v>
      </c>
      <c r="L117" s="31" t="str">
        <f t="shared" si="47"/>
        <v>NP</v>
      </c>
      <c r="M117" s="31">
        <f t="shared" si="48"/>
        <v>0</v>
      </c>
      <c r="N117" s="31">
        <f t="shared" si="49"/>
        <v>0</v>
      </c>
      <c r="O117" s="31" t="str">
        <f t="shared" si="50"/>
        <v>NP</v>
      </c>
      <c r="P117" s="10"/>
      <c r="Q117" s="31">
        <f t="shared" si="52"/>
        <v>0</v>
      </c>
      <c r="R117" s="36">
        <f t="shared" si="53"/>
        <v>0</v>
      </c>
      <c r="S117" s="12"/>
    </row>
    <row r="118" spans="1:19" x14ac:dyDescent="0.25">
      <c r="A118" s="40"/>
      <c r="B118" s="13" t="s">
        <v>11</v>
      </c>
      <c r="C118" s="35">
        <f t="shared" si="54"/>
        <v>0.41935483870967744</v>
      </c>
      <c r="D118" s="31">
        <f t="shared" si="55"/>
        <v>0.8125</v>
      </c>
      <c r="E118" s="31">
        <f t="shared" si="40"/>
        <v>0.34615384615384615</v>
      </c>
      <c r="F118" s="31">
        <f t="shared" si="41"/>
        <v>0.6428571428571429</v>
      </c>
      <c r="G118" s="31">
        <f t="shared" si="42"/>
        <v>0.54545454545454541</v>
      </c>
      <c r="H118" s="31">
        <f t="shared" si="43"/>
        <v>0.5</v>
      </c>
      <c r="I118" s="31">
        <f t="shared" si="44"/>
        <v>0.76470588235294112</v>
      </c>
      <c r="J118" s="31">
        <f t="shared" si="45"/>
        <v>0</v>
      </c>
      <c r="K118" s="31">
        <f t="shared" si="46"/>
        <v>1</v>
      </c>
      <c r="L118" s="31" t="str">
        <f t="shared" si="47"/>
        <v>NP</v>
      </c>
      <c r="M118" s="31">
        <f t="shared" si="48"/>
        <v>0.2</v>
      </c>
      <c r="N118" s="31">
        <f t="shared" si="49"/>
        <v>0.53846153846153844</v>
      </c>
      <c r="O118" s="31">
        <f t="shared" si="50"/>
        <v>0.6</v>
      </c>
      <c r="P118" s="31">
        <f t="shared" si="51"/>
        <v>1</v>
      </c>
      <c r="Q118" s="10"/>
      <c r="R118" s="36">
        <f t="shared" si="53"/>
        <v>0.75</v>
      </c>
      <c r="S118" s="12"/>
    </row>
    <row r="119" spans="1:19" ht="15.75" thickBot="1" x14ac:dyDescent="0.3">
      <c r="A119" s="40"/>
      <c r="B119" s="13" t="s">
        <v>211</v>
      </c>
      <c r="C119" s="37">
        <f t="shared" si="54"/>
        <v>0</v>
      </c>
      <c r="D119" s="38">
        <f t="shared" si="55"/>
        <v>0.25</v>
      </c>
      <c r="E119" s="38">
        <f t="shared" si="40"/>
        <v>0</v>
      </c>
      <c r="F119" s="38">
        <f t="shared" si="41"/>
        <v>0.1</v>
      </c>
      <c r="G119" s="38">
        <f t="shared" si="42"/>
        <v>0.16666666666666666</v>
      </c>
      <c r="H119" s="38" t="str">
        <f t="shared" si="43"/>
        <v>NP</v>
      </c>
      <c r="I119" s="38">
        <f t="shared" si="44"/>
        <v>0.33333333333333331</v>
      </c>
      <c r="J119" s="38" t="str">
        <f t="shared" si="45"/>
        <v>NP</v>
      </c>
      <c r="K119" s="38" t="str">
        <f t="shared" si="46"/>
        <v>NP</v>
      </c>
      <c r="L119" s="38" t="str">
        <f t="shared" si="47"/>
        <v>NP</v>
      </c>
      <c r="M119" s="38">
        <f t="shared" si="48"/>
        <v>0</v>
      </c>
      <c r="N119" s="38">
        <f t="shared" si="49"/>
        <v>0</v>
      </c>
      <c r="O119" s="38">
        <f t="shared" si="50"/>
        <v>0.14285714285714285</v>
      </c>
      <c r="P119" s="38">
        <f t="shared" si="51"/>
        <v>0</v>
      </c>
      <c r="Q119" s="38" t="str">
        <f t="shared" si="52"/>
        <v>NP</v>
      </c>
      <c r="R119" s="11"/>
      <c r="S119" s="12"/>
    </row>
    <row r="121" spans="1:19" x14ac:dyDescent="0.25">
      <c r="B121" s="13" t="s">
        <v>604</v>
      </c>
    </row>
  </sheetData>
  <mergeCells count="14">
    <mergeCell ref="A84:A99"/>
    <mergeCell ref="C102:R102"/>
    <mergeCell ref="A104:A119"/>
    <mergeCell ref="A4:A19"/>
    <mergeCell ref="C2:R2"/>
    <mergeCell ref="C22:R22"/>
    <mergeCell ref="A24:A39"/>
    <mergeCell ref="C42:R42"/>
    <mergeCell ref="A44:A59"/>
    <mergeCell ref="W62:AL62"/>
    <mergeCell ref="U64:U79"/>
    <mergeCell ref="C62:R62"/>
    <mergeCell ref="A64:A79"/>
    <mergeCell ref="C82:R82"/>
  </mergeCells>
  <conditionalFormatting sqref="C104:R11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7"/>
  <sheetViews>
    <sheetView tabSelected="1" workbookViewId="0">
      <selection activeCell="F747" sqref="E2:F747"/>
    </sheetView>
  </sheetViews>
  <sheetFormatPr baseColWidth="10" defaultRowHeight="15" x14ac:dyDescent="0.25"/>
  <cols>
    <col min="3" max="4" width="6" bestFit="1" customWidth="1"/>
    <col min="5" max="5" width="30.140625" bestFit="1" customWidth="1"/>
    <col min="6" max="6" width="20.42578125" bestFit="1" customWidth="1"/>
  </cols>
  <sheetData>
    <row r="1" spans="1:6" x14ac:dyDescent="0.25">
      <c r="A1" t="s">
        <v>1</v>
      </c>
      <c r="B1" t="s">
        <v>2</v>
      </c>
      <c r="C1" t="s">
        <v>7</v>
      </c>
      <c r="D1" t="s">
        <v>8</v>
      </c>
    </row>
    <row r="2" spans="1:6" x14ac:dyDescent="0.25">
      <c r="A2" t="s">
        <v>10</v>
      </c>
      <c r="B2" t="s">
        <v>11</v>
      </c>
      <c r="C2">
        <v>0</v>
      </c>
      <c r="D2">
        <v>4</v>
      </c>
      <c r="E2" t="str">
        <f>"['"&amp;A2&amp;"','"&amp;B2&amp;"',"&amp;C2&amp;","&amp;D2&amp;"],"</f>
        <v>['Chile','Uruguay',0,4],</v>
      </c>
      <c r="F2" t="str">
        <f>"['"&amp;B2&amp;"','"&amp;A2&amp;"',"&amp;D2&amp;","&amp;C2&amp;"],"</f>
        <v>['Uruguay','Chile',4,0],</v>
      </c>
    </row>
    <row r="3" spans="1:6" x14ac:dyDescent="0.25">
      <c r="A3" t="s">
        <v>16</v>
      </c>
      <c r="B3" t="s">
        <v>10</v>
      </c>
      <c r="C3">
        <v>6</v>
      </c>
      <c r="D3">
        <v>1</v>
      </c>
      <c r="E3" t="str">
        <f t="shared" ref="E3:E66" si="0">"['"&amp;A3&amp;"','"&amp;B3&amp;"',"&amp;C3&amp;","&amp;D3&amp;"],"</f>
        <v>['Argentina','Chile',6,1],</v>
      </c>
      <c r="F3" t="str">
        <f t="shared" ref="F3:F66" si="1">"['"&amp;B3&amp;"','"&amp;A3&amp;"',"&amp;D3&amp;","&amp;C3&amp;"],"</f>
        <v>['Chile','Argentina',1,6],</v>
      </c>
    </row>
    <row r="4" spans="1:6" x14ac:dyDescent="0.25">
      <c r="A4" t="s">
        <v>10</v>
      </c>
      <c r="B4" t="s">
        <v>19</v>
      </c>
      <c r="C4">
        <v>1</v>
      </c>
      <c r="D4">
        <v>1</v>
      </c>
      <c r="E4" t="str">
        <f t="shared" si="0"/>
        <v>['Chile','Brazil',1,1],</v>
      </c>
      <c r="F4" t="str">
        <f t="shared" si="1"/>
        <v>['Brazil','Chile',1,1],</v>
      </c>
    </row>
    <row r="5" spans="1:6" x14ac:dyDescent="0.25">
      <c r="A5" t="s">
        <v>16</v>
      </c>
      <c r="B5" t="s">
        <v>19</v>
      </c>
      <c r="C5">
        <v>1</v>
      </c>
      <c r="D5">
        <v>1</v>
      </c>
      <c r="E5" t="str">
        <f t="shared" si="0"/>
        <v>['Argentina','Brazil',1,1],</v>
      </c>
      <c r="F5" t="str">
        <f t="shared" si="1"/>
        <v>['Brazil','Argentina',1,1],</v>
      </c>
    </row>
    <row r="6" spans="1:6" x14ac:dyDescent="0.25">
      <c r="A6" t="s">
        <v>11</v>
      </c>
      <c r="B6" t="s">
        <v>19</v>
      </c>
      <c r="C6">
        <v>2</v>
      </c>
      <c r="D6">
        <v>1</v>
      </c>
      <c r="E6" t="str">
        <f t="shared" si="0"/>
        <v>['Uruguay','Brazil',2,1],</v>
      </c>
      <c r="F6" t="str">
        <f t="shared" si="1"/>
        <v>['Brazil','Uruguay',1,2],</v>
      </c>
    </row>
    <row r="7" spans="1:6" x14ac:dyDescent="0.25">
      <c r="A7" t="s">
        <v>16</v>
      </c>
      <c r="B7" t="s">
        <v>11</v>
      </c>
      <c r="C7">
        <v>0</v>
      </c>
      <c r="D7">
        <v>0</v>
      </c>
      <c r="E7" t="str">
        <f t="shared" si="0"/>
        <v>['Argentina','Uruguay',0,0],</v>
      </c>
      <c r="F7" t="str">
        <f t="shared" si="1"/>
        <v>['Uruguay','Argentina',0,0],</v>
      </c>
    </row>
    <row r="8" spans="1:6" x14ac:dyDescent="0.25">
      <c r="A8" t="s">
        <v>10</v>
      </c>
      <c r="B8" t="s">
        <v>11</v>
      </c>
      <c r="C8">
        <v>0</v>
      </c>
      <c r="D8">
        <v>4</v>
      </c>
      <c r="E8" t="str">
        <f t="shared" si="0"/>
        <v>['Chile','Uruguay',0,4],</v>
      </c>
      <c r="F8" t="str">
        <f t="shared" si="1"/>
        <v>['Uruguay','Chile',4,0],</v>
      </c>
    </row>
    <row r="9" spans="1:6" x14ac:dyDescent="0.25">
      <c r="A9" t="s">
        <v>16</v>
      </c>
      <c r="B9" t="s">
        <v>19</v>
      </c>
      <c r="C9">
        <v>4</v>
      </c>
      <c r="D9">
        <v>2</v>
      </c>
      <c r="E9" t="str">
        <f t="shared" si="0"/>
        <v>['Argentina','Brazil',4,2],</v>
      </c>
      <c r="F9" t="str">
        <f t="shared" si="1"/>
        <v>['Brazil','Argentina',2,4],</v>
      </c>
    </row>
    <row r="10" spans="1:6" x14ac:dyDescent="0.25">
      <c r="A10" t="s">
        <v>16</v>
      </c>
      <c r="B10" t="s">
        <v>10</v>
      </c>
      <c r="C10">
        <v>1</v>
      </c>
      <c r="D10">
        <v>0</v>
      </c>
      <c r="E10" t="str">
        <f t="shared" si="0"/>
        <v>['Argentina','Chile',1,0],</v>
      </c>
      <c r="F10" t="str">
        <f t="shared" si="1"/>
        <v>['Chile','Argentina',0,1],</v>
      </c>
    </row>
    <row r="11" spans="1:6" x14ac:dyDescent="0.25">
      <c r="A11" t="s">
        <v>11</v>
      </c>
      <c r="B11" t="s">
        <v>19</v>
      </c>
      <c r="C11">
        <v>4</v>
      </c>
      <c r="D11">
        <v>0</v>
      </c>
      <c r="E11" t="str">
        <f t="shared" si="0"/>
        <v>['Uruguay','Brazil',4,0],</v>
      </c>
      <c r="F11" t="str">
        <f t="shared" si="1"/>
        <v>['Brazil','Uruguay',0,4],</v>
      </c>
    </row>
    <row r="12" spans="1:6" x14ac:dyDescent="0.25">
      <c r="A12" t="s">
        <v>10</v>
      </c>
      <c r="B12" t="s">
        <v>19</v>
      </c>
      <c r="C12">
        <v>0</v>
      </c>
      <c r="D12">
        <v>5</v>
      </c>
      <c r="E12" t="str">
        <f t="shared" si="0"/>
        <v>['Chile','Brazil',0,5],</v>
      </c>
      <c r="F12" t="str">
        <f t="shared" si="1"/>
        <v>['Brazil','Chile',5,0],</v>
      </c>
    </row>
    <row r="13" spans="1:6" x14ac:dyDescent="0.25">
      <c r="A13" t="s">
        <v>16</v>
      </c>
      <c r="B13" t="s">
        <v>11</v>
      </c>
      <c r="C13">
        <v>0</v>
      </c>
      <c r="D13">
        <v>1</v>
      </c>
      <c r="E13" t="str">
        <f t="shared" si="0"/>
        <v>['Argentina','Uruguay',0,1],</v>
      </c>
      <c r="F13" t="str">
        <f t="shared" si="1"/>
        <v>['Uruguay','Argentina',1,0],</v>
      </c>
    </row>
    <row r="14" spans="1:6" x14ac:dyDescent="0.25">
      <c r="A14" t="s">
        <v>10</v>
      </c>
      <c r="B14" t="s">
        <v>19</v>
      </c>
      <c r="C14">
        <v>0</v>
      </c>
      <c r="D14">
        <v>6</v>
      </c>
      <c r="E14" t="str">
        <f t="shared" si="0"/>
        <v>['Chile','Brazil',0,6],</v>
      </c>
      <c r="F14" t="str">
        <f t="shared" si="1"/>
        <v>['Brazil','Chile',6,0],</v>
      </c>
    </row>
    <row r="15" spans="1:6" x14ac:dyDescent="0.25">
      <c r="A15" t="s">
        <v>16</v>
      </c>
      <c r="B15" t="s">
        <v>11</v>
      </c>
      <c r="C15">
        <v>2</v>
      </c>
      <c r="D15">
        <v>3</v>
      </c>
      <c r="E15" t="str">
        <f t="shared" si="0"/>
        <v>['Argentina','Uruguay',2,3],</v>
      </c>
      <c r="F15" t="str">
        <f t="shared" si="1"/>
        <v>['Uruguay','Argentina',3,2],</v>
      </c>
    </row>
    <row r="16" spans="1:6" x14ac:dyDescent="0.25">
      <c r="A16" t="s">
        <v>10</v>
      </c>
      <c r="B16" t="s">
        <v>11</v>
      </c>
      <c r="C16">
        <v>0</v>
      </c>
      <c r="D16">
        <v>2</v>
      </c>
      <c r="E16" t="str">
        <f t="shared" si="0"/>
        <v>['Chile','Uruguay',0,2],</v>
      </c>
      <c r="F16" t="str">
        <f t="shared" si="1"/>
        <v>['Uruguay','Chile',2,0],</v>
      </c>
    </row>
    <row r="17" spans="1:6" x14ac:dyDescent="0.25">
      <c r="A17" t="s">
        <v>16</v>
      </c>
      <c r="B17" t="s">
        <v>19</v>
      </c>
      <c r="C17">
        <v>1</v>
      </c>
      <c r="D17">
        <v>3</v>
      </c>
      <c r="E17" t="str">
        <f t="shared" si="0"/>
        <v>['Argentina','Brazil',1,3],</v>
      </c>
      <c r="F17" t="str">
        <f t="shared" si="1"/>
        <v>['Brazil','Argentina',3,1],</v>
      </c>
    </row>
    <row r="18" spans="1:6" x14ac:dyDescent="0.25">
      <c r="A18" t="s">
        <v>16</v>
      </c>
      <c r="B18" t="s">
        <v>10</v>
      </c>
      <c r="C18">
        <v>4</v>
      </c>
      <c r="D18">
        <v>1</v>
      </c>
      <c r="E18" t="str">
        <f t="shared" si="0"/>
        <v>['Argentina','Chile',4,1],</v>
      </c>
      <c r="F18" t="str">
        <f t="shared" si="1"/>
        <v>['Chile','Argentina',1,4],</v>
      </c>
    </row>
    <row r="19" spans="1:6" x14ac:dyDescent="0.25">
      <c r="A19" t="s">
        <v>11</v>
      </c>
      <c r="B19" t="s">
        <v>19</v>
      </c>
      <c r="C19">
        <v>2</v>
      </c>
      <c r="D19">
        <v>2</v>
      </c>
      <c r="E19" t="str">
        <f t="shared" si="0"/>
        <v>['Uruguay','Brazil',2,2],</v>
      </c>
      <c r="F19" t="str">
        <f t="shared" si="1"/>
        <v>['Brazil','Uruguay',2,2],</v>
      </c>
    </row>
    <row r="20" spans="1:6" x14ac:dyDescent="0.25">
      <c r="A20" t="s">
        <v>11</v>
      </c>
      <c r="B20" t="s">
        <v>19</v>
      </c>
      <c r="C20">
        <v>0</v>
      </c>
      <c r="D20">
        <v>1</v>
      </c>
      <c r="E20" t="str">
        <f t="shared" si="0"/>
        <v>['Uruguay','Brazil',0,1],</v>
      </c>
      <c r="F20" t="str">
        <f t="shared" si="1"/>
        <v>['Brazil','Uruguay',1,0],</v>
      </c>
    </row>
    <row r="21" spans="1:6" x14ac:dyDescent="0.25">
      <c r="A21" t="s">
        <v>10</v>
      </c>
      <c r="B21" t="s">
        <v>19</v>
      </c>
      <c r="C21">
        <v>0</v>
      </c>
      <c r="D21">
        <v>1</v>
      </c>
      <c r="E21" t="str">
        <f t="shared" si="0"/>
        <v>['Chile','Brazil',0,1],</v>
      </c>
      <c r="F21" t="str">
        <f t="shared" si="1"/>
        <v>['Brazil','Chile',1,0],</v>
      </c>
    </row>
    <row r="22" spans="1:6" x14ac:dyDescent="0.25">
      <c r="A22" t="s">
        <v>16</v>
      </c>
      <c r="B22" t="s">
        <v>11</v>
      </c>
      <c r="C22">
        <v>1</v>
      </c>
      <c r="D22">
        <v>1</v>
      </c>
      <c r="E22" t="str">
        <f t="shared" si="0"/>
        <v>['Argentina','Uruguay',1,1],</v>
      </c>
      <c r="F22" t="str">
        <f t="shared" si="1"/>
        <v>['Uruguay','Argentina',1,1],</v>
      </c>
    </row>
    <row r="23" spans="1:6" x14ac:dyDescent="0.25">
      <c r="A23" t="s">
        <v>11</v>
      </c>
      <c r="B23" t="s">
        <v>19</v>
      </c>
      <c r="C23">
        <v>6</v>
      </c>
      <c r="D23">
        <v>0</v>
      </c>
      <c r="E23" t="str">
        <f t="shared" si="0"/>
        <v>['Uruguay','Brazil',6,0],</v>
      </c>
      <c r="F23" t="str">
        <f t="shared" si="1"/>
        <v>['Brazil','Uruguay',0,6],</v>
      </c>
    </row>
    <row r="24" spans="1:6" x14ac:dyDescent="0.25">
      <c r="A24" t="s">
        <v>16</v>
      </c>
      <c r="B24" t="s">
        <v>10</v>
      </c>
      <c r="C24">
        <v>1</v>
      </c>
      <c r="D24">
        <v>1</v>
      </c>
      <c r="E24" t="str">
        <f t="shared" si="0"/>
        <v>['Argentina','Chile',1,1],</v>
      </c>
      <c r="F24" t="str">
        <f t="shared" si="1"/>
        <v>['Chile','Argentina',1,1],</v>
      </c>
    </row>
    <row r="25" spans="1:6" x14ac:dyDescent="0.25">
      <c r="A25" t="s">
        <v>16</v>
      </c>
      <c r="B25" t="s">
        <v>19</v>
      </c>
      <c r="C25">
        <v>2</v>
      </c>
      <c r="D25">
        <v>0</v>
      </c>
      <c r="E25" t="str">
        <f t="shared" si="0"/>
        <v>['Argentina','Brazil',2,0],</v>
      </c>
      <c r="F25" t="str">
        <f t="shared" si="1"/>
        <v>['Brazil','Argentina',0,2],</v>
      </c>
    </row>
    <row r="26" spans="1:6" x14ac:dyDescent="0.25">
      <c r="A26" t="s">
        <v>10</v>
      </c>
      <c r="B26" t="s">
        <v>11</v>
      </c>
      <c r="C26">
        <v>1</v>
      </c>
      <c r="D26">
        <v>2</v>
      </c>
      <c r="E26" t="str">
        <f t="shared" si="0"/>
        <v>['Chile','Uruguay',1,2],</v>
      </c>
      <c r="F26" t="str">
        <f t="shared" si="1"/>
        <v>['Uruguay','Chile',2,1],</v>
      </c>
    </row>
    <row r="27" spans="1:6" x14ac:dyDescent="0.25">
      <c r="A27" t="s">
        <v>16</v>
      </c>
      <c r="B27" t="s">
        <v>19</v>
      </c>
      <c r="C27">
        <v>1</v>
      </c>
      <c r="D27">
        <v>0</v>
      </c>
      <c r="E27" t="str">
        <f t="shared" si="0"/>
        <v>['Argentina','Brazil',1,0],</v>
      </c>
      <c r="F27" t="str">
        <f t="shared" si="1"/>
        <v>['Brazil','Argentina',0,1],</v>
      </c>
    </row>
    <row r="28" spans="1:6" x14ac:dyDescent="0.25">
      <c r="A28" t="s">
        <v>43</v>
      </c>
      <c r="B28" t="s">
        <v>11</v>
      </c>
      <c r="C28">
        <v>2</v>
      </c>
      <c r="D28">
        <v>1</v>
      </c>
      <c r="E28" t="str">
        <f t="shared" si="0"/>
        <v>['Paraguay','Uruguay',2,1],</v>
      </c>
      <c r="F28" t="str">
        <f t="shared" si="1"/>
        <v>['Uruguay','Paraguay',1,2],</v>
      </c>
    </row>
    <row r="29" spans="1:6" x14ac:dyDescent="0.25">
      <c r="A29" t="s">
        <v>43</v>
      </c>
      <c r="B29" t="s">
        <v>19</v>
      </c>
      <c r="C29">
        <v>0</v>
      </c>
      <c r="D29">
        <v>3</v>
      </c>
      <c r="E29" t="str">
        <f t="shared" si="0"/>
        <v>['Paraguay','Brazil',0,3],</v>
      </c>
      <c r="F29" t="str">
        <f t="shared" si="1"/>
        <v>['Brazil','Paraguay',3,0],</v>
      </c>
    </row>
    <row r="30" spans="1:6" x14ac:dyDescent="0.25">
      <c r="A30" t="s">
        <v>16</v>
      </c>
      <c r="B30" t="s">
        <v>43</v>
      </c>
      <c r="C30">
        <v>3</v>
      </c>
      <c r="D30">
        <v>0</v>
      </c>
      <c r="E30" t="str">
        <f t="shared" si="0"/>
        <v>['Argentina','Paraguay',3,0],</v>
      </c>
      <c r="F30" t="str">
        <f t="shared" si="1"/>
        <v>['Paraguay','Argentina',0,3],</v>
      </c>
    </row>
    <row r="31" spans="1:6" x14ac:dyDescent="0.25">
      <c r="A31" t="s">
        <v>11</v>
      </c>
      <c r="B31" t="s">
        <v>19</v>
      </c>
      <c r="C31">
        <v>2</v>
      </c>
      <c r="D31">
        <v>1</v>
      </c>
      <c r="E31" t="str">
        <f t="shared" si="0"/>
        <v>['Uruguay','Brazil',2,1],</v>
      </c>
      <c r="F31" t="str">
        <f t="shared" si="1"/>
        <v>['Brazil','Uruguay',1,2],</v>
      </c>
    </row>
    <row r="32" spans="1:6" x14ac:dyDescent="0.25">
      <c r="A32" t="s">
        <v>16</v>
      </c>
      <c r="B32" t="s">
        <v>11</v>
      </c>
      <c r="C32">
        <v>1</v>
      </c>
      <c r="D32">
        <v>0</v>
      </c>
      <c r="E32" t="str">
        <f t="shared" si="0"/>
        <v>['Argentina','Uruguay',1,0],</v>
      </c>
      <c r="F32" t="str">
        <f t="shared" si="1"/>
        <v>['Uruguay','Argentina',0,1],</v>
      </c>
    </row>
    <row r="33" spans="1:6" x14ac:dyDescent="0.25">
      <c r="A33" t="s">
        <v>10</v>
      </c>
      <c r="B33" t="s">
        <v>19</v>
      </c>
      <c r="C33">
        <v>1</v>
      </c>
      <c r="D33">
        <v>1</v>
      </c>
      <c r="E33" t="str">
        <f t="shared" si="0"/>
        <v>['Chile','Brazil',1,1],</v>
      </c>
      <c r="F33" t="str">
        <f t="shared" si="1"/>
        <v>['Brazil','Chile',1,1],</v>
      </c>
    </row>
    <row r="34" spans="1:6" x14ac:dyDescent="0.25">
      <c r="A34" t="s">
        <v>10</v>
      </c>
      <c r="B34" t="s">
        <v>11</v>
      </c>
      <c r="C34">
        <v>0</v>
      </c>
      <c r="D34">
        <v>2</v>
      </c>
      <c r="E34" t="str">
        <f t="shared" si="0"/>
        <v>['Chile','Uruguay',0,2],</v>
      </c>
      <c r="F34" t="str">
        <f t="shared" si="1"/>
        <v>['Uruguay','Chile',2,0],</v>
      </c>
    </row>
    <row r="35" spans="1:6" x14ac:dyDescent="0.25">
      <c r="A35" t="s">
        <v>43</v>
      </c>
      <c r="B35" t="s">
        <v>19</v>
      </c>
      <c r="C35">
        <v>1</v>
      </c>
      <c r="D35">
        <v>1</v>
      </c>
      <c r="E35" t="str">
        <f t="shared" si="0"/>
        <v>['Paraguay','Brazil',1,1],</v>
      </c>
      <c r="F35" t="str">
        <f t="shared" si="1"/>
        <v>['Brazil','Paraguay',1,1],</v>
      </c>
    </row>
    <row r="36" spans="1:6" x14ac:dyDescent="0.25">
      <c r="A36" t="s">
        <v>16</v>
      </c>
      <c r="B36" t="s">
        <v>10</v>
      </c>
      <c r="C36">
        <v>4</v>
      </c>
      <c r="D36">
        <v>0</v>
      </c>
      <c r="E36" t="str">
        <f t="shared" si="0"/>
        <v>['Argentina','Chile',4,0],</v>
      </c>
      <c r="F36" t="str">
        <f t="shared" si="1"/>
        <v>['Chile','Argentina',0,4],</v>
      </c>
    </row>
    <row r="37" spans="1:6" x14ac:dyDescent="0.25">
      <c r="A37" t="s">
        <v>11</v>
      </c>
      <c r="B37" t="s">
        <v>19</v>
      </c>
      <c r="C37">
        <v>0</v>
      </c>
      <c r="D37">
        <v>0</v>
      </c>
      <c r="E37" t="str">
        <f t="shared" si="0"/>
        <v>['Uruguay','Brazil',0,0],</v>
      </c>
      <c r="F37" t="str">
        <f t="shared" si="1"/>
        <v>['Brazil','Uruguay',0,0],</v>
      </c>
    </row>
    <row r="38" spans="1:6" x14ac:dyDescent="0.25">
      <c r="A38" t="s">
        <v>10</v>
      </c>
      <c r="B38" t="s">
        <v>43</v>
      </c>
      <c r="C38">
        <v>0</v>
      </c>
      <c r="D38">
        <v>3</v>
      </c>
      <c r="E38" t="str">
        <f t="shared" si="0"/>
        <v>['Chile','Paraguay',0,3],</v>
      </c>
      <c r="F38" t="str">
        <f t="shared" si="1"/>
        <v>['Paraguay','Chile',3,0],</v>
      </c>
    </row>
    <row r="39" spans="1:6" x14ac:dyDescent="0.25">
      <c r="A39" t="s">
        <v>16</v>
      </c>
      <c r="B39" t="s">
        <v>11</v>
      </c>
      <c r="C39">
        <v>0</v>
      </c>
      <c r="D39">
        <v>1</v>
      </c>
      <c r="E39" t="str">
        <f t="shared" si="0"/>
        <v>['Argentina','Uruguay',0,1],</v>
      </c>
      <c r="F39" t="str">
        <f t="shared" si="1"/>
        <v>['Uruguay','Argentina',1,0],</v>
      </c>
    </row>
    <row r="40" spans="1:6" x14ac:dyDescent="0.25">
      <c r="A40" t="s">
        <v>43</v>
      </c>
      <c r="B40" t="s">
        <v>11</v>
      </c>
      <c r="C40">
        <v>1</v>
      </c>
      <c r="D40">
        <v>0</v>
      </c>
      <c r="E40" t="str">
        <f t="shared" si="0"/>
        <v>['Paraguay','Uruguay',1,0],</v>
      </c>
      <c r="F40" t="str">
        <f t="shared" si="1"/>
        <v>['Uruguay','Paraguay',0,1],</v>
      </c>
    </row>
    <row r="41" spans="1:6" x14ac:dyDescent="0.25">
      <c r="A41" t="s">
        <v>16</v>
      </c>
      <c r="B41" t="s">
        <v>19</v>
      </c>
      <c r="C41">
        <v>0</v>
      </c>
      <c r="D41">
        <v>2</v>
      </c>
      <c r="E41" t="str">
        <f t="shared" si="0"/>
        <v>['Argentina','Brazil',0,2],</v>
      </c>
      <c r="F41" t="str">
        <f t="shared" si="1"/>
        <v>['Brazil','Argentina',2,0],</v>
      </c>
    </row>
    <row r="42" spans="1:6" x14ac:dyDescent="0.25">
      <c r="A42" t="s">
        <v>16</v>
      </c>
      <c r="B42" t="s">
        <v>43</v>
      </c>
      <c r="C42">
        <v>2</v>
      </c>
      <c r="D42">
        <v>0</v>
      </c>
      <c r="E42" t="str">
        <f t="shared" si="0"/>
        <v>['Argentina','Paraguay',2,0],</v>
      </c>
      <c r="F42" t="str">
        <f t="shared" si="1"/>
        <v>['Paraguay','Argentina',0,2],</v>
      </c>
    </row>
    <row r="43" spans="1:6" x14ac:dyDescent="0.25">
      <c r="A43" t="s">
        <v>43</v>
      </c>
      <c r="B43" t="s">
        <v>19</v>
      </c>
      <c r="C43">
        <v>0</v>
      </c>
      <c r="D43">
        <v>3</v>
      </c>
      <c r="E43" t="str">
        <f t="shared" si="0"/>
        <v>['Paraguay','Brazil',0,3],</v>
      </c>
      <c r="F43" t="str">
        <f t="shared" si="1"/>
        <v>['Brazil','Paraguay',3,0],</v>
      </c>
    </row>
    <row r="44" spans="1:6" x14ac:dyDescent="0.25">
      <c r="A44" t="s">
        <v>16</v>
      </c>
      <c r="B44" t="s">
        <v>43</v>
      </c>
      <c r="C44">
        <v>4</v>
      </c>
      <c r="D44">
        <v>3</v>
      </c>
      <c r="E44" t="str">
        <f t="shared" si="0"/>
        <v>['Argentina','Paraguay',4,3],</v>
      </c>
      <c r="F44" t="str">
        <f t="shared" si="1"/>
        <v>['Paraguay','Argentina',3,4],</v>
      </c>
    </row>
    <row r="45" spans="1:6" x14ac:dyDescent="0.25">
      <c r="A45" t="s">
        <v>43</v>
      </c>
      <c r="B45" t="s">
        <v>11</v>
      </c>
      <c r="C45">
        <v>0</v>
      </c>
      <c r="D45">
        <v>2</v>
      </c>
      <c r="E45" t="str">
        <f t="shared" si="0"/>
        <v>['Paraguay','Uruguay',0,2],</v>
      </c>
      <c r="F45" t="str">
        <f t="shared" si="1"/>
        <v>['Uruguay','Paraguay',2,0],</v>
      </c>
    </row>
    <row r="46" spans="1:6" x14ac:dyDescent="0.25">
      <c r="A46" t="s">
        <v>43</v>
      </c>
      <c r="B46" t="s">
        <v>19</v>
      </c>
      <c r="C46">
        <v>1</v>
      </c>
      <c r="D46">
        <v>0</v>
      </c>
      <c r="E46" t="str">
        <f t="shared" si="0"/>
        <v>['Paraguay','Brazil',1,0],</v>
      </c>
      <c r="F46" t="str">
        <f t="shared" si="1"/>
        <v>['Brazil','Paraguay',0,1],</v>
      </c>
    </row>
    <row r="47" spans="1:6" x14ac:dyDescent="0.25">
      <c r="A47" t="s">
        <v>16</v>
      </c>
      <c r="B47" t="s">
        <v>19</v>
      </c>
      <c r="C47">
        <v>2</v>
      </c>
      <c r="D47">
        <v>1</v>
      </c>
      <c r="E47" t="str">
        <f t="shared" si="0"/>
        <v>['Argentina','Brazil',2,1],</v>
      </c>
      <c r="F47" t="str">
        <f t="shared" si="1"/>
        <v>['Brazil','Argentina',1,2],</v>
      </c>
    </row>
    <row r="48" spans="1:6" x14ac:dyDescent="0.25">
      <c r="A48" t="s">
        <v>11</v>
      </c>
      <c r="B48" t="s">
        <v>19</v>
      </c>
      <c r="C48">
        <v>2</v>
      </c>
      <c r="D48">
        <v>1</v>
      </c>
      <c r="E48" t="str">
        <f t="shared" si="0"/>
        <v>['Uruguay','Brazil',2,1],</v>
      </c>
      <c r="F48" t="str">
        <f t="shared" si="1"/>
        <v>['Brazil','Uruguay',1,2],</v>
      </c>
    </row>
    <row r="49" spans="1:6" x14ac:dyDescent="0.25">
      <c r="A49" t="s">
        <v>16</v>
      </c>
      <c r="B49" t="s">
        <v>11</v>
      </c>
      <c r="C49">
        <v>0</v>
      </c>
      <c r="D49">
        <v>2</v>
      </c>
      <c r="E49" t="str">
        <f t="shared" si="0"/>
        <v>['Argentina','Uruguay',0,2],</v>
      </c>
      <c r="F49" t="str">
        <f t="shared" si="1"/>
        <v>['Uruguay','Argentina',2,0],</v>
      </c>
    </row>
    <row r="50" spans="1:6" x14ac:dyDescent="0.25">
      <c r="A50" t="s">
        <v>16</v>
      </c>
      <c r="B50" t="s">
        <v>43</v>
      </c>
      <c r="C50">
        <v>0</v>
      </c>
      <c r="D50">
        <v>0</v>
      </c>
      <c r="E50" t="str">
        <f t="shared" si="0"/>
        <v>['Argentina','Paraguay',0,0],</v>
      </c>
      <c r="F50" t="str">
        <f t="shared" si="1"/>
        <v>['Paraguay','Argentina',0,0],</v>
      </c>
    </row>
    <row r="51" spans="1:6" x14ac:dyDescent="0.25">
      <c r="A51" t="s">
        <v>10</v>
      </c>
      <c r="B51" t="s">
        <v>11</v>
      </c>
      <c r="C51">
        <v>0</v>
      </c>
      <c r="D51">
        <v>5</v>
      </c>
      <c r="E51" t="str">
        <f t="shared" si="0"/>
        <v>['Chile','Uruguay',0,5],</v>
      </c>
      <c r="F51" t="str">
        <f t="shared" si="1"/>
        <v>['Uruguay','Chile',5,0],</v>
      </c>
    </row>
    <row r="52" spans="1:6" x14ac:dyDescent="0.25">
      <c r="A52" t="s">
        <v>16</v>
      </c>
      <c r="B52" t="s">
        <v>10</v>
      </c>
      <c r="C52">
        <v>2</v>
      </c>
      <c r="D52">
        <v>0</v>
      </c>
      <c r="E52" t="str">
        <f t="shared" si="0"/>
        <v>['Argentina','Chile',2,0],</v>
      </c>
      <c r="F52" t="str">
        <f t="shared" si="1"/>
        <v>['Chile','Argentina',0,2],</v>
      </c>
    </row>
    <row r="53" spans="1:6" x14ac:dyDescent="0.25">
      <c r="A53" t="s">
        <v>43</v>
      </c>
      <c r="B53" t="s">
        <v>11</v>
      </c>
      <c r="C53">
        <v>1</v>
      </c>
      <c r="D53">
        <v>3</v>
      </c>
      <c r="E53" t="str">
        <f t="shared" si="0"/>
        <v>['Paraguay','Uruguay',1,3],</v>
      </c>
      <c r="F53" t="str">
        <f t="shared" si="1"/>
        <v>['Uruguay','Paraguay',3,1],</v>
      </c>
    </row>
    <row r="54" spans="1:6" x14ac:dyDescent="0.25">
      <c r="A54" t="s">
        <v>10</v>
      </c>
      <c r="B54" t="s">
        <v>43</v>
      </c>
      <c r="C54">
        <v>1</v>
      </c>
      <c r="D54">
        <v>3</v>
      </c>
      <c r="E54" t="str">
        <f t="shared" si="0"/>
        <v>['Chile','Paraguay',1,3],</v>
      </c>
      <c r="F54" t="str">
        <f t="shared" si="1"/>
        <v>['Paraguay','Chile',3,1],</v>
      </c>
    </row>
    <row r="55" spans="1:6" x14ac:dyDescent="0.25">
      <c r="A55" t="s">
        <v>16</v>
      </c>
      <c r="B55" t="s">
        <v>11</v>
      </c>
      <c r="C55">
        <v>0</v>
      </c>
      <c r="D55">
        <v>0</v>
      </c>
      <c r="E55" t="str">
        <f t="shared" si="0"/>
        <v>['Argentina','Uruguay',0,0],</v>
      </c>
      <c r="F55" t="str">
        <f t="shared" si="1"/>
        <v>['Uruguay','Argentina',0,0],</v>
      </c>
    </row>
    <row r="56" spans="1:6" x14ac:dyDescent="0.25">
      <c r="A56" t="s">
        <v>16</v>
      </c>
      <c r="B56" t="s">
        <v>43</v>
      </c>
      <c r="C56">
        <v>2</v>
      </c>
      <c r="D56">
        <v>0</v>
      </c>
      <c r="E56" t="str">
        <f t="shared" si="0"/>
        <v>['Argentina','Paraguay',2,0],</v>
      </c>
      <c r="F56" t="str">
        <f t="shared" si="1"/>
        <v>['Paraguay','Argentina',0,2],</v>
      </c>
    </row>
    <row r="57" spans="1:6" x14ac:dyDescent="0.25">
      <c r="A57" t="s">
        <v>43</v>
      </c>
      <c r="B57" t="s">
        <v>19</v>
      </c>
      <c r="C57">
        <v>2</v>
      </c>
      <c r="D57">
        <v>5</v>
      </c>
      <c r="E57" t="str">
        <f t="shared" si="0"/>
        <v>['Paraguay','Brazil',2,5],</v>
      </c>
      <c r="F57" t="str">
        <f t="shared" si="1"/>
        <v>['Brazil','Paraguay',5,2],</v>
      </c>
    </row>
    <row r="58" spans="1:6" x14ac:dyDescent="0.25">
      <c r="A58" t="s">
        <v>16</v>
      </c>
      <c r="B58" t="s">
        <v>19</v>
      </c>
      <c r="C58">
        <v>4</v>
      </c>
      <c r="D58">
        <v>1</v>
      </c>
      <c r="E58" t="str">
        <f t="shared" si="0"/>
        <v>['Argentina','Brazil',4,1],</v>
      </c>
      <c r="F58" t="str">
        <f t="shared" si="1"/>
        <v>['Brazil','Argentina',1,4],</v>
      </c>
    </row>
    <row r="59" spans="1:6" x14ac:dyDescent="0.25">
      <c r="A59" t="s">
        <v>43</v>
      </c>
      <c r="B59" t="s">
        <v>19</v>
      </c>
      <c r="C59">
        <v>1</v>
      </c>
      <c r="D59">
        <v>3</v>
      </c>
      <c r="E59" t="str">
        <f t="shared" si="0"/>
        <v>['Paraguay','Brazil',1,3],</v>
      </c>
      <c r="F59" t="str">
        <f t="shared" si="1"/>
        <v>['Brazil','Paraguay',3,1],</v>
      </c>
    </row>
    <row r="60" spans="1:6" x14ac:dyDescent="0.25">
      <c r="A60" t="s">
        <v>16</v>
      </c>
      <c r="B60" t="s">
        <v>43</v>
      </c>
      <c r="C60">
        <v>3</v>
      </c>
      <c r="D60">
        <v>1</v>
      </c>
      <c r="E60" t="str">
        <f t="shared" si="0"/>
        <v>['Argentina','Paraguay',3,1],</v>
      </c>
      <c r="F60" t="str">
        <f t="shared" si="1"/>
        <v>['Paraguay','Argentina',1,3],</v>
      </c>
    </row>
    <row r="61" spans="1:6" x14ac:dyDescent="0.25">
      <c r="A61" t="s">
        <v>16</v>
      </c>
      <c r="B61" t="s">
        <v>19</v>
      </c>
      <c r="C61">
        <v>2</v>
      </c>
      <c r="D61">
        <v>2</v>
      </c>
      <c r="E61" t="str">
        <f t="shared" si="0"/>
        <v>['Argentina','Brazil',2,2],</v>
      </c>
      <c r="F61" t="str">
        <f t="shared" si="1"/>
        <v>['Brazil','Argentina',2,2],</v>
      </c>
    </row>
    <row r="62" spans="1:6" x14ac:dyDescent="0.25">
      <c r="A62" t="s">
        <v>56</v>
      </c>
      <c r="B62" t="s">
        <v>10</v>
      </c>
      <c r="C62">
        <v>1</v>
      </c>
      <c r="D62">
        <v>7</v>
      </c>
      <c r="E62" t="str">
        <f t="shared" si="0"/>
        <v>['Bolivia','Chile',1,7],</v>
      </c>
      <c r="F62" t="str">
        <f t="shared" si="1"/>
        <v>['Chile','Bolivia',7,1],</v>
      </c>
    </row>
    <row r="63" spans="1:6" x14ac:dyDescent="0.25">
      <c r="A63" t="s">
        <v>16</v>
      </c>
      <c r="B63" t="s">
        <v>56</v>
      </c>
      <c r="C63">
        <v>5</v>
      </c>
      <c r="D63">
        <v>0</v>
      </c>
      <c r="E63" t="str">
        <f t="shared" si="0"/>
        <v>['Argentina','Bolivia',5,0],</v>
      </c>
      <c r="F63" t="str">
        <f t="shared" si="1"/>
        <v>['Bolivia','Argentina',0,5],</v>
      </c>
    </row>
    <row r="64" spans="1:6" x14ac:dyDescent="0.25">
      <c r="A64" t="s">
        <v>10</v>
      </c>
      <c r="B64" t="s">
        <v>11</v>
      </c>
      <c r="C64">
        <v>1</v>
      </c>
      <c r="D64">
        <v>3</v>
      </c>
      <c r="E64" t="str">
        <f t="shared" si="0"/>
        <v>['Chile','Uruguay',1,3],</v>
      </c>
      <c r="F64" t="str">
        <f t="shared" si="1"/>
        <v>['Uruguay','Chile',3,1],</v>
      </c>
    </row>
    <row r="65" spans="1:6" x14ac:dyDescent="0.25">
      <c r="A65" t="s">
        <v>16</v>
      </c>
      <c r="B65" t="s">
        <v>43</v>
      </c>
      <c r="C65">
        <v>8</v>
      </c>
      <c r="D65">
        <v>0</v>
      </c>
      <c r="E65" t="str">
        <f t="shared" si="0"/>
        <v>['Argentina','Paraguay',8,0],</v>
      </c>
      <c r="F65" t="str">
        <f t="shared" si="1"/>
        <v>['Paraguay','Argentina',0,8],</v>
      </c>
    </row>
    <row r="66" spans="1:6" x14ac:dyDescent="0.25">
      <c r="A66" t="s">
        <v>56</v>
      </c>
      <c r="B66" t="s">
        <v>43</v>
      </c>
      <c r="C66">
        <v>1</v>
      </c>
      <c r="D66">
        <v>6</v>
      </c>
      <c r="E66" t="str">
        <f t="shared" si="0"/>
        <v>['Bolivia','Paraguay',1,6],</v>
      </c>
      <c r="F66" t="str">
        <f t="shared" si="1"/>
        <v>['Paraguay','Bolivia',6,1],</v>
      </c>
    </row>
    <row r="67" spans="1:6" x14ac:dyDescent="0.25">
      <c r="A67" t="s">
        <v>16</v>
      </c>
      <c r="B67" t="s">
        <v>11</v>
      </c>
      <c r="C67">
        <v>0</v>
      </c>
      <c r="D67">
        <v>2</v>
      </c>
      <c r="E67" t="str">
        <f t="shared" ref="E67:E130" si="2">"['"&amp;A67&amp;"','"&amp;B67&amp;"',"&amp;C67&amp;","&amp;D67&amp;"],"</f>
        <v>['Argentina','Uruguay',0,2],</v>
      </c>
      <c r="F67" t="str">
        <f t="shared" ref="F67:F130" si="3">"['"&amp;B67&amp;"','"&amp;A67&amp;"',"&amp;D67&amp;","&amp;C67&amp;"],"</f>
        <v>['Uruguay','Argentina',2,0],</v>
      </c>
    </row>
    <row r="68" spans="1:6" x14ac:dyDescent="0.25">
      <c r="A68" t="s">
        <v>56</v>
      </c>
      <c r="B68" t="s">
        <v>11</v>
      </c>
      <c r="C68">
        <v>0</v>
      </c>
      <c r="D68">
        <v>6</v>
      </c>
      <c r="E68" t="str">
        <f t="shared" si="2"/>
        <v>['Bolivia','Uruguay',0,6],</v>
      </c>
      <c r="F68" t="str">
        <f t="shared" si="3"/>
        <v>['Uruguay','Bolivia',6,0],</v>
      </c>
    </row>
    <row r="69" spans="1:6" x14ac:dyDescent="0.25">
      <c r="A69" t="s">
        <v>16</v>
      </c>
      <c r="B69" t="s">
        <v>10</v>
      </c>
      <c r="C69">
        <v>1</v>
      </c>
      <c r="D69">
        <v>1</v>
      </c>
      <c r="E69" t="str">
        <f t="shared" si="2"/>
        <v>['Argentina','Chile',1,1],</v>
      </c>
      <c r="F69" t="str">
        <f t="shared" si="3"/>
        <v>['Chile','Argentina',1,1],</v>
      </c>
    </row>
    <row r="70" spans="1:6" x14ac:dyDescent="0.25">
      <c r="A70" t="s">
        <v>43</v>
      </c>
      <c r="B70" t="s">
        <v>11</v>
      </c>
      <c r="C70">
        <v>1</v>
      </c>
      <c r="D70">
        <v>6</v>
      </c>
      <c r="E70" t="str">
        <f t="shared" si="2"/>
        <v>['Paraguay','Uruguay',1,6],</v>
      </c>
      <c r="F70" t="str">
        <f t="shared" si="3"/>
        <v>['Uruguay','Paraguay',6,1],</v>
      </c>
    </row>
    <row r="71" spans="1:6" x14ac:dyDescent="0.25">
      <c r="A71" t="s">
        <v>10</v>
      </c>
      <c r="B71" t="s">
        <v>43</v>
      </c>
      <c r="C71">
        <v>5</v>
      </c>
      <c r="D71">
        <v>1</v>
      </c>
      <c r="E71" t="str">
        <f t="shared" si="2"/>
        <v>['Chile','Paraguay',5,1],</v>
      </c>
      <c r="F71" t="str">
        <f t="shared" si="3"/>
        <v>['Paraguay','Chile',1,5],</v>
      </c>
    </row>
    <row r="72" spans="1:6" x14ac:dyDescent="0.25">
      <c r="A72" t="s">
        <v>16</v>
      </c>
      <c r="B72" t="s">
        <v>56</v>
      </c>
      <c r="C72">
        <v>7</v>
      </c>
      <c r="D72">
        <v>1</v>
      </c>
      <c r="E72" t="str">
        <f t="shared" si="2"/>
        <v>['Argentina','Bolivia',7,1],</v>
      </c>
      <c r="F72" t="str">
        <f t="shared" si="3"/>
        <v>['Bolivia','Argentina',1,7],</v>
      </c>
    </row>
    <row r="73" spans="1:6" x14ac:dyDescent="0.25">
      <c r="A73" t="s">
        <v>66</v>
      </c>
      <c r="B73" t="s">
        <v>11</v>
      </c>
      <c r="C73">
        <v>0</v>
      </c>
      <c r="D73">
        <v>4</v>
      </c>
      <c r="E73" t="str">
        <f t="shared" si="2"/>
        <v>['Peru','Uruguay',0,4],</v>
      </c>
      <c r="F73" t="str">
        <f t="shared" si="3"/>
        <v>['Uruguay','Peru',4,0],</v>
      </c>
    </row>
    <row r="74" spans="1:6" x14ac:dyDescent="0.25">
      <c r="A74" t="s">
        <v>56</v>
      </c>
      <c r="B74" t="s">
        <v>11</v>
      </c>
      <c r="C74">
        <v>0</v>
      </c>
      <c r="D74">
        <v>9</v>
      </c>
      <c r="E74" t="str">
        <f t="shared" si="2"/>
        <v>['Bolivia','Uruguay',0,9],</v>
      </c>
      <c r="F74" t="str">
        <f t="shared" si="3"/>
        <v>['Uruguay','Bolivia',9,0],</v>
      </c>
    </row>
    <row r="75" spans="1:6" x14ac:dyDescent="0.25">
      <c r="A75" t="s">
        <v>56</v>
      </c>
      <c r="B75" t="s">
        <v>11</v>
      </c>
      <c r="C75">
        <v>0</v>
      </c>
      <c r="D75">
        <v>9</v>
      </c>
      <c r="E75" t="str">
        <f t="shared" si="2"/>
        <v>['Bolivia','Uruguay',0,9],</v>
      </c>
      <c r="F75" t="str">
        <f t="shared" si="3"/>
        <v>['Uruguay','Bolivia',9,0],</v>
      </c>
    </row>
    <row r="76" spans="1:6" x14ac:dyDescent="0.25">
      <c r="A76" t="s">
        <v>56</v>
      </c>
      <c r="B76" t="s">
        <v>66</v>
      </c>
      <c r="C76">
        <v>2</v>
      </c>
      <c r="D76">
        <v>3</v>
      </c>
      <c r="E76" t="str">
        <f t="shared" si="2"/>
        <v>['Bolivia','Peru',2,3],</v>
      </c>
      <c r="F76" t="str">
        <f t="shared" si="3"/>
        <v>['Peru','Bolivia',3,2],</v>
      </c>
    </row>
    <row r="77" spans="1:6" x14ac:dyDescent="0.25">
      <c r="A77" t="s">
        <v>16</v>
      </c>
      <c r="B77" t="s">
        <v>11</v>
      </c>
      <c r="C77">
        <v>3</v>
      </c>
      <c r="D77">
        <v>2</v>
      </c>
      <c r="E77" t="str">
        <f t="shared" si="2"/>
        <v>['Argentina','Uruguay',3,2],</v>
      </c>
      <c r="F77" t="str">
        <f t="shared" si="3"/>
        <v>['Uruguay','Argentina',2,3],</v>
      </c>
    </row>
    <row r="78" spans="1:6" x14ac:dyDescent="0.25">
      <c r="A78" t="s">
        <v>16</v>
      </c>
      <c r="B78" t="s">
        <v>66</v>
      </c>
      <c r="C78">
        <v>5</v>
      </c>
      <c r="D78">
        <v>1</v>
      </c>
      <c r="E78" t="str">
        <f t="shared" si="2"/>
        <v>['Argentina','Peru',5,1],</v>
      </c>
      <c r="F78" t="str">
        <f t="shared" si="3"/>
        <v>['Peru','Argentina',1,5],</v>
      </c>
    </row>
    <row r="79" spans="1:6" x14ac:dyDescent="0.25">
      <c r="A79" t="s">
        <v>43</v>
      </c>
      <c r="B79" t="s">
        <v>11</v>
      </c>
      <c r="C79">
        <v>3</v>
      </c>
      <c r="D79">
        <v>0</v>
      </c>
      <c r="E79" t="str">
        <f t="shared" si="2"/>
        <v>['Paraguay','Uruguay',3,0],</v>
      </c>
      <c r="F79" t="str">
        <f t="shared" si="3"/>
        <v>['Uruguay','Paraguay',0,3],</v>
      </c>
    </row>
    <row r="80" spans="1:6" x14ac:dyDescent="0.25">
      <c r="A80" t="s">
        <v>16</v>
      </c>
      <c r="B80" t="s">
        <v>66</v>
      </c>
      <c r="C80">
        <v>3</v>
      </c>
      <c r="D80">
        <v>0</v>
      </c>
      <c r="E80" t="str">
        <f t="shared" si="2"/>
        <v>['Argentina','Peru',3,0],</v>
      </c>
      <c r="F80" t="str">
        <f t="shared" si="3"/>
        <v>['Peru','Argentina',0,3],</v>
      </c>
    </row>
    <row r="81" spans="1:6" x14ac:dyDescent="0.25">
      <c r="A81" t="s">
        <v>16</v>
      </c>
      <c r="B81" t="s">
        <v>43</v>
      </c>
      <c r="C81">
        <v>4</v>
      </c>
      <c r="D81">
        <v>1</v>
      </c>
      <c r="E81" t="str">
        <f t="shared" si="2"/>
        <v>['Argentina','Paraguay',4,1],</v>
      </c>
      <c r="F81" t="str">
        <f t="shared" si="3"/>
        <v>['Paraguay','Argentina',1,4],</v>
      </c>
    </row>
    <row r="82" spans="1:6" x14ac:dyDescent="0.25">
      <c r="A82" t="s">
        <v>66</v>
      </c>
      <c r="B82" t="s">
        <v>11</v>
      </c>
      <c r="C82">
        <v>1</v>
      </c>
      <c r="D82">
        <v>4</v>
      </c>
      <c r="E82" t="str">
        <f t="shared" si="2"/>
        <v>['Peru','Uruguay',1,4],</v>
      </c>
      <c r="F82" t="str">
        <f t="shared" si="3"/>
        <v>['Uruguay','Peru',4,1],</v>
      </c>
    </row>
    <row r="83" spans="1:6" x14ac:dyDescent="0.25">
      <c r="A83" t="s">
        <v>43</v>
      </c>
      <c r="B83" t="s">
        <v>66</v>
      </c>
      <c r="C83">
        <v>5</v>
      </c>
      <c r="D83">
        <v>0</v>
      </c>
      <c r="E83" t="str">
        <f t="shared" si="2"/>
        <v>['Paraguay','Peru',5,0],</v>
      </c>
      <c r="F83" t="str">
        <f t="shared" si="3"/>
        <v>['Peru','Paraguay',0,5],</v>
      </c>
    </row>
    <row r="84" spans="1:6" x14ac:dyDescent="0.25">
      <c r="A84" t="s">
        <v>16</v>
      </c>
      <c r="B84" t="s">
        <v>11</v>
      </c>
      <c r="C84">
        <v>2</v>
      </c>
      <c r="D84">
        <v>0</v>
      </c>
      <c r="E84" t="str">
        <f t="shared" si="2"/>
        <v>['Argentina','Uruguay',2,0],</v>
      </c>
      <c r="F84" t="str">
        <f t="shared" si="3"/>
        <v>['Uruguay','Argentina',0,2],</v>
      </c>
    </row>
    <row r="85" spans="1:6" x14ac:dyDescent="0.25">
      <c r="A85" t="s">
        <v>16</v>
      </c>
      <c r="B85" t="s">
        <v>10</v>
      </c>
      <c r="C85">
        <v>4</v>
      </c>
      <c r="D85">
        <v>1</v>
      </c>
      <c r="E85" t="str">
        <f t="shared" si="2"/>
        <v>['Argentina','Chile',4,1],</v>
      </c>
      <c r="F85" t="str">
        <f t="shared" si="3"/>
        <v>['Chile','Argentina',1,4],</v>
      </c>
    </row>
    <row r="86" spans="1:6" x14ac:dyDescent="0.25">
      <c r="A86" t="s">
        <v>66</v>
      </c>
      <c r="B86" t="s">
        <v>11</v>
      </c>
      <c r="C86">
        <v>0</v>
      </c>
      <c r="D86">
        <v>1</v>
      </c>
      <c r="E86" t="str">
        <f t="shared" si="2"/>
        <v>['Peru','Uruguay',0,1],</v>
      </c>
      <c r="F86" t="str">
        <f t="shared" si="3"/>
        <v>['Uruguay','Peru',1,0],</v>
      </c>
    </row>
    <row r="87" spans="1:6" x14ac:dyDescent="0.25">
      <c r="A87" t="s">
        <v>10</v>
      </c>
      <c r="B87" t="s">
        <v>11</v>
      </c>
      <c r="C87">
        <v>1</v>
      </c>
      <c r="D87">
        <v>2</v>
      </c>
      <c r="E87" t="str">
        <f t="shared" si="2"/>
        <v>['Chile','Uruguay',1,2],</v>
      </c>
      <c r="F87" t="str">
        <f t="shared" si="3"/>
        <v>['Uruguay','Chile',2,1],</v>
      </c>
    </row>
    <row r="88" spans="1:6" x14ac:dyDescent="0.25">
      <c r="A88" t="s">
        <v>16</v>
      </c>
      <c r="B88" t="s">
        <v>66</v>
      </c>
      <c r="C88">
        <v>4</v>
      </c>
      <c r="D88">
        <v>1</v>
      </c>
      <c r="E88" t="str">
        <f t="shared" si="2"/>
        <v>['Argentina','Peru',4,1],</v>
      </c>
      <c r="F88" t="str">
        <f t="shared" si="3"/>
        <v>['Peru','Argentina',1,4],</v>
      </c>
    </row>
    <row r="89" spans="1:6" x14ac:dyDescent="0.25">
      <c r="A89" t="s">
        <v>10</v>
      </c>
      <c r="B89" t="s">
        <v>66</v>
      </c>
      <c r="C89">
        <v>0</v>
      </c>
      <c r="D89">
        <v>1</v>
      </c>
      <c r="E89" t="str">
        <f t="shared" si="2"/>
        <v>['Chile','Peru',0,1],</v>
      </c>
      <c r="F89" t="str">
        <f t="shared" si="3"/>
        <v>['Peru','Chile',1,0],</v>
      </c>
    </row>
    <row r="90" spans="1:6" x14ac:dyDescent="0.25">
      <c r="A90" t="s">
        <v>16</v>
      </c>
      <c r="B90" t="s">
        <v>11</v>
      </c>
      <c r="C90">
        <v>0</v>
      </c>
      <c r="D90">
        <v>3</v>
      </c>
      <c r="E90" t="str">
        <f t="shared" si="2"/>
        <v>['Argentina','Uruguay',0,3],</v>
      </c>
      <c r="F90" t="str">
        <f t="shared" si="3"/>
        <v>['Uruguay','Argentina',3,0],</v>
      </c>
    </row>
    <row r="91" spans="1:6" x14ac:dyDescent="0.25">
      <c r="A91" t="s">
        <v>66</v>
      </c>
      <c r="B91" t="s">
        <v>19</v>
      </c>
      <c r="C91">
        <v>2</v>
      </c>
      <c r="D91">
        <v>3</v>
      </c>
      <c r="E91" t="str">
        <f t="shared" si="2"/>
        <v>['Peru','Brazil',2,3],</v>
      </c>
      <c r="F91" t="str">
        <f t="shared" si="3"/>
        <v>['Brazil','Peru',3,2],</v>
      </c>
    </row>
    <row r="92" spans="1:6" x14ac:dyDescent="0.25">
      <c r="A92" t="s">
        <v>16</v>
      </c>
      <c r="B92" t="s">
        <v>10</v>
      </c>
      <c r="C92">
        <v>2</v>
      </c>
      <c r="D92">
        <v>1</v>
      </c>
      <c r="E92" t="str">
        <f t="shared" si="2"/>
        <v>['Argentina','Chile',2,1],</v>
      </c>
      <c r="F92" t="str">
        <f t="shared" si="3"/>
        <v>['Chile','Argentina',1,2],</v>
      </c>
    </row>
    <row r="93" spans="1:6" x14ac:dyDescent="0.25">
      <c r="A93" t="s">
        <v>43</v>
      </c>
      <c r="B93" t="s">
        <v>11</v>
      </c>
      <c r="C93">
        <v>4</v>
      </c>
      <c r="D93">
        <v>2</v>
      </c>
      <c r="E93" t="str">
        <f t="shared" si="2"/>
        <v>['Paraguay','Uruguay',4,2],</v>
      </c>
      <c r="F93" t="str">
        <f t="shared" si="3"/>
        <v>['Uruguay','Paraguay',2,4],</v>
      </c>
    </row>
    <row r="94" spans="1:6" x14ac:dyDescent="0.25">
      <c r="A94" t="s">
        <v>10</v>
      </c>
      <c r="B94" t="s">
        <v>19</v>
      </c>
      <c r="C94">
        <v>4</v>
      </c>
      <c r="D94">
        <v>6</v>
      </c>
      <c r="E94" t="str">
        <f t="shared" si="2"/>
        <v>['Chile','Brazil',4,6],</v>
      </c>
      <c r="F94" t="str">
        <f t="shared" si="3"/>
        <v>['Brazil','Chile',6,4],</v>
      </c>
    </row>
    <row r="95" spans="1:6" x14ac:dyDescent="0.25">
      <c r="A95" t="s">
        <v>66</v>
      </c>
      <c r="B95" t="s">
        <v>11</v>
      </c>
      <c r="C95">
        <v>2</v>
      </c>
      <c r="D95">
        <v>4</v>
      </c>
      <c r="E95" t="str">
        <f t="shared" si="2"/>
        <v>['Peru','Uruguay',2,4],</v>
      </c>
      <c r="F95" t="str">
        <f t="shared" si="3"/>
        <v>['Uruguay','Peru',4,2],</v>
      </c>
    </row>
    <row r="96" spans="1:6" x14ac:dyDescent="0.25">
      <c r="A96" t="s">
        <v>16</v>
      </c>
      <c r="B96" t="s">
        <v>43</v>
      </c>
      <c r="C96">
        <v>6</v>
      </c>
      <c r="D96">
        <v>1</v>
      </c>
      <c r="E96" t="str">
        <f t="shared" si="2"/>
        <v>['Argentina','Paraguay',6,1],</v>
      </c>
      <c r="F96" t="str">
        <f t="shared" si="3"/>
        <v>['Paraguay','Argentina',1,6],</v>
      </c>
    </row>
    <row r="97" spans="1:6" x14ac:dyDescent="0.25">
      <c r="A97" t="s">
        <v>10</v>
      </c>
      <c r="B97" t="s">
        <v>11</v>
      </c>
      <c r="C97">
        <v>3</v>
      </c>
      <c r="D97">
        <v>0</v>
      </c>
      <c r="E97" t="str">
        <f t="shared" si="2"/>
        <v>['Chile','Uruguay',3,0],</v>
      </c>
      <c r="F97" t="str">
        <f t="shared" si="3"/>
        <v>['Uruguay','Chile',0,3],</v>
      </c>
    </row>
    <row r="98" spans="1:6" x14ac:dyDescent="0.25">
      <c r="A98" t="s">
        <v>43</v>
      </c>
      <c r="B98" t="s">
        <v>19</v>
      </c>
      <c r="C98">
        <v>0</v>
      </c>
      <c r="D98">
        <v>5</v>
      </c>
      <c r="E98" t="str">
        <f t="shared" si="2"/>
        <v>['Paraguay','Brazil',0,5],</v>
      </c>
      <c r="F98" t="str">
        <f t="shared" si="3"/>
        <v>['Brazil','Paraguay',5,0],</v>
      </c>
    </row>
    <row r="99" spans="1:6" x14ac:dyDescent="0.25">
      <c r="A99" t="s">
        <v>16</v>
      </c>
      <c r="B99" t="s">
        <v>66</v>
      </c>
      <c r="C99">
        <v>1</v>
      </c>
      <c r="D99">
        <v>0</v>
      </c>
      <c r="E99" t="str">
        <f t="shared" si="2"/>
        <v>['Argentina','Peru',1,0],</v>
      </c>
      <c r="F99" t="str">
        <f t="shared" si="3"/>
        <v>['Peru','Argentina',0,1],</v>
      </c>
    </row>
    <row r="100" spans="1:6" x14ac:dyDescent="0.25">
      <c r="A100" t="s">
        <v>10</v>
      </c>
      <c r="B100" t="s">
        <v>43</v>
      </c>
      <c r="C100">
        <v>2</v>
      </c>
      <c r="D100">
        <v>3</v>
      </c>
      <c r="E100" t="str">
        <f t="shared" si="2"/>
        <v>['Chile','Paraguay',2,3],</v>
      </c>
      <c r="F100" t="str">
        <f t="shared" si="3"/>
        <v>['Paraguay','Chile',3,2],</v>
      </c>
    </row>
    <row r="101" spans="1:6" x14ac:dyDescent="0.25">
      <c r="A101" t="s">
        <v>11</v>
      </c>
      <c r="B101" t="s">
        <v>19</v>
      </c>
      <c r="C101">
        <v>2</v>
      </c>
      <c r="D101">
        <v>3</v>
      </c>
      <c r="E101" t="str">
        <f t="shared" si="2"/>
        <v>['Uruguay','Brazil',2,3],</v>
      </c>
      <c r="F101" t="str">
        <f t="shared" si="3"/>
        <v>['Brazil','Uruguay',3,2],</v>
      </c>
    </row>
    <row r="102" spans="1:6" x14ac:dyDescent="0.25">
      <c r="A102" t="s">
        <v>10</v>
      </c>
      <c r="B102" t="s">
        <v>66</v>
      </c>
      <c r="C102">
        <v>2</v>
      </c>
      <c r="D102">
        <v>2</v>
      </c>
      <c r="E102" t="str">
        <f t="shared" si="2"/>
        <v>['Chile','Peru',2,2],</v>
      </c>
      <c r="F102" t="str">
        <f t="shared" si="3"/>
        <v>['Peru','Chile',2,2],</v>
      </c>
    </row>
    <row r="103" spans="1:6" x14ac:dyDescent="0.25">
      <c r="A103" t="s">
        <v>16</v>
      </c>
      <c r="B103" t="s">
        <v>11</v>
      </c>
      <c r="C103">
        <v>2</v>
      </c>
      <c r="D103">
        <v>3</v>
      </c>
      <c r="E103" t="str">
        <f t="shared" si="2"/>
        <v>['Argentina','Uruguay',2,3],</v>
      </c>
      <c r="F103" t="str">
        <f t="shared" si="3"/>
        <v>['Uruguay','Argentina',3,2],</v>
      </c>
    </row>
    <row r="104" spans="1:6" x14ac:dyDescent="0.25">
      <c r="A104" t="s">
        <v>43</v>
      </c>
      <c r="B104" t="s">
        <v>66</v>
      </c>
      <c r="C104">
        <v>0</v>
      </c>
      <c r="D104">
        <v>1</v>
      </c>
      <c r="E104" t="str">
        <f t="shared" si="2"/>
        <v>['Paraguay','Peru',0,1],</v>
      </c>
      <c r="F104" t="str">
        <f t="shared" si="3"/>
        <v>['Peru','Paraguay',1,0],</v>
      </c>
    </row>
    <row r="105" spans="1:6" x14ac:dyDescent="0.25">
      <c r="A105" t="s">
        <v>16</v>
      </c>
      <c r="B105" t="s">
        <v>19</v>
      </c>
      <c r="C105">
        <v>1</v>
      </c>
      <c r="D105">
        <v>0</v>
      </c>
      <c r="E105" t="str">
        <f t="shared" si="2"/>
        <v>['Argentina','Brazil',1,0],</v>
      </c>
      <c r="F105" t="str">
        <f t="shared" si="3"/>
        <v>['Brazil','Argentina',0,1],</v>
      </c>
    </row>
    <row r="106" spans="1:6" x14ac:dyDescent="0.25">
      <c r="A106" t="s">
        <v>16</v>
      </c>
      <c r="B106" t="s">
        <v>19</v>
      </c>
      <c r="C106">
        <v>2</v>
      </c>
      <c r="D106">
        <v>0</v>
      </c>
      <c r="E106" t="str">
        <f t="shared" si="2"/>
        <v>['Argentina','Brazil',2,0],</v>
      </c>
      <c r="F106" t="str">
        <f t="shared" si="3"/>
        <v>['Brazil','Argentina',0,2],</v>
      </c>
    </row>
    <row r="107" spans="1:6" x14ac:dyDescent="0.25">
      <c r="A107" t="s">
        <v>99</v>
      </c>
      <c r="B107" t="s">
        <v>66</v>
      </c>
      <c r="C107">
        <v>2</v>
      </c>
      <c r="D107">
        <v>5</v>
      </c>
      <c r="E107" t="str">
        <f t="shared" si="2"/>
        <v>['Ecuador','Peru',2,5],</v>
      </c>
      <c r="F107" t="str">
        <f t="shared" si="3"/>
        <v>['Peru','Ecuador',5,2],</v>
      </c>
    </row>
    <row r="108" spans="1:6" x14ac:dyDescent="0.25">
      <c r="A108" t="s">
        <v>10</v>
      </c>
      <c r="B108" t="s">
        <v>43</v>
      </c>
      <c r="C108">
        <v>1</v>
      </c>
      <c r="D108">
        <v>5</v>
      </c>
      <c r="E108" t="str">
        <f t="shared" si="2"/>
        <v>['Chile','Paraguay',1,5],</v>
      </c>
      <c r="F108" t="str">
        <f t="shared" si="3"/>
        <v>['Paraguay','Chile',5,1],</v>
      </c>
    </row>
    <row r="109" spans="1:6" x14ac:dyDescent="0.25">
      <c r="A109" t="s">
        <v>10</v>
      </c>
      <c r="B109" t="s">
        <v>66</v>
      </c>
      <c r="C109">
        <v>1</v>
      </c>
      <c r="D109">
        <v>3</v>
      </c>
      <c r="E109" t="str">
        <f t="shared" si="2"/>
        <v>['Chile','Peru',1,3],</v>
      </c>
      <c r="F109" t="str">
        <f t="shared" si="3"/>
        <v>['Peru','Chile',3,1],</v>
      </c>
    </row>
    <row r="110" spans="1:6" x14ac:dyDescent="0.25">
      <c r="A110" t="s">
        <v>99</v>
      </c>
      <c r="B110" t="s">
        <v>11</v>
      </c>
      <c r="C110">
        <v>0</v>
      </c>
      <c r="D110">
        <v>6</v>
      </c>
      <c r="E110" t="str">
        <f t="shared" si="2"/>
        <v>['Ecuador','Uruguay',0,6],</v>
      </c>
      <c r="F110" t="str">
        <f t="shared" si="3"/>
        <v>['Uruguay','Ecuador',6,0],</v>
      </c>
    </row>
    <row r="111" spans="1:6" x14ac:dyDescent="0.25">
      <c r="A111" t="s">
        <v>10</v>
      </c>
      <c r="B111" t="s">
        <v>11</v>
      </c>
      <c r="C111">
        <v>2</v>
      </c>
      <c r="D111">
        <v>3</v>
      </c>
      <c r="E111" t="str">
        <f t="shared" si="2"/>
        <v>['Chile','Uruguay',2,3],</v>
      </c>
      <c r="F111" t="str">
        <f t="shared" si="3"/>
        <v>['Uruguay','Chile',3,2],</v>
      </c>
    </row>
    <row r="112" spans="1:6" x14ac:dyDescent="0.25">
      <c r="A112" t="s">
        <v>43</v>
      </c>
      <c r="B112" t="s">
        <v>66</v>
      </c>
      <c r="C112">
        <v>0</v>
      </c>
      <c r="D112">
        <v>3</v>
      </c>
      <c r="E112" t="str">
        <f t="shared" si="2"/>
        <v>['Paraguay','Peru',0,3],</v>
      </c>
      <c r="F112" t="str">
        <f t="shared" si="3"/>
        <v>['Peru','Paraguay',3,0],</v>
      </c>
    </row>
    <row r="113" spans="1:6" x14ac:dyDescent="0.25">
      <c r="A113" t="s">
        <v>10</v>
      </c>
      <c r="B113" t="s">
        <v>99</v>
      </c>
      <c r="C113">
        <v>4</v>
      </c>
      <c r="D113">
        <v>1</v>
      </c>
      <c r="E113" t="str">
        <f t="shared" si="2"/>
        <v>['Chile','Ecuador',4,1],</v>
      </c>
      <c r="F113" t="str">
        <f t="shared" si="3"/>
        <v>['Ecuador','Chile',1,4],</v>
      </c>
    </row>
    <row r="114" spans="1:6" x14ac:dyDescent="0.25">
      <c r="A114" t="s">
        <v>43</v>
      </c>
      <c r="B114" t="s">
        <v>11</v>
      </c>
      <c r="C114">
        <v>1</v>
      </c>
      <c r="D114">
        <v>3</v>
      </c>
      <c r="E114" t="str">
        <f t="shared" si="2"/>
        <v>['Paraguay','Uruguay',1,3],</v>
      </c>
      <c r="F114" t="str">
        <f t="shared" si="3"/>
        <v>['Uruguay','Paraguay',3,1],</v>
      </c>
    </row>
    <row r="115" spans="1:6" x14ac:dyDescent="0.25">
      <c r="A115" t="s">
        <v>66</v>
      </c>
      <c r="B115" t="s">
        <v>11</v>
      </c>
      <c r="C115">
        <v>2</v>
      </c>
      <c r="D115">
        <v>1</v>
      </c>
      <c r="E115" t="str">
        <f t="shared" si="2"/>
        <v>['Peru','Uruguay',2,1],</v>
      </c>
      <c r="F115" t="str">
        <f t="shared" si="3"/>
        <v>['Uruguay','Peru',1,2],</v>
      </c>
    </row>
    <row r="116" spans="1:6" x14ac:dyDescent="0.25">
      <c r="A116" t="s">
        <v>99</v>
      </c>
      <c r="B116" t="s">
        <v>43</v>
      </c>
      <c r="C116">
        <v>1</v>
      </c>
      <c r="D116">
        <v>3</v>
      </c>
      <c r="E116" t="str">
        <f t="shared" si="2"/>
        <v>['Ecuador','Paraguay',1,3],</v>
      </c>
      <c r="F116" t="str">
        <f t="shared" si="3"/>
        <v>['Paraguay','Ecuador',3,1],</v>
      </c>
    </row>
    <row r="117" spans="1:6" x14ac:dyDescent="0.25">
      <c r="A117" t="s">
        <v>10</v>
      </c>
      <c r="B117" t="s">
        <v>99</v>
      </c>
      <c r="C117">
        <v>5</v>
      </c>
      <c r="D117">
        <v>0</v>
      </c>
      <c r="E117" t="str">
        <f t="shared" si="2"/>
        <v>['Chile','Ecuador',5,0],</v>
      </c>
      <c r="F117" t="str">
        <f t="shared" si="3"/>
        <v>['Ecuador','Chile',0,5],</v>
      </c>
    </row>
    <row r="118" spans="1:6" x14ac:dyDescent="0.25">
      <c r="A118" t="s">
        <v>99</v>
      </c>
      <c r="B118" t="s">
        <v>11</v>
      </c>
      <c r="C118">
        <v>0</v>
      </c>
      <c r="D118">
        <v>6</v>
      </c>
      <c r="E118" t="str">
        <f t="shared" si="2"/>
        <v>['Ecuador','Uruguay',0,6],</v>
      </c>
      <c r="F118" t="str">
        <f t="shared" si="3"/>
        <v>['Uruguay','Ecuador',6,0],</v>
      </c>
    </row>
    <row r="119" spans="1:6" x14ac:dyDescent="0.25">
      <c r="A119" t="s">
        <v>10</v>
      </c>
      <c r="B119" t="s">
        <v>66</v>
      </c>
      <c r="C119">
        <v>1</v>
      </c>
      <c r="D119">
        <v>0</v>
      </c>
      <c r="E119" t="str">
        <f t="shared" si="2"/>
        <v>['Chile','Peru',1,0],</v>
      </c>
      <c r="F119" t="str">
        <f t="shared" si="3"/>
        <v>['Peru','Chile',0,1],</v>
      </c>
    </row>
    <row r="120" spans="1:6" x14ac:dyDescent="0.25">
      <c r="A120" t="s">
        <v>16</v>
      </c>
      <c r="B120" t="s">
        <v>66</v>
      </c>
      <c r="C120">
        <v>2</v>
      </c>
      <c r="D120">
        <v>1</v>
      </c>
      <c r="E120" t="str">
        <f t="shared" si="2"/>
        <v>['Argentina','Peru',2,1],</v>
      </c>
      <c r="F120" t="str">
        <f t="shared" si="3"/>
        <v>['Peru','Argentina',1,2],</v>
      </c>
    </row>
    <row r="121" spans="1:6" x14ac:dyDescent="0.25">
      <c r="A121" t="s">
        <v>16</v>
      </c>
      <c r="B121" t="s">
        <v>99</v>
      </c>
      <c r="C121">
        <v>6</v>
      </c>
      <c r="D121">
        <v>1</v>
      </c>
      <c r="E121" t="str">
        <f t="shared" si="2"/>
        <v>['Argentina','Ecuador',6,1],</v>
      </c>
      <c r="F121" t="str">
        <f t="shared" si="3"/>
        <v>['Ecuador','Argentina',1,6],</v>
      </c>
    </row>
    <row r="122" spans="1:6" x14ac:dyDescent="0.25">
      <c r="A122" t="s">
        <v>10</v>
      </c>
      <c r="B122" t="s">
        <v>11</v>
      </c>
      <c r="C122">
        <v>0</v>
      </c>
      <c r="D122">
        <v>2</v>
      </c>
      <c r="E122" t="str">
        <f t="shared" si="2"/>
        <v>['Chile','Uruguay',0,2],</v>
      </c>
      <c r="F122" t="str">
        <f t="shared" si="3"/>
        <v>['Uruguay','Chile',2,0],</v>
      </c>
    </row>
    <row r="123" spans="1:6" x14ac:dyDescent="0.25">
      <c r="A123" t="s">
        <v>99</v>
      </c>
      <c r="B123" t="s">
        <v>66</v>
      </c>
      <c r="C123">
        <v>0</v>
      </c>
      <c r="D123">
        <v>4</v>
      </c>
      <c r="E123" t="str">
        <f t="shared" si="2"/>
        <v>['Ecuador','Peru',0,4],</v>
      </c>
      <c r="F123" t="str">
        <f t="shared" si="3"/>
        <v>['Peru','Ecuador',4,0],</v>
      </c>
    </row>
    <row r="124" spans="1:6" x14ac:dyDescent="0.25">
      <c r="A124" t="s">
        <v>16</v>
      </c>
      <c r="B124" t="s">
        <v>11</v>
      </c>
      <c r="C124">
        <v>1</v>
      </c>
      <c r="D124">
        <v>0</v>
      </c>
      <c r="E124" t="str">
        <f t="shared" si="2"/>
        <v>['Argentina','Uruguay',1,0],</v>
      </c>
      <c r="F124" t="str">
        <f t="shared" si="3"/>
        <v>['Uruguay','Argentina',0,1],</v>
      </c>
    </row>
    <row r="125" spans="1:6" x14ac:dyDescent="0.25">
      <c r="A125" t="s">
        <v>66</v>
      </c>
      <c r="B125" t="s">
        <v>11</v>
      </c>
      <c r="C125">
        <v>0</v>
      </c>
      <c r="D125">
        <v>2</v>
      </c>
      <c r="E125" t="str">
        <f t="shared" si="2"/>
        <v>['Peru','Uruguay',0,2],</v>
      </c>
      <c r="F125" t="str">
        <f t="shared" si="3"/>
        <v>['Uruguay','Peru',2,0],</v>
      </c>
    </row>
    <row r="126" spans="1:6" x14ac:dyDescent="0.25">
      <c r="A126" t="s">
        <v>16</v>
      </c>
      <c r="B126" t="s">
        <v>10</v>
      </c>
      <c r="C126">
        <v>1</v>
      </c>
      <c r="D126">
        <v>0</v>
      </c>
      <c r="E126" t="str">
        <f t="shared" si="2"/>
        <v>['Argentina','Chile',1,0],</v>
      </c>
      <c r="F126" t="str">
        <f t="shared" si="3"/>
        <v>['Chile','Argentina',0,1],</v>
      </c>
    </row>
    <row r="127" spans="1:6" x14ac:dyDescent="0.25">
      <c r="A127" t="s">
        <v>10</v>
      </c>
      <c r="B127" t="s">
        <v>11</v>
      </c>
      <c r="C127">
        <v>1</v>
      </c>
      <c r="D127">
        <v>6</v>
      </c>
      <c r="E127" t="str">
        <f t="shared" si="2"/>
        <v>['Chile','Uruguay',1,6],</v>
      </c>
      <c r="F127" t="str">
        <f t="shared" si="3"/>
        <v>['Uruguay','Chile',6,1],</v>
      </c>
    </row>
    <row r="128" spans="1:6" x14ac:dyDescent="0.25">
      <c r="A128" t="s">
        <v>16</v>
      </c>
      <c r="B128" t="s">
        <v>43</v>
      </c>
      <c r="C128">
        <v>4</v>
      </c>
      <c r="D128">
        <v>3</v>
      </c>
      <c r="E128" t="str">
        <f t="shared" si="2"/>
        <v>['Argentina','Paraguay',4,3],</v>
      </c>
      <c r="F128" t="str">
        <f t="shared" si="3"/>
        <v>['Paraguay','Argentina',3,4],</v>
      </c>
    </row>
    <row r="129" spans="1:6" x14ac:dyDescent="0.25">
      <c r="A129" t="s">
        <v>10</v>
      </c>
      <c r="B129" t="s">
        <v>19</v>
      </c>
      <c r="C129">
        <v>1</v>
      </c>
      <c r="D129">
        <v>6</v>
      </c>
      <c r="E129" t="str">
        <f t="shared" si="2"/>
        <v>['Chile','Brazil',1,6],</v>
      </c>
      <c r="F129" t="str">
        <f t="shared" si="3"/>
        <v>['Brazil','Chile',6,1],</v>
      </c>
    </row>
    <row r="130" spans="1:6" x14ac:dyDescent="0.25">
      <c r="A130" t="s">
        <v>16</v>
      </c>
      <c r="B130" t="s">
        <v>19</v>
      </c>
      <c r="C130">
        <v>2</v>
      </c>
      <c r="D130">
        <v>1</v>
      </c>
      <c r="E130" t="str">
        <f t="shared" si="2"/>
        <v>['Argentina','Brazil',2,1],</v>
      </c>
      <c r="F130" t="str">
        <f t="shared" si="3"/>
        <v>['Brazil','Argentina',1,2],</v>
      </c>
    </row>
    <row r="131" spans="1:6" x14ac:dyDescent="0.25">
      <c r="A131" t="s">
        <v>43</v>
      </c>
      <c r="B131" t="s">
        <v>66</v>
      </c>
      <c r="C131">
        <v>1</v>
      </c>
      <c r="D131">
        <v>1</v>
      </c>
      <c r="E131" t="str">
        <f t="shared" ref="E131:E194" si="4">"['"&amp;A131&amp;"','"&amp;B131&amp;"',"&amp;C131&amp;","&amp;D131&amp;"],"</f>
        <v>['Paraguay','Peru',1,1],</v>
      </c>
      <c r="F131" t="str">
        <f t="shared" ref="F131:F194" si="5">"['"&amp;B131&amp;"','"&amp;A131&amp;"',"&amp;D131&amp;","&amp;C131&amp;"],"</f>
        <v>['Peru','Paraguay',1,1],</v>
      </c>
    </row>
    <row r="132" spans="1:6" x14ac:dyDescent="0.25">
      <c r="A132" t="s">
        <v>99</v>
      </c>
      <c r="B132" t="s">
        <v>11</v>
      </c>
      <c r="C132">
        <v>0</v>
      </c>
      <c r="D132">
        <v>7</v>
      </c>
      <c r="E132" t="str">
        <f t="shared" si="4"/>
        <v>['Ecuador','Uruguay',0,7],</v>
      </c>
      <c r="F132" t="str">
        <f t="shared" si="5"/>
        <v>['Uruguay','Ecuador',7,0],</v>
      </c>
    </row>
    <row r="133" spans="1:6" x14ac:dyDescent="0.25">
      <c r="A133" t="s">
        <v>66</v>
      </c>
      <c r="B133" t="s">
        <v>19</v>
      </c>
      <c r="C133">
        <v>1</v>
      </c>
      <c r="D133">
        <v>2</v>
      </c>
      <c r="E133" t="str">
        <f t="shared" si="4"/>
        <v>['Peru','Brazil',1,2],</v>
      </c>
      <c r="F133" t="str">
        <f t="shared" si="5"/>
        <v>['Brazil','Peru',2,1],</v>
      </c>
    </row>
    <row r="134" spans="1:6" x14ac:dyDescent="0.25">
      <c r="A134" t="s">
        <v>10</v>
      </c>
      <c r="B134" t="s">
        <v>43</v>
      </c>
      <c r="C134">
        <v>0</v>
      </c>
      <c r="D134">
        <v>2</v>
      </c>
      <c r="E134" t="str">
        <f t="shared" si="4"/>
        <v>['Chile','Paraguay',0,2],</v>
      </c>
      <c r="F134" t="str">
        <f t="shared" si="5"/>
        <v>['Paraguay','Chile',2,0],</v>
      </c>
    </row>
    <row r="135" spans="1:6" x14ac:dyDescent="0.25">
      <c r="A135" t="s">
        <v>16</v>
      </c>
      <c r="B135" t="s">
        <v>99</v>
      </c>
      <c r="C135">
        <v>12</v>
      </c>
      <c r="D135">
        <v>0</v>
      </c>
      <c r="E135" t="str">
        <f t="shared" si="4"/>
        <v>['Argentina','Ecuador',12,0],</v>
      </c>
      <c r="F135" t="str">
        <f t="shared" si="5"/>
        <v>['Ecuador','Argentina',0,12],</v>
      </c>
    </row>
    <row r="136" spans="1:6" x14ac:dyDescent="0.25">
      <c r="A136" t="s">
        <v>11</v>
      </c>
      <c r="B136" t="s">
        <v>19</v>
      </c>
      <c r="C136">
        <v>1</v>
      </c>
      <c r="D136">
        <v>0</v>
      </c>
      <c r="E136" t="str">
        <f t="shared" si="4"/>
        <v>['Uruguay','Brazil',1,0],</v>
      </c>
      <c r="F136" t="str">
        <f t="shared" si="5"/>
        <v>['Brazil','Uruguay',0,1],</v>
      </c>
    </row>
    <row r="137" spans="1:6" x14ac:dyDescent="0.25">
      <c r="A137" t="s">
        <v>99</v>
      </c>
      <c r="B137" t="s">
        <v>43</v>
      </c>
      <c r="C137">
        <v>1</v>
      </c>
      <c r="D137">
        <v>3</v>
      </c>
      <c r="E137" t="str">
        <f t="shared" si="4"/>
        <v>['Ecuador','Paraguay',1,3],</v>
      </c>
      <c r="F137" t="str">
        <f t="shared" si="5"/>
        <v>['Paraguay','Ecuador',3,1],</v>
      </c>
    </row>
    <row r="138" spans="1:6" x14ac:dyDescent="0.25">
      <c r="A138" t="s">
        <v>16</v>
      </c>
      <c r="B138" t="s">
        <v>66</v>
      </c>
      <c r="C138">
        <v>3</v>
      </c>
      <c r="D138">
        <v>1</v>
      </c>
      <c r="E138" t="str">
        <f t="shared" si="4"/>
        <v>['Argentina','Peru',3,1],</v>
      </c>
      <c r="F138" t="str">
        <f t="shared" si="5"/>
        <v>['Peru','Argentina',1,3],</v>
      </c>
    </row>
    <row r="139" spans="1:6" x14ac:dyDescent="0.25">
      <c r="A139" t="s">
        <v>43</v>
      </c>
      <c r="B139" t="s">
        <v>11</v>
      </c>
      <c r="C139">
        <v>1</v>
      </c>
      <c r="D139">
        <v>3</v>
      </c>
      <c r="E139" t="str">
        <f t="shared" si="4"/>
        <v>['Paraguay','Uruguay',1,3],</v>
      </c>
      <c r="F139" t="str">
        <f t="shared" si="5"/>
        <v>['Uruguay','Paraguay',3,1],</v>
      </c>
    </row>
    <row r="140" spans="1:6" x14ac:dyDescent="0.25">
      <c r="A140" t="s">
        <v>99</v>
      </c>
      <c r="B140" t="s">
        <v>66</v>
      </c>
      <c r="C140">
        <v>1</v>
      </c>
      <c r="D140">
        <v>2</v>
      </c>
      <c r="E140" t="str">
        <f t="shared" si="4"/>
        <v>['Ecuador','Peru',1,2],</v>
      </c>
      <c r="F140" t="str">
        <f t="shared" si="5"/>
        <v>['Peru','Ecuador',2,1],</v>
      </c>
    </row>
    <row r="141" spans="1:6" x14ac:dyDescent="0.25">
      <c r="A141" t="s">
        <v>16</v>
      </c>
      <c r="B141" t="s">
        <v>10</v>
      </c>
      <c r="C141">
        <v>0</v>
      </c>
      <c r="D141">
        <v>0</v>
      </c>
      <c r="E141" t="str">
        <f t="shared" si="4"/>
        <v>['Argentina','Chile',0,0],</v>
      </c>
      <c r="F141" t="str">
        <f t="shared" si="5"/>
        <v>['Chile','Argentina',0,0],</v>
      </c>
    </row>
    <row r="142" spans="1:6" x14ac:dyDescent="0.25">
      <c r="A142" t="s">
        <v>99</v>
      </c>
      <c r="B142" t="s">
        <v>19</v>
      </c>
      <c r="C142">
        <v>1</v>
      </c>
      <c r="D142">
        <v>5</v>
      </c>
      <c r="E142" t="str">
        <f t="shared" si="4"/>
        <v>['Ecuador','Brazil',1,5],</v>
      </c>
      <c r="F142" t="str">
        <f t="shared" si="5"/>
        <v>['Brazil','Ecuador',5,1],</v>
      </c>
    </row>
    <row r="143" spans="1:6" x14ac:dyDescent="0.25">
      <c r="A143" t="s">
        <v>66</v>
      </c>
      <c r="B143" t="s">
        <v>11</v>
      </c>
      <c r="C143">
        <v>0</v>
      </c>
      <c r="D143">
        <v>3</v>
      </c>
      <c r="E143" t="str">
        <f t="shared" si="4"/>
        <v>['Peru','Uruguay',0,3],</v>
      </c>
      <c r="F143" t="str">
        <f t="shared" si="5"/>
        <v>['Uruguay','Peru',3,0],</v>
      </c>
    </row>
    <row r="144" spans="1:6" x14ac:dyDescent="0.25">
      <c r="A144" t="s">
        <v>43</v>
      </c>
      <c r="B144" t="s">
        <v>19</v>
      </c>
      <c r="C144">
        <v>1</v>
      </c>
      <c r="D144">
        <v>1</v>
      </c>
      <c r="E144" t="str">
        <f t="shared" si="4"/>
        <v>['Paraguay','Brazil',1,1],</v>
      </c>
      <c r="F144" t="str">
        <f t="shared" si="5"/>
        <v>['Brazil','Paraguay',1,1],</v>
      </c>
    </row>
    <row r="145" spans="1:6" x14ac:dyDescent="0.25">
      <c r="A145" t="s">
        <v>10</v>
      </c>
      <c r="B145" t="s">
        <v>99</v>
      </c>
      <c r="C145">
        <v>2</v>
      </c>
      <c r="D145">
        <v>1</v>
      </c>
      <c r="E145" t="str">
        <f t="shared" si="4"/>
        <v>['Chile','Ecuador',2,1],</v>
      </c>
      <c r="F145" t="str">
        <f t="shared" si="5"/>
        <v>['Ecuador','Chile',1,2],</v>
      </c>
    </row>
    <row r="146" spans="1:6" x14ac:dyDescent="0.25">
      <c r="A146" t="s">
        <v>16</v>
      </c>
      <c r="B146" t="s">
        <v>11</v>
      </c>
      <c r="C146">
        <v>0</v>
      </c>
      <c r="D146">
        <v>1</v>
      </c>
      <c r="E146" t="str">
        <f t="shared" si="4"/>
        <v>['Argentina','Uruguay',0,1],</v>
      </c>
      <c r="F146" t="str">
        <f t="shared" si="5"/>
        <v>['Uruguay','Argentina',1,0],</v>
      </c>
    </row>
    <row r="147" spans="1:6" x14ac:dyDescent="0.25">
      <c r="A147" t="s">
        <v>10</v>
      </c>
      <c r="B147" t="s">
        <v>66</v>
      </c>
      <c r="C147">
        <v>0</v>
      </c>
      <c r="D147">
        <v>0</v>
      </c>
      <c r="E147" t="str">
        <f t="shared" si="4"/>
        <v>['Chile','Peru',0,0],</v>
      </c>
      <c r="F147" t="str">
        <f t="shared" si="5"/>
        <v>['Peru','Chile',0,0],</v>
      </c>
    </row>
    <row r="148" spans="1:6" x14ac:dyDescent="0.25">
      <c r="A148" t="s">
        <v>10</v>
      </c>
      <c r="B148" t="s">
        <v>99</v>
      </c>
      <c r="C148">
        <v>6</v>
      </c>
      <c r="D148">
        <v>3</v>
      </c>
      <c r="E148" t="str">
        <f t="shared" si="4"/>
        <v>['Chile','Ecuador',6,3],</v>
      </c>
      <c r="F148" t="str">
        <f t="shared" si="5"/>
        <v>['Ecuador','Chile',3,6],</v>
      </c>
    </row>
    <row r="149" spans="1:6" x14ac:dyDescent="0.25">
      <c r="A149" t="s">
        <v>16</v>
      </c>
      <c r="B149" t="s">
        <v>56</v>
      </c>
      <c r="C149">
        <v>4</v>
      </c>
      <c r="D149">
        <v>0</v>
      </c>
      <c r="E149" t="str">
        <f t="shared" si="4"/>
        <v>['Argentina','Bolivia',4,0],</v>
      </c>
      <c r="F149" t="str">
        <f t="shared" si="5"/>
        <v>['Bolivia','Argentina',0,4],</v>
      </c>
    </row>
    <row r="150" spans="1:6" x14ac:dyDescent="0.25">
      <c r="A150" t="s">
        <v>125</v>
      </c>
      <c r="B150" t="s">
        <v>19</v>
      </c>
      <c r="C150">
        <v>0</v>
      </c>
      <c r="D150">
        <v>3</v>
      </c>
      <c r="E150" t="str">
        <f t="shared" si="4"/>
        <v>['Colombia','Brazil',0,3],</v>
      </c>
      <c r="F150" t="str">
        <f t="shared" si="5"/>
        <v>['Brazil','Colombia',3,0],</v>
      </c>
    </row>
    <row r="151" spans="1:6" x14ac:dyDescent="0.25">
      <c r="A151" t="s">
        <v>99</v>
      </c>
      <c r="B151" t="s">
        <v>11</v>
      </c>
      <c r="C151">
        <v>1</v>
      </c>
      <c r="D151">
        <v>5</v>
      </c>
      <c r="E151" t="str">
        <f t="shared" si="4"/>
        <v>['Ecuador','Uruguay',1,5],</v>
      </c>
      <c r="F151" t="str">
        <f t="shared" si="5"/>
        <v>['Uruguay','Ecuador',5,1],</v>
      </c>
    </row>
    <row r="152" spans="1:6" x14ac:dyDescent="0.25">
      <c r="A152" t="s">
        <v>56</v>
      </c>
      <c r="B152" t="s">
        <v>10</v>
      </c>
      <c r="C152">
        <v>0</v>
      </c>
      <c r="D152">
        <v>5</v>
      </c>
      <c r="E152" t="str">
        <f t="shared" si="4"/>
        <v>['Bolivia','Chile',0,5],</v>
      </c>
      <c r="F152" t="str">
        <f t="shared" si="5"/>
        <v>['Chile','Bolivia',5,0],</v>
      </c>
    </row>
    <row r="153" spans="1:6" x14ac:dyDescent="0.25">
      <c r="A153" t="s">
        <v>125</v>
      </c>
      <c r="B153" t="s">
        <v>11</v>
      </c>
      <c r="C153">
        <v>0</v>
      </c>
      <c r="D153">
        <v>7</v>
      </c>
      <c r="E153" t="str">
        <f t="shared" si="4"/>
        <v>['Colombia','Uruguay',0,7],</v>
      </c>
      <c r="F153" t="str">
        <f t="shared" si="5"/>
        <v>['Uruguay','Colombia',7,0],</v>
      </c>
    </row>
    <row r="154" spans="1:6" x14ac:dyDescent="0.25">
      <c r="A154" t="s">
        <v>56</v>
      </c>
      <c r="B154" t="s">
        <v>19</v>
      </c>
      <c r="C154">
        <v>0</v>
      </c>
      <c r="D154">
        <v>2</v>
      </c>
      <c r="E154" t="str">
        <f t="shared" si="4"/>
        <v>['Bolivia','Brazil',0,2],</v>
      </c>
      <c r="F154" t="str">
        <f t="shared" si="5"/>
        <v>['Brazil','Bolivia',2,0],</v>
      </c>
    </row>
    <row r="155" spans="1:6" x14ac:dyDescent="0.25">
      <c r="A155" t="s">
        <v>16</v>
      </c>
      <c r="B155" t="s">
        <v>99</v>
      </c>
      <c r="C155">
        <v>4</v>
      </c>
      <c r="D155">
        <v>2</v>
      </c>
      <c r="E155" t="str">
        <f t="shared" si="4"/>
        <v>['Argentina','Ecuador',4,2],</v>
      </c>
      <c r="F155" t="str">
        <f t="shared" si="5"/>
        <v>['Ecuador','Argentina',2,4],</v>
      </c>
    </row>
    <row r="156" spans="1:6" x14ac:dyDescent="0.25">
      <c r="A156" t="s">
        <v>10</v>
      </c>
      <c r="B156" t="s">
        <v>125</v>
      </c>
      <c r="C156">
        <v>2</v>
      </c>
      <c r="D156">
        <v>0</v>
      </c>
      <c r="E156" t="str">
        <f t="shared" si="4"/>
        <v>['Chile','Colombia',2,0],</v>
      </c>
      <c r="F156" t="str">
        <f t="shared" si="5"/>
        <v>['Colombia','Chile',0,2],</v>
      </c>
    </row>
    <row r="157" spans="1:6" x14ac:dyDescent="0.25">
      <c r="A157" t="s">
        <v>16</v>
      </c>
      <c r="B157" t="s">
        <v>125</v>
      </c>
      <c r="C157">
        <v>9</v>
      </c>
      <c r="D157">
        <v>1</v>
      </c>
      <c r="E157" t="str">
        <f t="shared" si="4"/>
        <v>['Argentina','Colombia',9,1],</v>
      </c>
      <c r="F157" t="str">
        <f t="shared" si="5"/>
        <v>['Colombia','Argentina',1,9],</v>
      </c>
    </row>
    <row r="158" spans="1:6" x14ac:dyDescent="0.25">
      <c r="A158" t="s">
        <v>11</v>
      </c>
      <c r="B158" t="s">
        <v>19</v>
      </c>
      <c r="C158">
        <v>0</v>
      </c>
      <c r="D158">
        <v>3</v>
      </c>
      <c r="E158" t="str">
        <f t="shared" si="4"/>
        <v>['Uruguay','Brazil',0,3],</v>
      </c>
      <c r="F158" t="str">
        <f t="shared" si="5"/>
        <v>['Brazil','Uruguay',3,0],</v>
      </c>
    </row>
    <row r="159" spans="1:6" x14ac:dyDescent="0.25">
      <c r="A159" t="s">
        <v>56</v>
      </c>
      <c r="B159" t="s">
        <v>99</v>
      </c>
      <c r="C159">
        <v>0</v>
      </c>
      <c r="D159">
        <v>0</v>
      </c>
      <c r="E159" t="str">
        <f t="shared" si="4"/>
        <v>['Bolivia','Ecuador',0,0],</v>
      </c>
      <c r="F159" t="str">
        <f t="shared" si="5"/>
        <v>['Ecuador','Bolivia',0,0],</v>
      </c>
    </row>
    <row r="160" spans="1:6" x14ac:dyDescent="0.25">
      <c r="A160" t="s">
        <v>16</v>
      </c>
      <c r="B160" t="s">
        <v>10</v>
      </c>
      <c r="C160">
        <v>1</v>
      </c>
      <c r="D160">
        <v>1</v>
      </c>
      <c r="E160" t="str">
        <f t="shared" si="4"/>
        <v>['Argentina','Chile',1,1],</v>
      </c>
      <c r="F160" t="str">
        <f t="shared" si="5"/>
        <v>['Chile','Argentina',1,1],</v>
      </c>
    </row>
    <row r="161" spans="1:6" x14ac:dyDescent="0.25">
      <c r="A161" t="s">
        <v>16</v>
      </c>
      <c r="B161" t="s">
        <v>19</v>
      </c>
      <c r="C161">
        <v>3</v>
      </c>
      <c r="D161">
        <v>1</v>
      </c>
      <c r="E161" t="str">
        <f t="shared" si="4"/>
        <v>['Argentina','Brazil',3,1],</v>
      </c>
      <c r="F161" t="str">
        <f t="shared" si="5"/>
        <v>['Brazil','Argentina',1,3],</v>
      </c>
    </row>
    <row r="162" spans="1:6" x14ac:dyDescent="0.25">
      <c r="A162" t="s">
        <v>56</v>
      </c>
      <c r="B162" t="s">
        <v>11</v>
      </c>
      <c r="C162">
        <v>0</v>
      </c>
      <c r="D162">
        <v>2</v>
      </c>
      <c r="E162" t="str">
        <f t="shared" si="4"/>
        <v>['Bolivia','Uruguay',0,2],</v>
      </c>
      <c r="F162" t="str">
        <f t="shared" si="5"/>
        <v>['Uruguay','Bolivia',2,0],</v>
      </c>
    </row>
    <row r="163" spans="1:6" x14ac:dyDescent="0.25">
      <c r="A163" t="s">
        <v>125</v>
      </c>
      <c r="B163" t="s">
        <v>99</v>
      </c>
      <c r="C163">
        <v>3</v>
      </c>
      <c r="D163">
        <v>1</v>
      </c>
      <c r="E163" t="str">
        <f t="shared" si="4"/>
        <v>['Colombia','Ecuador',3,1],</v>
      </c>
      <c r="F163" t="str">
        <f t="shared" si="5"/>
        <v>['Ecuador','Colombia',1,3],</v>
      </c>
    </row>
    <row r="164" spans="1:6" x14ac:dyDescent="0.25">
      <c r="A164" t="s">
        <v>10</v>
      </c>
      <c r="B164" t="s">
        <v>11</v>
      </c>
      <c r="C164">
        <v>1</v>
      </c>
      <c r="D164">
        <v>0</v>
      </c>
      <c r="E164" t="str">
        <f t="shared" si="4"/>
        <v>['Chile','Uruguay',1,0],</v>
      </c>
      <c r="F164" t="str">
        <f t="shared" si="5"/>
        <v>['Uruguay','Chile',0,1],</v>
      </c>
    </row>
    <row r="165" spans="1:6" x14ac:dyDescent="0.25">
      <c r="A165" t="s">
        <v>56</v>
      </c>
      <c r="B165" t="s">
        <v>125</v>
      </c>
      <c r="C165">
        <v>3</v>
      </c>
      <c r="D165">
        <v>3</v>
      </c>
      <c r="E165" t="str">
        <f t="shared" si="4"/>
        <v>['Bolivia','Colombia',3,3],</v>
      </c>
      <c r="F165" t="str">
        <f t="shared" si="5"/>
        <v>['Colombia','Bolivia',3,3],</v>
      </c>
    </row>
    <row r="166" spans="1:6" x14ac:dyDescent="0.25">
      <c r="A166" t="s">
        <v>99</v>
      </c>
      <c r="B166" t="s">
        <v>19</v>
      </c>
      <c r="C166">
        <v>2</v>
      </c>
      <c r="D166">
        <v>9</v>
      </c>
      <c r="E166" t="str">
        <f t="shared" si="4"/>
        <v>['Ecuador','Brazil',2,9],</v>
      </c>
      <c r="F166" t="str">
        <f t="shared" si="5"/>
        <v>['Brazil','Ecuador',9,2],</v>
      </c>
    </row>
    <row r="167" spans="1:6" x14ac:dyDescent="0.25">
      <c r="A167" t="s">
        <v>16</v>
      </c>
      <c r="B167" t="s">
        <v>11</v>
      </c>
      <c r="C167">
        <v>1</v>
      </c>
      <c r="D167">
        <v>0</v>
      </c>
      <c r="E167" t="str">
        <f t="shared" si="4"/>
        <v>['Argentina','Uruguay',1,0],</v>
      </c>
      <c r="F167" t="str">
        <f t="shared" si="5"/>
        <v>['Uruguay','Argentina',0,1],</v>
      </c>
    </row>
    <row r="168" spans="1:6" x14ac:dyDescent="0.25">
      <c r="A168" t="s">
        <v>10</v>
      </c>
      <c r="B168" t="s">
        <v>19</v>
      </c>
      <c r="C168">
        <v>0</v>
      </c>
      <c r="D168">
        <v>1</v>
      </c>
      <c r="E168" t="str">
        <f t="shared" si="4"/>
        <v>['Chile','Brazil',0,1],</v>
      </c>
      <c r="F168" t="str">
        <f t="shared" si="5"/>
        <v>['Brazil','Chile',1,0],</v>
      </c>
    </row>
    <row r="169" spans="1:6" x14ac:dyDescent="0.25">
      <c r="A169" t="s">
        <v>16</v>
      </c>
      <c r="B169" t="s">
        <v>43</v>
      </c>
      <c r="C169">
        <v>2</v>
      </c>
      <c r="D169">
        <v>0</v>
      </c>
      <c r="E169" t="str">
        <f t="shared" si="4"/>
        <v>['Argentina','Paraguay',2,0],</v>
      </c>
      <c r="F169" t="str">
        <f t="shared" si="5"/>
        <v>['Paraguay','Argentina',0,2],</v>
      </c>
    </row>
    <row r="170" spans="1:6" x14ac:dyDescent="0.25">
      <c r="A170" t="s">
        <v>56</v>
      </c>
      <c r="B170" t="s">
        <v>19</v>
      </c>
      <c r="C170">
        <v>0</v>
      </c>
      <c r="D170">
        <v>3</v>
      </c>
      <c r="E170" t="str">
        <f t="shared" si="4"/>
        <v>['Bolivia','Brazil',0,3],</v>
      </c>
      <c r="F170" t="str">
        <f t="shared" si="5"/>
        <v>['Brazil','Bolivia',3,0],</v>
      </c>
    </row>
    <row r="171" spans="1:6" x14ac:dyDescent="0.25">
      <c r="A171" t="s">
        <v>10</v>
      </c>
      <c r="B171" t="s">
        <v>11</v>
      </c>
      <c r="C171">
        <v>0</v>
      </c>
      <c r="D171">
        <v>1</v>
      </c>
      <c r="E171" t="str">
        <f t="shared" si="4"/>
        <v>['Chile','Uruguay',0,1],</v>
      </c>
      <c r="F171" t="str">
        <f t="shared" si="5"/>
        <v>['Uruguay','Chile',1,0],</v>
      </c>
    </row>
    <row r="172" spans="1:6" x14ac:dyDescent="0.25">
      <c r="A172" t="s">
        <v>16</v>
      </c>
      <c r="B172" t="s">
        <v>56</v>
      </c>
      <c r="C172">
        <v>7</v>
      </c>
      <c r="D172">
        <v>1</v>
      </c>
      <c r="E172" t="str">
        <f t="shared" si="4"/>
        <v>['Argentina','Bolivia',7,1],</v>
      </c>
      <c r="F172" t="str">
        <f t="shared" si="5"/>
        <v>['Bolivia','Argentina',1,7],</v>
      </c>
    </row>
    <row r="173" spans="1:6" x14ac:dyDescent="0.25">
      <c r="A173" t="s">
        <v>10</v>
      </c>
      <c r="B173" t="s">
        <v>43</v>
      </c>
      <c r="C173">
        <v>2</v>
      </c>
      <c r="D173">
        <v>1</v>
      </c>
      <c r="E173" t="str">
        <f t="shared" si="4"/>
        <v>['Chile','Paraguay',2,1],</v>
      </c>
      <c r="F173" t="str">
        <f t="shared" si="5"/>
        <v>['Paraguay','Chile',1,2],</v>
      </c>
    </row>
    <row r="174" spans="1:6" x14ac:dyDescent="0.25">
      <c r="A174" t="s">
        <v>11</v>
      </c>
      <c r="B174" t="s">
        <v>19</v>
      </c>
      <c r="C174">
        <v>3</v>
      </c>
      <c r="D174">
        <v>4</v>
      </c>
      <c r="E174" t="str">
        <f t="shared" si="4"/>
        <v>['Uruguay','Brazil',3,4],</v>
      </c>
      <c r="F174" t="str">
        <f t="shared" si="5"/>
        <v>['Brazil','Uruguay',4,3],</v>
      </c>
    </row>
    <row r="175" spans="1:6" x14ac:dyDescent="0.25">
      <c r="A175" t="s">
        <v>16</v>
      </c>
      <c r="B175" t="s">
        <v>10</v>
      </c>
      <c r="C175">
        <v>3</v>
      </c>
      <c r="D175">
        <v>1</v>
      </c>
      <c r="E175" t="str">
        <f t="shared" si="4"/>
        <v>['Argentina','Chile',3,1],</v>
      </c>
      <c r="F175" t="str">
        <f t="shared" si="5"/>
        <v>['Chile','Argentina',1,3],</v>
      </c>
    </row>
    <row r="176" spans="1:6" x14ac:dyDescent="0.25">
      <c r="A176" t="s">
        <v>56</v>
      </c>
      <c r="B176" t="s">
        <v>43</v>
      </c>
      <c r="C176">
        <v>2</v>
      </c>
      <c r="D176">
        <v>4</v>
      </c>
      <c r="E176" t="str">
        <f t="shared" si="4"/>
        <v>['Bolivia','Paraguay',2,4],</v>
      </c>
      <c r="F176" t="str">
        <f t="shared" si="5"/>
        <v>['Paraguay','Bolivia',4,2],</v>
      </c>
    </row>
    <row r="177" spans="1:6" x14ac:dyDescent="0.25">
      <c r="A177" t="s">
        <v>56</v>
      </c>
      <c r="B177" t="s">
        <v>11</v>
      </c>
      <c r="C177">
        <v>0</v>
      </c>
      <c r="D177">
        <v>5</v>
      </c>
      <c r="E177" t="str">
        <f t="shared" si="4"/>
        <v>['Bolivia','Uruguay',0,5],</v>
      </c>
      <c r="F177" t="str">
        <f t="shared" si="5"/>
        <v>['Uruguay','Bolivia',5,0],</v>
      </c>
    </row>
    <row r="178" spans="1:6" x14ac:dyDescent="0.25">
      <c r="A178" t="s">
        <v>43</v>
      </c>
      <c r="B178" t="s">
        <v>19</v>
      </c>
      <c r="C178">
        <v>1</v>
      </c>
      <c r="D178">
        <v>1</v>
      </c>
      <c r="E178" t="str">
        <f t="shared" si="4"/>
        <v>['Paraguay','Brazil',1,1],</v>
      </c>
      <c r="F178" t="str">
        <f t="shared" si="5"/>
        <v>['Brazil','Paraguay',1,1],</v>
      </c>
    </row>
    <row r="179" spans="1:6" x14ac:dyDescent="0.25">
      <c r="A179" t="s">
        <v>16</v>
      </c>
      <c r="B179" t="s">
        <v>11</v>
      </c>
      <c r="C179">
        <v>3</v>
      </c>
      <c r="D179">
        <v>1</v>
      </c>
      <c r="E179" t="str">
        <f t="shared" si="4"/>
        <v>['Argentina','Uruguay',3,1],</v>
      </c>
      <c r="F179" t="str">
        <f t="shared" si="5"/>
        <v>['Uruguay','Argentina',1,3],</v>
      </c>
    </row>
    <row r="180" spans="1:6" x14ac:dyDescent="0.25">
      <c r="A180" t="s">
        <v>10</v>
      </c>
      <c r="B180" t="s">
        <v>19</v>
      </c>
      <c r="C180">
        <v>1</v>
      </c>
      <c r="D180">
        <v>5</v>
      </c>
      <c r="E180" t="str">
        <f t="shared" si="4"/>
        <v>['Chile','Brazil',1,5],</v>
      </c>
      <c r="F180" t="str">
        <f t="shared" si="5"/>
        <v>['Brazil','Chile',5,1],</v>
      </c>
    </row>
    <row r="181" spans="1:6" x14ac:dyDescent="0.25">
      <c r="A181" t="s">
        <v>56</v>
      </c>
      <c r="B181" t="s">
        <v>10</v>
      </c>
      <c r="C181">
        <v>1</v>
      </c>
      <c r="D181">
        <v>4</v>
      </c>
      <c r="E181" t="str">
        <f t="shared" si="4"/>
        <v>['Bolivia','Chile',1,4],</v>
      </c>
      <c r="F181" t="str">
        <f t="shared" si="5"/>
        <v>['Chile','Bolivia',4,1],</v>
      </c>
    </row>
    <row r="182" spans="1:6" x14ac:dyDescent="0.25">
      <c r="A182" t="s">
        <v>43</v>
      </c>
      <c r="B182" t="s">
        <v>11</v>
      </c>
      <c r="C182">
        <v>2</v>
      </c>
      <c r="D182">
        <v>1</v>
      </c>
      <c r="E182" t="str">
        <f t="shared" si="4"/>
        <v>['Paraguay','Uruguay',2,1],</v>
      </c>
      <c r="F182" t="str">
        <f t="shared" si="5"/>
        <v>['Uruguay','Paraguay',1,2],</v>
      </c>
    </row>
    <row r="183" spans="1:6" x14ac:dyDescent="0.25">
      <c r="A183" t="s">
        <v>16</v>
      </c>
      <c r="B183" t="s">
        <v>19</v>
      </c>
      <c r="C183">
        <v>2</v>
      </c>
      <c r="D183">
        <v>0</v>
      </c>
      <c r="E183" t="str">
        <f t="shared" si="4"/>
        <v>['Argentina','Brazil',2,0],</v>
      </c>
      <c r="F183" t="str">
        <f t="shared" si="5"/>
        <v>['Brazil','Argentina',0,2],</v>
      </c>
    </row>
    <row r="184" spans="1:6" x14ac:dyDescent="0.25">
      <c r="A184" t="s">
        <v>56</v>
      </c>
      <c r="B184" t="s">
        <v>99</v>
      </c>
      <c r="C184">
        <v>2</v>
      </c>
      <c r="D184">
        <v>2</v>
      </c>
      <c r="E184" t="str">
        <f t="shared" si="4"/>
        <v>['Bolivia','Ecuador',2,2],</v>
      </c>
      <c r="F184" t="str">
        <f t="shared" si="5"/>
        <v>['Ecuador','Bolivia',2,2],</v>
      </c>
    </row>
    <row r="185" spans="1:6" x14ac:dyDescent="0.25">
      <c r="A185" t="s">
        <v>16</v>
      </c>
      <c r="B185" t="s">
        <v>43</v>
      </c>
      <c r="C185">
        <v>6</v>
      </c>
      <c r="D185">
        <v>0</v>
      </c>
      <c r="E185" t="str">
        <f t="shared" si="4"/>
        <v>['Argentina','Paraguay',6,0],</v>
      </c>
      <c r="F185" t="str">
        <f t="shared" si="5"/>
        <v>['Paraguay','Argentina',0,6],</v>
      </c>
    </row>
    <row r="186" spans="1:6" x14ac:dyDescent="0.25">
      <c r="A186" t="s">
        <v>125</v>
      </c>
      <c r="B186" t="s">
        <v>11</v>
      </c>
      <c r="C186">
        <v>0</v>
      </c>
      <c r="D186">
        <v>2</v>
      </c>
      <c r="E186" t="str">
        <f t="shared" si="4"/>
        <v>['Colombia','Uruguay',0,2],</v>
      </c>
      <c r="F186" t="str">
        <f t="shared" si="5"/>
        <v>['Uruguay','Colombia',2,0],</v>
      </c>
    </row>
    <row r="187" spans="1:6" x14ac:dyDescent="0.25">
      <c r="A187" t="s">
        <v>125</v>
      </c>
      <c r="B187" t="s">
        <v>99</v>
      </c>
      <c r="C187">
        <v>0</v>
      </c>
      <c r="D187">
        <v>0</v>
      </c>
      <c r="E187" t="str">
        <f t="shared" si="4"/>
        <v>['Colombia','Ecuador',0,0],</v>
      </c>
      <c r="F187" t="str">
        <f t="shared" si="5"/>
        <v>['Ecuador','Colombia',0,0],</v>
      </c>
    </row>
    <row r="188" spans="1:6" x14ac:dyDescent="0.25">
      <c r="A188" t="s">
        <v>16</v>
      </c>
      <c r="B188" t="s">
        <v>56</v>
      </c>
      <c r="C188">
        <v>7</v>
      </c>
      <c r="D188">
        <v>0</v>
      </c>
      <c r="E188" t="str">
        <f t="shared" si="4"/>
        <v>['Argentina','Bolivia',7,0],</v>
      </c>
      <c r="F188" t="str">
        <f t="shared" si="5"/>
        <v>['Bolivia','Argentina',0,7],</v>
      </c>
    </row>
    <row r="189" spans="1:6" x14ac:dyDescent="0.25">
      <c r="A189" t="s">
        <v>10</v>
      </c>
      <c r="B189" t="s">
        <v>11</v>
      </c>
      <c r="C189">
        <v>0</v>
      </c>
      <c r="D189">
        <v>6</v>
      </c>
      <c r="E189" t="str">
        <f t="shared" si="4"/>
        <v>['Chile','Uruguay',0,6],</v>
      </c>
      <c r="F189" t="str">
        <f t="shared" si="5"/>
        <v>['Uruguay','Chile',6,0],</v>
      </c>
    </row>
    <row r="190" spans="1:6" x14ac:dyDescent="0.25">
      <c r="A190" t="s">
        <v>43</v>
      </c>
      <c r="B190" t="s">
        <v>66</v>
      </c>
      <c r="C190">
        <v>2</v>
      </c>
      <c r="D190">
        <v>2</v>
      </c>
      <c r="E190" t="str">
        <f t="shared" si="4"/>
        <v>['Paraguay','Peru',2,2],</v>
      </c>
      <c r="F190" t="str">
        <f t="shared" si="5"/>
        <v>['Peru','Paraguay',2,2],</v>
      </c>
    </row>
    <row r="191" spans="1:6" x14ac:dyDescent="0.25">
      <c r="A191" t="s">
        <v>10</v>
      </c>
      <c r="B191" t="s">
        <v>66</v>
      </c>
      <c r="C191">
        <v>2</v>
      </c>
      <c r="D191">
        <v>1</v>
      </c>
      <c r="E191" t="str">
        <f t="shared" si="4"/>
        <v>['Chile','Peru',2,1],</v>
      </c>
      <c r="F191" t="str">
        <f t="shared" si="5"/>
        <v>['Peru','Chile',1,2],</v>
      </c>
    </row>
    <row r="192" spans="1:6" x14ac:dyDescent="0.25">
      <c r="A192" t="s">
        <v>56</v>
      </c>
      <c r="B192" t="s">
        <v>11</v>
      </c>
      <c r="C192">
        <v>0</v>
      </c>
      <c r="D192">
        <v>3</v>
      </c>
      <c r="E192" t="str">
        <f t="shared" si="4"/>
        <v>['Bolivia','Uruguay',0,3],</v>
      </c>
      <c r="F192" t="str">
        <f t="shared" si="5"/>
        <v>['Uruguay','Bolivia',3,0],</v>
      </c>
    </row>
    <row r="193" spans="1:6" x14ac:dyDescent="0.25">
      <c r="A193" t="s">
        <v>10</v>
      </c>
      <c r="B193" t="s">
        <v>99</v>
      </c>
      <c r="C193">
        <v>3</v>
      </c>
      <c r="D193">
        <v>0</v>
      </c>
      <c r="E193" t="str">
        <f t="shared" si="4"/>
        <v>['Chile','Ecuador',3,0],</v>
      </c>
      <c r="F193" t="str">
        <f t="shared" si="5"/>
        <v>['Ecuador','Chile',0,3],</v>
      </c>
    </row>
    <row r="194" spans="1:6" x14ac:dyDescent="0.25">
      <c r="A194" t="s">
        <v>16</v>
      </c>
      <c r="B194" t="s">
        <v>66</v>
      </c>
      <c r="C194">
        <v>3</v>
      </c>
      <c r="D194">
        <v>2</v>
      </c>
      <c r="E194" t="str">
        <f t="shared" si="4"/>
        <v>['Argentina','Peru',3,2],</v>
      </c>
      <c r="F194" t="str">
        <f t="shared" si="5"/>
        <v>['Peru','Argentina',2,3],</v>
      </c>
    </row>
    <row r="195" spans="1:6" x14ac:dyDescent="0.25">
      <c r="A195" t="s">
        <v>56</v>
      </c>
      <c r="B195" t="s">
        <v>125</v>
      </c>
      <c r="C195">
        <v>0</v>
      </c>
      <c r="D195">
        <v>0</v>
      </c>
      <c r="E195" t="str">
        <f t="shared" ref="E195:E258" si="6">"['"&amp;A195&amp;"','"&amp;B195&amp;"',"&amp;C195&amp;","&amp;D195&amp;"],"</f>
        <v>['Bolivia','Colombia',0,0],</v>
      </c>
      <c r="F195" t="str">
        <f t="shared" ref="F195:F258" si="7">"['"&amp;B195&amp;"','"&amp;A195&amp;"',"&amp;D195&amp;","&amp;C195&amp;"],"</f>
        <v>['Colombia','Bolivia',0,0],</v>
      </c>
    </row>
    <row r="196" spans="1:6" x14ac:dyDescent="0.25">
      <c r="A196" t="s">
        <v>43</v>
      </c>
      <c r="B196" t="s">
        <v>11</v>
      </c>
      <c r="C196">
        <v>4</v>
      </c>
      <c r="D196">
        <v>2</v>
      </c>
      <c r="E196" t="str">
        <f t="shared" si="6"/>
        <v>['Paraguay','Uruguay',4,2],</v>
      </c>
      <c r="F196" t="str">
        <f t="shared" si="7"/>
        <v>['Uruguay','Paraguay',2,4],</v>
      </c>
    </row>
    <row r="197" spans="1:6" x14ac:dyDescent="0.25">
      <c r="A197" t="s">
        <v>16</v>
      </c>
      <c r="B197" t="s">
        <v>10</v>
      </c>
      <c r="C197">
        <v>1</v>
      </c>
      <c r="D197">
        <v>1</v>
      </c>
      <c r="E197" t="str">
        <f t="shared" si="6"/>
        <v>['Argentina','Chile',1,1],</v>
      </c>
      <c r="F197" t="str">
        <f t="shared" si="7"/>
        <v>['Chile','Argentina',1,1],</v>
      </c>
    </row>
    <row r="198" spans="1:6" x14ac:dyDescent="0.25">
      <c r="A198" t="s">
        <v>99</v>
      </c>
      <c r="B198" t="s">
        <v>11</v>
      </c>
      <c r="C198">
        <v>1</v>
      </c>
      <c r="D198">
        <v>6</v>
      </c>
      <c r="E198" t="str">
        <f t="shared" si="6"/>
        <v>['Ecuador','Uruguay',1,6],</v>
      </c>
      <c r="F198" t="str">
        <f t="shared" si="7"/>
        <v>['Uruguay','Ecuador',6,1],</v>
      </c>
    </row>
    <row r="199" spans="1:6" x14ac:dyDescent="0.25">
      <c r="A199" t="s">
        <v>56</v>
      </c>
      <c r="B199" t="s">
        <v>43</v>
      </c>
      <c r="C199">
        <v>1</v>
      </c>
      <c r="D199">
        <v>3</v>
      </c>
      <c r="E199" t="str">
        <f t="shared" si="6"/>
        <v>['Bolivia','Paraguay',1,3],</v>
      </c>
      <c r="F199" t="str">
        <f t="shared" si="7"/>
        <v>['Paraguay','Bolivia',3,1],</v>
      </c>
    </row>
    <row r="200" spans="1:6" x14ac:dyDescent="0.25">
      <c r="A200" t="s">
        <v>16</v>
      </c>
      <c r="B200" t="s">
        <v>125</v>
      </c>
      <c r="C200">
        <v>6</v>
      </c>
      <c r="D200">
        <v>0</v>
      </c>
      <c r="E200" t="str">
        <f t="shared" si="6"/>
        <v>['Argentina','Colombia',6,0],</v>
      </c>
      <c r="F200" t="str">
        <f t="shared" si="7"/>
        <v>['Colombia','Argentina',0,6],</v>
      </c>
    </row>
    <row r="201" spans="1:6" x14ac:dyDescent="0.25">
      <c r="A201" t="s">
        <v>125</v>
      </c>
      <c r="B201" t="s">
        <v>43</v>
      </c>
      <c r="C201">
        <v>0</v>
      </c>
      <c r="D201">
        <v>2</v>
      </c>
      <c r="E201" t="str">
        <f t="shared" si="6"/>
        <v>['Colombia','Paraguay',0,2],</v>
      </c>
      <c r="F201" t="str">
        <f t="shared" si="7"/>
        <v>['Paraguay','Colombia',2,0],</v>
      </c>
    </row>
    <row r="202" spans="1:6" x14ac:dyDescent="0.25">
      <c r="A202" t="s">
        <v>99</v>
      </c>
      <c r="B202" t="s">
        <v>66</v>
      </c>
      <c r="C202">
        <v>0</v>
      </c>
      <c r="D202">
        <v>0</v>
      </c>
      <c r="E202" t="str">
        <f t="shared" si="6"/>
        <v>['Ecuador','Peru',0,0],</v>
      </c>
      <c r="F202" t="str">
        <f t="shared" si="7"/>
        <v>['Peru','Ecuador',0,0],</v>
      </c>
    </row>
    <row r="203" spans="1:6" x14ac:dyDescent="0.25">
      <c r="A203" t="s">
        <v>10</v>
      </c>
      <c r="B203" t="s">
        <v>43</v>
      </c>
      <c r="C203">
        <v>0</v>
      </c>
      <c r="D203">
        <v>1</v>
      </c>
      <c r="E203" t="str">
        <f t="shared" si="6"/>
        <v>['Chile','Paraguay',0,1],</v>
      </c>
      <c r="F203" t="str">
        <f t="shared" si="7"/>
        <v>['Paraguay','Chile',1,0],</v>
      </c>
    </row>
    <row r="204" spans="1:6" x14ac:dyDescent="0.25">
      <c r="A204" t="s">
        <v>125</v>
      </c>
      <c r="B204" t="s">
        <v>66</v>
      </c>
      <c r="C204">
        <v>1</v>
      </c>
      <c r="D204">
        <v>5</v>
      </c>
      <c r="E204" t="str">
        <f t="shared" si="6"/>
        <v>['Colombia','Peru',1,5],</v>
      </c>
      <c r="F204" t="str">
        <f t="shared" si="7"/>
        <v>['Peru','Colombia',5,1],</v>
      </c>
    </row>
    <row r="205" spans="1:6" x14ac:dyDescent="0.25">
      <c r="A205" t="s">
        <v>16</v>
      </c>
      <c r="B205" t="s">
        <v>99</v>
      </c>
      <c r="C205">
        <v>2</v>
      </c>
      <c r="D205">
        <v>0</v>
      </c>
      <c r="E205" t="str">
        <f t="shared" si="6"/>
        <v>['Argentina','Ecuador',2,0],</v>
      </c>
      <c r="F205" t="str">
        <f t="shared" si="7"/>
        <v>['Ecuador','Argentina',0,2],</v>
      </c>
    </row>
    <row r="206" spans="1:6" x14ac:dyDescent="0.25">
      <c r="A206" t="s">
        <v>66</v>
      </c>
      <c r="B206" t="s">
        <v>11</v>
      </c>
      <c r="C206">
        <v>0</v>
      </c>
      <c r="D206">
        <v>1</v>
      </c>
      <c r="E206" t="str">
        <f t="shared" si="6"/>
        <v>['Peru','Uruguay',0,1],</v>
      </c>
      <c r="F206" t="str">
        <f t="shared" si="7"/>
        <v>['Uruguay','Peru',1,0],</v>
      </c>
    </row>
    <row r="207" spans="1:6" x14ac:dyDescent="0.25">
      <c r="A207" t="s">
        <v>56</v>
      </c>
      <c r="B207" t="s">
        <v>66</v>
      </c>
      <c r="C207">
        <v>0</v>
      </c>
      <c r="D207">
        <v>2</v>
      </c>
      <c r="E207" t="str">
        <f t="shared" si="6"/>
        <v>['Bolivia','Peru',0,2],</v>
      </c>
      <c r="F207" t="str">
        <f t="shared" si="7"/>
        <v>['Peru','Bolivia',2,0],</v>
      </c>
    </row>
    <row r="208" spans="1:6" x14ac:dyDescent="0.25">
      <c r="A208" t="s">
        <v>16</v>
      </c>
      <c r="B208" t="s">
        <v>11</v>
      </c>
      <c r="C208">
        <v>3</v>
      </c>
      <c r="D208">
        <v>1</v>
      </c>
      <c r="E208" t="str">
        <f t="shared" si="6"/>
        <v>['Argentina','Uruguay',3,1],</v>
      </c>
      <c r="F208" t="str">
        <f t="shared" si="7"/>
        <v>['Uruguay','Argentina',1,3],</v>
      </c>
    </row>
    <row r="209" spans="1:6" x14ac:dyDescent="0.25">
      <c r="A209" t="s">
        <v>10</v>
      </c>
      <c r="B209" t="s">
        <v>125</v>
      </c>
      <c r="C209">
        <v>4</v>
      </c>
      <c r="D209">
        <v>1</v>
      </c>
      <c r="E209" t="str">
        <f t="shared" si="6"/>
        <v>['Chile','Colombia',4,1],</v>
      </c>
      <c r="F209" t="str">
        <f t="shared" si="7"/>
        <v>['Colombia','Chile',1,4],</v>
      </c>
    </row>
    <row r="210" spans="1:6" x14ac:dyDescent="0.25">
      <c r="A210" t="s">
        <v>99</v>
      </c>
      <c r="B210" t="s">
        <v>43</v>
      </c>
      <c r="C210">
        <v>0</v>
      </c>
      <c r="D210">
        <v>4</v>
      </c>
      <c r="E210" t="str">
        <f t="shared" si="6"/>
        <v>['Ecuador','Paraguay',0,4],</v>
      </c>
      <c r="F210" t="str">
        <f t="shared" si="7"/>
        <v>['Paraguay','Ecuador',4,0],</v>
      </c>
    </row>
    <row r="211" spans="1:6" x14ac:dyDescent="0.25">
      <c r="A211" t="s">
        <v>56</v>
      </c>
      <c r="B211" t="s">
        <v>10</v>
      </c>
      <c r="C211">
        <v>3</v>
      </c>
      <c r="D211">
        <v>4</v>
      </c>
      <c r="E211" t="str">
        <f t="shared" si="6"/>
        <v>['Bolivia','Chile',3,4],</v>
      </c>
      <c r="F211" t="str">
        <f t="shared" si="7"/>
        <v>['Chile','Bolivia',4,3],</v>
      </c>
    </row>
    <row r="212" spans="1:6" x14ac:dyDescent="0.25">
      <c r="A212" t="s">
        <v>99</v>
      </c>
      <c r="B212" t="s">
        <v>19</v>
      </c>
      <c r="C212">
        <v>1</v>
      </c>
      <c r="D212">
        <v>9</v>
      </c>
      <c r="E212" t="str">
        <f t="shared" si="6"/>
        <v>['Ecuador','Brazil',1,9],</v>
      </c>
      <c r="F212" t="str">
        <f t="shared" si="7"/>
        <v>['Brazil','Ecuador',9,1],</v>
      </c>
    </row>
    <row r="213" spans="1:6" x14ac:dyDescent="0.25">
      <c r="A213" t="s">
        <v>56</v>
      </c>
      <c r="B213" t="s">
        <v>10</v>
      </c>
      <c r="C213">
        <v>3</v>
      </c>
      <c r="D213">
        <v>2</v>
      </c>
      <c r="E213" t="str">
        <f t="shared" si="6"/>
        <v>['Bolivia','Chile',3,2],</v>
      </c>
      <c r="F213" t="str">
        <f t="shared" si="7"/>
        <v>['Chile','Bolivia',2,3],</v>
      </c>
    </row>
    <row r="214" spans="1:6" x14ac:dyDescent="0.25">
      <c r="A214" t="s">
        <v>125</v>
      </c>
      <c r="B214" t="s">
        <v>43</v>
      </c>
      <c r="C214">
        <v>0</v>
      </c>
      <c r="D214">
        <v>3</v>
      </c>
      <c r="E214" t="str">
        <f t="shared" si="6"/>
        <v>['Colombia','Paraguay',0,3],</v>
      </c>
      <c r="F214" t="str">
        <f t="shared" si="7"/>
        <v>['Paraguay','Colombia',3,0],</v>
      </c>
    </row>
    <row r="215" spans="1:6" x14ac:dyDescent="0.25">
      <c r="A215" t="s">
        <v>56</v>
      </c>
      <c r="B215" t="s">
        <v>19</v>
      </c>
      <c r="C215">
        <v>1</v>
      </c>
      <c r="D215">
        <v>10</v>
      </c>
      <c r="E215" t="str">
        <f t="shared" si="6"/>
        <v>['Bolivia','Brazil',1,10],</v>
      </c>
      <c r="F215" t="str">
        <f t="shared" si="7"/>
        <v>['Brazil','Bolivia',10,1],</v>
      </c>
    </row>
    <row r="216" spans="1:6" x14ac:dyDescent="0.25">
      <c r="A216" t="s">
        <v>125</v>
      </c>
      <c r="B216" t="s">
        <v>66</v>
      </c>
      <c r="C216">
        <v>0</v>
      </c>
      <c r="D216">
        <v>4</v>
      </c>
      <c r="E216" t="str">
        <f t="shared" si="6"/>
        <v>['Colombia','Peru',0,4],</v>
      </c>
      <c r="F216" t="str">
        <f t="shared" si="7"/>
        <v>['Peru','Colombia',4,0],</v>
      </c>
    </row>
    <row r="217" spans="1:6" x14ac:dyDescent="0.25">
      <c r="A217" t="s">
        <v>99</v>
      </c>
      <c r="B217" t="s">
        <v>43</v>
      </c>
      <c r="C217">
        <v>0</v>
      </c>
      <c r="D217">
        <v>1</v>
      </c>
      <c r="E217" t="str">
        <f t="shared" si="6"/>
        <v>['Ecuador','Paraguay',0,1],</v>
      </c>
      <c r="F217" t="str">
        <f t="shared" si="7"/>
        <v>['Paraguay','Ecuador',1,0],</v>
      </c>
    </row>
    <row r="218" spans="1:6" x14ac:dyDescent="0.25">
      <c r="A218" t="s">
        <v>43</v>
      </c>
      <c r="B218" t="s">
        <v>66</v>
      </c>
      <c r="C218">
        <v>3</v>
      </c>
      <c r="D218">
        <v>1</v>
      </c>
      <c r="E218" t="str">
        <f t="shared" si="6"/>
        <v>['Paraguay','Peru',3,1],</v>
      </c>
      <c r="F218" t="str">
        <f t="shared" si="7"/>
        <v>['Peru','Paraguay',1,3],</v>
      </c>
    </row>
    <row r="219" spans="1:6" x14ac:dyDescent="0.25">
      <c r="A219" t="s">
        <v>10</v>
      </c>
      <c r="B219" t="s">
        <v>19</v>
      </c>
      <c r="C219">
        <v>1</v>
      </c>
      <c r="D219">
        <v>2</v>
      </c>
      <c r="E219" t="str">
        <f t="shared" si="6"/>
        <v>['Chile','Brazil',1,2],</v>
      </c>
      <c r="F219" t="str">
        <f t="shared" si="7"/>
        <v>['Brazil','Chile',2,1],</v>
      </c>
    </row>
    <row r="220" spans="1:6" x14ac:dyDescent="0.25">
      <c r="A220" t="s">
        <v>99</v>
      </c>
      <c r="B220" t="s">
        <v>11</v>
      </c>
      <c r="C220">
        <v>2</v>
      </c>
      <c r="D220">
        <v>3</v>
      </c>
      <c r="E220" t="str">
        <f t="shared" si="6"/>
        <v>['Ecuador','Uruguay',2,3],</v>
      </c>
      <c r="F220" t="str">
        <f t="shared" si="7"/>
        <v>['Uruguay','Ecuador',3,2],</v>
      </c>
    </row>
    <row r="221" spans="1:6" x14ac:dyDescent="0.25">
      <c r="A221" t="s">
        <v>10</v>
      </c>
      <c r="B221" t="s">
        <v>99</v>
      </c>
      <c r="C221">
        <v>1</v>
      </c>
      <c r="D221">
        <v>0</v>
      </c>
      <c r="E221" t="str">
        <f t="shared" si="6"/>
        <v>['Chile','Ecuador',1,0],</v>
      </c>
      <c r="F221" t="str">
        <f t="shared" si="7"/>
        <v>['Ecuador','Chile',0,1],</v>
      </c>
    </row>
    <row r="222" spans="1:6" x14ac:dyDescent="0.25">
      <c r="A222" t="s">
        <v>125</v>
      </c>
      <c r="B222" t="s">
        <v>19</v>
      </c>
      <c r="C222">
        <v>0</v>
      </c>
      <c r="D222">
        <v>5</v>
      </c>
      <c r="E222" t="str">
        <f t="shared" si="6"/>
        <v>['Colombia','Brazil',0,5],</v>
      </c>
      <c r="F222" t="str">
        <f t="shared" si="7"/>
        <v>['Brazil','Colombia',5,0],</v>
      </c>
    </row>
    <row r="223" spans="1:6" x14ac:dyDescent="0.25">
      <c r="A223" t="s">
        <v>56</v>
      </c>
      <c r="B223" t="s">
        <v>11</v>
      </c>
      <c r="C223">
        <v>3</v>
      </c>
      <c r="D223">
        <v>2</v>
      </c>
      <c r="E223" t="str">
        <f t="shared" si="6"/>
        <v>['Bolivia','Uruguay',3,2],</v>
      </c>
      <c r="F223" t="str">
        <f t="shared" si="7"/>
        <v>['Uruguay','Bolivia',2,3],</v>
      </c>
    </row>
    <row r="224" spans="1:6" x14ac:dyDescent="0.25">
      <c r="A224" t="s">
        <v>10</v>
      </c>
      <c r="B224" t="s">
        <v>125</v>
      </c>
      <c r="C224">
        <v>1</v>
      </c>
      <c r="D224">
        <v>1</v>
      </c>
      <c r="E224" t="str">
        <f t="shared" si="6"/>
        <v>['Chile','Colombia',1,1],</v>
      </c>
      <c r="F224" t="str">
        <f t="shared" si="7"/>
        <v>['Colombia','Chile',1,1],</v>
      </c>
    </row>
    <row r="225" spans="1:6" x14ac:dyDescent="0.25">
      <c r="A225" t="s">
        <v>99</v>
      </c>
      <c r="B225" t="s">
        <v>66</v>
      </c>
      <c r="C225">
        <v>0</v>
      </c>
      <c r="D225">
        <v>4</v>
      </c>
      <c r="E225" t="str">
        <f t="shared" si="6"/>
        <v>['Ecuador','Peru',0,4],</v>
      </c>
      <c r="F225" t="str">
        <f t="shared" si="7"/>
        <v>['Peru','Ecuador',4,0],</v>
      </c>
    </row>
    <row r="226" spans="1:6" x14ac:dyDescent="0.25">
      <c r="A226" t="s">
        <v>43</v>
      </c>
      <c r="B226" t="s">
        <v>11</v>
      </c>
      <c r="C226">
        <v>1</v>
      </c>
      <c r="D226">
        <v>2</v>
      </c>
      <c r="E226" t="str">
        <f t="shared" si="6"/>
        <v>['Paraguay','Uruguay',1,2],</v>
      </c>
      <c r="F226" t="str">
        <f t="shared" si="7"/>
        <v>['Uruguay','Paraguay',2,1],</v>
      </c>
    </row>
    <row r="227" spans="1:6" x14ac:dyDescent="0.25">
      <c r="A227" t="s">
        <v>56</v>
      </c>
      <c r="B227" t="s">
        <v>99</v>
      </c>
      <c r="C227">
        <v>2</v>
      </c>
      <c r="D227">
        <v>0</v>
      </c>
      <c r="E227" t="str">
        <f t="shared" si="6"/>
        <v>['Bolivia','Ecuador',2,0],</v>
      </c>
      <c r="F227" t="str">
        <f t="shared" si="7"/>
        <v>['Ecuador','Bolivia',0,2],</v>
      </c>
    </row>
    <row r="228" spans="1:6" x14ac:dyDescent="0.25">
      <c r="A228" t="s">
        <v>125</v>
      </c>
      <c r="B228" t="s">
        <v>11</v>
      </c>
      <c r="C228">
        <v>2</v>
      </c>
      <c r="D228">
        <v>2</v>
      </c>
      <c r="E228" t="str">
        <f t="shared" si="6"/>
        <v>['Colombia','Uruguay',2,2],</v>
      </c>
      <c r="F228" t="str">
        <f t="shared" si="7"/>
        <v>['Uruguay','Colombia',2,2],</v>
      </c>
    </row>
    <row r="229" spans="1:6" x14ac:dyDescent="0.25">
      <c r="A229" t="s">
        <v>66</v>
      </c>
      <c r="B229" t="s">
        <v>19</v>
      </c>
      <c r="C229">
        <v>1</v>
      </c>
      <c r="D229">
        <v>7</v>
      </c>
      <c r="E229" t="str">
        <f t="shared" si="6"/>
        <v>['Peru','Brazil',1,7],</v>
      </c>
      <c r="F229" t="str">
        <f t="shared" si="7"/>
        <v>['Brazil','Peru',7,1],</v>
      </c>
    </row>
    <row r="230" spans="1:6" x14ac:dyDescent="0.25">
      <c r="A230" t="s">
        <v>10</v>
      </c>
      <c r="B230" t="s">
        <v>43</v>
      </c>
      <c r="C230">
        <v>2</v>
      </c>
      <c r="D230">
        <v>4</v>
      </c>
      <c r="E230" t="str">
        <f t="shared" si="6"/>
        <v>['Chile','Paraguay',2,4],</v>
      </c>
      <c r="F230" t="str">
        <f t="shared" si="7"/>
        <v>['Paraguay','Chile',4,2],</v>
      </c>
    </row>
    <row r="231" spans="1:6" x14ac:dyDescent="0.25">
      <c r="A231" t="s">
        <v>56</v>
      </c>
      <c r="B231" t="s">
        <v>66</v>
      </c>
      <c r="C231">
        <v>0</v>
      </c>
      <c r="D231">
        <v>3</v>
      </c>
      <c r="E231" t="str">
        <f t="shared" si="6"/>
        <v>['Bolivia','Peru',0,3],</v>
      </c>
      <c r="F231" t="str">
        <f t="shared" si="7"/>
        <v>['Peru','Bolivia',3,0],</v>
      </c>
    </row>
    <row r="232" spans="1:6" x14ac:dyDescent="0.25">
      <c r="A232" t="s">
        <v>11</v>
      </c>
      <c r="B232" t="s">
        <v>19</v>
      </c>
      <c r="C232">
        <v>1</v>
      </c>
      <c r="D232">
        <v>5</v>
      </c>
      <c r="E232" t="str">
        <f t="shared" si="6"/>
        <v>['Uruguay','Brazil',1,5],</v>
      </c>
      <c r="F232" t="str">
        <f t="shared" si="7"/>
        <v>['Brazil','Uruguay',5,1],</v>
      </c>
    </row>
    <row r="233" spans="1:6" x14ac:dyDescent="0.25">
      <c r="A233" t="s">
        <v>56</v>
      </c>
      <c r="B233" t="s">
        <v>43</v>
      </c>
      <c r="C233">
        <v>0</v>
      </c>
      <c r="D233">
        <v>7</v>
      </c>
      <c r="E233" t="str">
        <f t="shared" si="6"/>
        <v>['Bolivia','Paraguay',0,7],</v>
      </c>
      <c r="F233" t="str">
        <f t="shared" si="7"/>
        <v>['Paraguay','Bolivia',7,0],</v>
      </c>
    </row>
    <row r="234" spans="1:6" x14ac:dyDescent="0.25">
      <c r="A234" t="s">
        <v>10</v>
      </c>
      <c r="B234" t="s">
        <v>66</v>
      </c>
      <c r="C234">
        <v>0</v>
      </c>
      <c r="D234">
        <v>3</v>
      </c>
      <c r="E234" t="str">
        <f t="shared" si="6"/>
        <v>['Chile','Peru',0,3],</v>
      </c>
      <c r="F234" t="str">
        <f t="shared" si="7"/>
        <v>['Peru','Chile',3,0],</v>
      </c>
    </row>
    <row r="235" spans="1:6" x14ac:dyDescent="0.25">
      <c r="A235" t="s">
        <v>125</v>
      </c>
      <c r="B235" t="s">
        <v>99</v>
      </c>
      <c r="C235">
        <v>1</v>
      </c>
      <c r="D235">
        <v>4</v>
      </c>
      <c r="E235" t="str">
        <f t="shared" si="6"/>
        <v>['Colombia','Ecuador',1,4],</v>
      </c>
      <c r="F235" t="str">
        <f t="shared" si="7"/>
        <v>['Ecuador','Colombia',4,1],</v>
      </c>
    </row>
    <row r="236" spans="1:6" x14ac:dyDescent="0.25">
      <c r="A236" t="s">
        <v>66</v>
      </c>
      <c r="B236" t="s">
        <v>11</v>
      </c>
      <c r="C236">
        <v>4</v>
      </c>
      <c r="D236">
        <v>3</v>
      </c>
      <c r="E236" t="str">
        <f t="shared" si="6"/>
        <v>['Peru','Uruguay',4,3],</v>
      </c>
      <c r="F236" t="str">
        <f t="shared" si="7"/>
        <v>['Uruguay','Peru',3,4],</v>
      </c>
    </row>
    <row r="237" spans="1:6" x14ac:dyDescent="0.25">
      <c r="A237" t="s">
        <v>56</v>
      </c>
      <c r="B237" t="s">
        <v>125</v>
      </c>
      <c r="C237">
        <v>4</v>
      </c>
      <c r="D237">
        <v>0</v>
      </c>
      <c r="E237" t="str">
        <f t="shared" si="6"/>
        <v>['Bolivia','Colombia',4,0],</v>
      </c>
      <c r="F237" t="str">
        <f t="shared" si="7"/>
        <v>['Colombia','Bolivia',0,4],</v>
      </c>
    </row>
    <row r="238" spans="1:6" x14ac:dyDescent="0.25">
      <c r="A238" t="s">
        <v>10</v>
      </c>
      <c r="B238" t="s">
        <v>11</v>
      </c>
      <c r="C238">
        <v>3</v>
      </c>
      <c r="D238">
        <v>1</v>
      </c>
      <c r="E238" t="str">
        <f t="shared" si="6"/>
        <v>['Chile','Uruguay',3,1],</v>
      </c>
      <c r="F238" t="str">
        <f t="shared" si="7"/>
        <v>['Uruguay','Chile',1,3],</v>
      </c>
    </row>
    <row r="239" spans="1:6" x14ac:dyDescent="0.25">
      <c r="A239" t="s">
        <v>43</v>
      </c>
      <c r="B239" t="s">
        <v>19</v>
      </c>
      <c r="C239">
        <v>2</v>
      </c>
      <c r="D239">
        <v>1</v>
      </c>
      <c r="E239" t="str">
        <f t="shared" si="6"/>
        <v>['Paraguay','Brazil',2,1],</v>
      </c>
      <c r="F239" t="str">
        <f t="shared" si="7"/>
        <v>['Brazil','Paraguay',1,2],</v>
      </c>
    </row>
    <row r="240" spans="1:6" x14ac:dyDescent="0.25">
      <c r="A240" t="s">
        <v>43</v>
      </c>
      <c r="B240" t="s">
        <v>19</v>
      </c>
      <c r="C240">
        <v>0</v>
      </c>
      <c r="D240">
        <v>7</v>
      </c>
      <c r="E240" t="str">
        <f t="shared" si="6"/>
        <v>['Paraguay','Brazil',0,7],</v>
      </c>
      <c r="F240" t="str">
        <f t="shared" si="7"/>
        <v>['Brazil','Paraguay',7,0],</v>
      </c>
    </row>
    <row r="241" spans="1:6" x14ac:dyDescent="0.25">
      <c r="A241" t="s">
        <v>56</v>
      </c>
      <c r="B241" t="s">
        <v>66</v>
      </c>
      <c r="C241">
        <v>1</v>
      </c>
      <c r="D241">
        <v>0</v>
      </c>
      <c r="E241" t="str">
        <f t="shared" si="6"/>
        <v>['Bolivia','Peru',1,0],</v>
      </c>
      <c r="F241" t="str">
        <f t="shared" si="7"/>
        <v>['Peru','Bolivia',0,1],</v>
      </c>
    </row>
    <row r="242" spans="1:6" x14ac:dyDescent="0.25">
      <c r="A242" t="s">
        <v>56</v>
      </c>
      <c r="B242" t="s">
        <v>11</v>
      </c>
      <c r="C242">
        <v>0</v>
      </c>
      <c r="D242">
        <v>2</v>
      </c>
      <c r="E242" t="str">
        <f t="shared" si="6"/>
        <v>['Bolivia','Uruguay',0,2],</v>
      </c>
      <c r="F242" t="str">
        <f t="shared" si="7"/>
        <v>['Uruguay','Bolivia',2,0],</v>
      </c>
    </row>
    <row r="243" spans="1:6" x14ac:dyDescent="0.25">
      <c r="A243" t="s">
        <v>10</v>
      </c>
      <c r="B243" t="s">
        <v>43</v>
      </c>
      <c r="C243">
        <v>0</v>
      </c>
      <c r="D243">
        <v>3</v>
      </c>
      <c r="E243" t="str">
        <f t="shared" si="6"/>
        <v>['Chile','Paraguay',0,3],</v>
      </c>
      <c r="F243" t="str">
        <f t="shared" si="7"/>
        <v>['Paraguay','Chile',3,0],</v>
      </c>
    </row>
    <row r="244" spans="1:6" x14ac:dyDescent="0.25">
      <c r="A244" t="s">
        <v>99</v>
      </c>
      <c r="B244" t="s">
        <v>66</v>
      </c>
      <c r="C244">
        <v>0</v>
      </c>
      <c r="D244">
        <v>1</v>
      </c>
      <c r="E244" t="str">
        <f t="shared" si="6"/>
        <v>['Ecuador','Peru',0,1],</v>
      </c>
      <c r="F244" t="str">
        <f t="shared" si="7"/>
        <v>['Peru','Ecuador',1,0],</v>
      </c>
    </row>
    <row r="245" spans="1:6" x14ac:dyDescent="0.25">
      <c r="A245" t="s">
        <v>10</v>
      </c>
      <c r="B245" t="s">
        <v>11</v>
      </c>
      <c r="C245">
        <v>3</v>
      </c>
      <c r="D245">
        <v>2</v>
      </c>
      <c r="E245" t="str">
        <f t="shared" si="6"/>
        <v>['Chile','Uruguay',3,2],</v>
      </c>
      <c r="F245" t="str">
        <f t="shared" si="7"/>
        <v>['Uruguay','Chile',2,3],</v>
      </c>
    </row>
    <row r="246" spans="1:6" x14ac:dyDescent="0.25">
      <c r="A246" t="s">
        <v>56</v>
      </c>
      <c r="B246" t="s">
        <v>19</v>
      </c>
      <c r="C246">
        <v>1</v>
      </c>
      <c r="D246">
        <v>8</v>
      </c>
      <c r="E246" t="str">
        <f t="shared" si="6"/>
        <v>['Bolivia','Brazil',1,8],</v>
      </c>
      <c r="F246" t="str">
        <f t="shared" si="7"/>
        <v>['Brazil','Bolivia',8,1],</v>
      </c>
    </row>
    <row r="247" spans="1:6" x14ac:dyDescent="0.25">
      <c r="A247" t="s">
        <v>99</v>
      </c>
      <c r="B247" t="s">
        <v>43</v>
      </c>
      <c r="C247">
        <v>0</v>
      </c>
      <c r="D247">
        <v>0</v>
      </c>
      <c r="E247" t="str">
        <f t="shared" si="6"/>
        <v>['Ecuador','Paraguay',0,0],</v>
      </c>
      <c r="F247" t="str">
        <f t="shared" si="7"/>
        <v>['Paraguay','Ecuador',0,0],</v>
      </c>
    </row>
    <row r="248" spans="1:6" x14ac:dyDescent="0.25">
      <c r="A248" t="s">
        <v>10</v>
      </c>
      <c r="B248" t="s">
        <v>66</v>
      </c>
      <c r="C248">
        <v>0</v>
      </c>
      <c r="D248">
        <v>0</v>
      </c>
      <c r="E248" t="str">
        <f t="shared" si="6"/>
        <v>['Chile','Peru',0,0],</v>
      </c>
      <c r="F248" t="str">
        <f t="shared" si="7"/>
        <v>['Peru','Chile',0,0],</v>
      </c>
    </row>
    <row r="249" spans="1:6" x14ac:dyDescent="0.25">
      <c r="A249" t="s">
        <v>43</v>
      </c>
      <c r="B249" t="s">
        <v>66</v>
      </c>
      <c r="C249">
        <v>2</v>
      </c>
      <c r="D249">
        <v>2</v>
      </c>
      <c r="E249" t="str">
        <f t="shared" si="6"/>
        <v>['Paraguay','Peru',2,2],</v>
      </c>
      <c r="F249" t="str">
        <f t="shared" si="7"/>
        <v>['Peru','Paraguay',2,2],</v>
      </c>
    </row>
    <row r="250" spans="1:6" x14ac:dyDescent="0.25">
      <c r="A250" t="s">
        <v>56</v>
      </c>
      <c r="B250" t="s">
        <v>99</v>
      </c>
      <c r="C250">
        <v>1</v>
      </c>
      <c r="D250">
        <v>1</v>
      </c>
      <c r="E250" t="str">
        <f t="shared" si="6"/>
        <v>['Bolivia','Ecuador',1,1],</v>
      </c>
      <c r="F250" t="str">
        <f t="shared" si="7"/>
        <v>['Ecuador','Bolivia',1,1],</v>
      </c>
    </row>
    <row r="251" spans="1:6" x14ac:dyDescent="0.25">
      <c r="A251" t="s">
        <v>43</v>
      </c>
      <c r="B251" t="s">
        <v>11</v>
      </c>
      <c r="C251">
        <v>2</v>
      </c>
      <c r="D251">
        <v>2</v>
      </c>
      <c r="E251" t="str">
        <f t="shared" si="6"/>
        <v>['Paraguay','Uruguay',2,2],</v>
      </c>
      <c r="F251" t="str">
        <f t="shared" si="7"/>
        <v>['Uruguay','Paraguay',2,2],</v>
      </c>
    </row>
    <row r="252" spans="1:6" x14ac:dyDescent="0.25">
      <c r="A252" t="s">
        <v>99</v>
      </c>
      <c r="B252" t="s">
        <v>19</v>
      </c>
      <c r="C252">
        <v>0</v>
      </c>
      <c r="D252">
        <v>2</v>
      </c>
      <c r="E252" t="str">
        <f t="shared" si="6"/>
        <v>['Ecuador','Brazil',0,2],</v>
      </c>
      <c r="F252" t="str">
        <f t="shared" si="7"/>
        <v>['Brazil','Ecuador',2,0],</v>
      </c>
    </row>
    <row r="253" spans="1:6" x14ac:dyDescent="0.25">
      <c r="A253" t="s">
        <v>11</v>
      </c>
      <c r="B253" t="s">
        <v>19</v>
      </c>
      <c r="C253">
        <v>0</v>
      </c>
      <c r="D253">
        <v>1</v>
      </c>
      <c r="E253" t="str">
        <f t="shared" si="6"/>
        <v>['Uruguay','Brazil',0,1],</v>
      </c>
      <c r="F253" t="str">
        <f t="shared" si="7"/>
        <v>['Brazil','Uruguay',1,0],</v>
      </c>
    </row>
    <row r="254" spans="1:6" x14ac:dyDescent="0.25">
      <c r="A254" t="s">
        <v>56</v>
      </c>
      <c r="B254" t="s">
        <v>43</v>
      </c>
      <c r="C254">
        <v>1</v>
      </c>
      <c r="D254">
        <v>2</v>
      </c>
      <c r="E254" t="str">
        <f t="shared" si="6"/>
        <v>['Bolivia','Paraguay',1,2],</v>
      </c>
      <c r="F254" t="str">
        <f t="shared" si="7"/>
        <v>['Paraguay','Bolivia',2,1],</v>
      </c>
    </row>
    <row r="255" spans="1:6" x14ac:dyDescent="0.25">
      <c r="A255" t="s">
        <v>10</v>
      </c>
      <c r="B255" t="s">
        <v>99</v>
      </c>
      <c r="C255">
        <v>3</v>
      </c>
      <c r="D255">
        <v>0</v>
      </c>
      <c r="E255" t="str">
        <f t="shared" si="6"/>
        <v>['Chile','Ecuador',3,0],</v>
      </c>
      <c r="F255" t="str">
        <f t="shared" si="7"/>
        <v>['Ecuador','Chile',0,3],</v>
      </c>
    </row>
    <row r="256" spans="1:6" x14ac:dyDescent="0.25">
      <c r="A256" t="s">
        <v>66</v>
      </c>
      <c r="B256" t="s">
        <v>19</v>
      </c>
      <c r="C256">
        <v>1</v>
      </c>
      <c r="D256">
        <v>0</v>
      </c>
      <c r="E256" t="str">
        <f t="shared" si="6"/>
        <v>['Peru','Brazil',1,0],</v>
      </c>
      <c r="F256" t="str">
        <f t="shared" si="7"/>
        <v>['Brazil','Peru',0,1],</v>
      </c>
    </row>
    <row r="257" spans="1:6" x14ac:dyDescent="0.25">
      <c r="A257" t="s">
        <v>10</v>
      </c>
      <c r="B257" t="s">
        <v>19</v>
      </c>
      <c r="C257">
        <v>2</v>
      </c>
      <c r="D257">
        <v>3</v>
      </c>
      <c r="E257" t="str">
        <f t="shared" si="6"/>
        <v>['Chile','Brazil',2,3],</v>
      </c>
      <c r="F257" t="str">
        <f t="shared" si="7"/>
        <v>['Brazil','Chile',3,2],</v>
      </c>
    </row>
    <row r="258" spans="1:6" x14ac:dyDescent="0.25">
      <c r="A258" t="s">
        <v>99</v>
      </c>
      <c r="B258" t="s">
        <v>11</v>
      </c>
      <c r="C258">
        <v>0</v>
      </c>
      <c r="D258">
        <v>6</v>
      </c>
      <c r="E258" t="str">
        <f t="shared" si="6"/>
        <v>['Ecuador','Uruguay',0,6],</v>
      </c>
      <c r="F258" t="str">
        <f t="shared" si="7"/>
        <v>['Uruguay','Ecuador',6,0],</v>
      </c>
    </row>
    <row r="259" spans="1:6" x14ac:dyDescent="0.25">
      <c r="A259" t="s">
        <v>43</v>
      </c>
      <c r="B259" t="s">
        <v>19</v>
      </c>
      <c r="C259">
        <v>2</v>
      </c>
      <c r="D259">
        <v>1</v>
      </c>
      <c r="E259" t="str">
        <f t="shared" ref="E259:E322" si="8">"['"&amp;A259&amp;"','"&amp;B259&amp;"',"&amp;C259&amp;","&amp;D259&amp;"],"</f>
        <v>['Paraguay','Brazil',2,1],</v>
      </c>
      <c r="F259" t="str">
        <f t="shared" ref="F259:F322" si="9">"['"&amp;B259&amp;"','"&amp;A259&amp;"',"&amp;D259&amp;","&amp;C259&amp;"],"</f>
        <v>['Brazil','Paraguay',1,2],</v>
      </c>
    </row>
    <row r="260" spans="1:6" x14ac:dyDescent="0.25">
      <c r="A260" t="s">
        <v>66</v>
      </c>
      <c r="B260" t="s">
        <v>11</v>
      </c>
      <c r="C260">
        <v>0</v>
      </c>
      <c r="D260">
        <v>3</v>
      </c>
      <c r="E260" t="str">
        <f t="shared" si="8"/>
        <v>['Peru','Uruguay',0,3],</v>
      </c>
      <c r="F260" t="str">
        <f t="shared" si="9"/>
        <v>['Uruguay','Peru',3,0],</v>
      </c>
    </row>
    <row r="261" spans="1:6" x14ac:dyDescent="0.25">
      <c r="A261" t="s">
        <v>56</v>
      </c>
      <c r="B261" t="s">
        <v>10</v>
      </c>
      <c r="C261">
        <v>2</v>
      </c>
      <c r="D261">
        <v>2</v>
      </c>
      <c r="E261" t="str">
        <f t="shared" si="8"/>
        <v>['Bolivia','Chile',2,2],</v>
      </c>
      <c r="F261" t="str">
        <f t="shared" si="9"/>
        <v>['Chile','Bolivia',2,2],</v>
      </c>
    </row>
    <row r="262" spans="1:6" x14ac:dyDescent="0.25">
      <c r="A262" t="s">
        <v>43</v>
      </c>
      <c r="B262" t="s">
        <v>19</v>
      </c>
      <c r="C262">
        <v>3</v>
      </c>
      <c r="D262">
        <v>2</v>
      </c>
      <c r="E262" t="str">
        <f t="shared" si="8"/>
        <v>['Paraguay','Brazil',3,2],</v>
      </c>
      <c r="F262" t="str">
        <f t="shared" si="9"/>
        <v>['Brazil','Paraguay',2,3],</v>
      </c>
    </row>
    <row r="263" spans="1:6" x14ac:dyDescent="0.25">
      <c r="A263" t="s">
        <v>10</v>
      </c>
      <c r="B263" t="s">
        <v>99</v>
      </c>
      <c r="C263">
        <v>7</v>
      </c>
      <c r="D263">
        <v>1</v>
      </c>
      <c r="E263" t="str">
        <f t="shared" si="8"/>
        <v>['Chile','Ecuador',7,1],</v>
      </c>
      <c r="F263" t="str">
        <f t="shared" si="9"/>
        <v>['Ecuador','Chile',1,7],</v>
      </c>
    </row>
    <row r="264" spans="1:6" x14ac:dyDescent="0.25">
      <c r="A264" t="s">
        <v>16</v>
      </c>
      <c r="B264" t="s">
        <v>43</v>
      </c>
      <c r="C264">
        <v>5</v>
      </c>
      <c r="D264">
        <v>3</v>
      </c>
      <c r="E264" t="str">
        <f t="shared" si="8"/>
        <v>['Argentina','Paraguay',5,3],</v>
      </c>
      <c r="F264" t="str">
        <f t="shared" si="9"/>
        <v>['Paraguay','Argentina',3,5],</v>
      </c>
    </row>
    <row r="265" spans="1:6" x14ac:dyDescent="0.25">
      <c r="A265" t="s">
        <v>10</v>
      </c>
      <c r="B265" t="s">
        <v>66</v>
      </c>
      <c r="C265">
        <v>5</v>
      </c>
      <c r="D265">
        <v>4</v>
      </c>
      <c r="E265" t="str">
        <f t="shared" si="8"/>
        <v>['Chile','Peru',5,4],</v>
      </c>
      <c r="F265" t="str">
        <f t="shared" si="9"/>
        <v>['Peru','Chile',4,5],</v>
      </c>
    </row>
    <row r="266" spans="1:6" x14ac:dyDescent="0.25">
      <c r="A266" t="s">
        <v>43</v>
      </c>
      <c r="B266" t="s">
        <v>11</v>
      </c>
      <c r="C266">
        <v>1</v>
      </c>
      <c r="D266">
        <v>3</v>
      </c>
      <c r="E266" t="str">
        <f t="shared" si="8"/>
        <v>['Paraguay','Uruguay',1,3],</v>
      </c>
      <c r="F266" t="str">
        <f t="shared" si="9"/>
        <v>['Uruguay','Paraguay',3,1],</v>
      </c>
    </row>
    <row r="267" spans="1:6" x14ac:dyDescent="0.25">
      <c r="A267" t="s">
        <v>16</v>
      </c>
      <c r="B267" t="s">
        <v>99</v>
      </c>
      <c r="C267">
        <v>4</v>
      </c>
      <c r="D267">
        <v>0</v>
      </c>
      <c r="E267" t="str">
        <f t="shared" si="8"/>
        <v>['Argentina','Ecuador',4,0],</v>
      </c>
      <c r="F267" t="str">
        <f t="shared" si="9"/>
        <v>['Ecuador','Argentina',0,4],</v>
      </c>
    </row>
    <row r="268" spans="1:6" x14ac:dyDescent="0.25">
      <c r="A268" t="s">
        <v>10</v>
      </c>
      <c r="B268" t="s">
        <v>11</v>
      </c>
      <c r="C268">
        <v>2</v>
      </c>
      <c r="D268">
        <v>2</v>
      </c>
      <c r="E268" t="str">
        <f t="shared" si="8"/>
        <v>['Chile','Uruguay',2,2],</v>
      </c>
      <c r="F268" t="str">
        <f t="shared" si="9"/>
        <v>['Uruguay','Chile',2,2],</v>
      </c>
    </row>
    <row r="269" spans="1:6" x14ac:dyDescent="0.25">
      <c r="A269" t="s">
        <v>99</v>
      </c>
      <c r="B269" t="s">
        <v>66</v>
      </c>
      <c r="C269">
        <v>2</v>
      </c>
      <c r="D269">
        <v>4</v>
      </c>
      <c r="E269" t="str">
        <f t="shared" si="8"/>
        <v>['Ecuador','Peru',2,4],</v>
      </c>
      <c r="F269" t="str">
        <f t="shared" si="9"/>
        <v>['Peru','Ecuador',4,2],</v>
      </c>
    </row>
    <row r="270" spans="1:6" x14ac:dyDescent="0.25">
      <c r="A270" t="s">
        <v>99</v>
      </c>
      <c r="B270" t="s">
        <v>43</v>
      </c>
      <c r="C270">
        <v>0</v>
      </c>
      <c r="D270">
        <v>2</v>
      </c>
      <c r="E270" t="str">
        <f t="shared" si="8"/>
        <v>['Ecuador','Paraguay',0,2],</v>
      </c>
      <c r="F270" t="str">
        <f t="shared" si="9"/>
        <v>['Paraguay','Ecuador',2,0],</v>
      </c>
    </row>
    <row r="271" spans="1:6" x14ac:dyDescent="0.25">
      <c r="A271" t="s">
        <v>16</v>
      </c>
      <c r="B271" t="s">
        <v>66</v>
      </c>
      <c r="C271">
        <v>2</v>
      </c>
      <c r="D271">
        <v>2</v>
      </c>
      <c r="E271" t="str">
        <f t="shared" si="8"/>
        <v>['Argentina','Peru',2,2],</v>
      </c>
      <c r="F271" t="str">
        <f t="shared" si="9"/>
        <v>['Peru','Argentina',2,2],</v>
      </c>
    </row>
    <row r="272" spans="1:6" x14ac:dyDescent="0.25">
      <c r="A272" t="s">
        <v>10</v>
      </c>
      <c r="B272" t="s">
        <v>43</v>
      </c>
      <c r="C272">
        <v>5</v>
      </c>
      <c r="D272">
        <v>0</v>
      </c>
      <c r="E272" t="str">
        <f t="shared" si="8"/>
        <v>['Chile','Paraguay',5,0],</v>
      </c>
      <c r="F272" t="str">
        <f t="shared" si="9"/>
        <v>['Paraguay','Chile',0,5],</v>
      </c>
    </row>
    <row r="273" spans="1:6" x14ac:dyDescent="0.25">
      <c r="A273" t="s">
        <v>99</v>
      </c>
      <c r="B273" t="s">
        <v>11</v>
      </c>
      <c r="C273">
        <v>1</v>
      </c>
      <c r="D273">
        <v>5</v>
      </c>
      <c r="E273" t="str">
        <f t="shared" si="8"/>
        <v>['Ecuador','Uruguay',1,5],</v>
      </c>
      <c r="F273" t="str">
        <f t="shared" si="9"/>
        <v>['Uruguay','Ecuador',5,1],</v>
      </c>
    </row>
    <row r="274" spans="1:6" x14ac:dyDescent="0.25">
      <c r="A274" t="s">
        <v>43</v>
      </c>
      <c r="B274" t="s">
        <v>66</v>
      </c>
      <c r="C274">
        <v>1</v>
      </c>
      <c r="D274">
        <v>1</v>
      </c>
      <c r="E274" t="str">
        <f t="shared" si="8"/>
        <v>['Paraguay','Peru',1,1],</v>
      </c>
      <c r="F274" t="str">
        <f t="shared" si="9"/>
        <v>['Peru','Paraguay',1,1],</v>
      </c>
    </row>
    <row r="275" spans="1:6" x14ac:dyDescent="0.25">
      <c r="A275" t="s">
        <v>16</v>
      </c>
      <c r="B275" t="s">
        <v>11</v>
      </c>
      <c r="C275">
        <v>6</v>
      </c>
      <c r="D275">
        <v>1</v>
      </c>
      <c r="E275" t="str">
        <f t="shared" si="8"/>
        <v>['Argentina','Uruguay',6,1],</v>
      </c>
      <c r="F275" t="str">
        <f t="shared" si="9"/>
        <v>['Uruguay','Argentina',1,6],</v>
      </c>
    </row>
    <row r="276" spans="1:6" x14ac:dyDescent="0.25">
      <c r="A276" t="s">
        <v>16</v>
      </c>
      <c r="B276" t="s">
        <v>10</v>
      </c>
      <c r="C276">
        <v>1</v>
      </c>
      <c r="D276">
        <v>0</v>
      </c>
      <c r="E276" t="str">
        <f t="shared" si="8"/>
        <v>['Argentina','Chile',1,0],</v>
      </c>
      <c r="F276" t="str">
        <f t="shared" si="9"/>
        <v>['Chile','Argentina',0,1],</v>
      </c>
    </row>
    <row r="277" spans="1:6" x14ac:dyDescent="0.25">
      <c r="A277" t="s">
        <v>66</v>
      </c>
      <c r="B277" t="s">
        <v>11</v>
      </c>
      <c r="C277">
        <v>2</v>
      </c>
      <c r="D277">
        <v>1</v>
      </c>
      <c r="E277" t="str">
        <f t="shared" si="8"/>
        <v>['Peru','Uruguay',2,1],</v>
      </c>
      <c r="F277" t="str">
        <f t="shared" si="9"/>
        <v>['Uruguay','Peru',1,2],</v>
      </c>
    </row>
    <row r="278" spans="1:6" x14ac:dyDescent="0.25">
      <c r="A278" t="s">
        <v>43</v>
      </c>
      <c r="B278" t="s">
        <v>11</v>
      </c>
      <c r="C278">
        <v>2</v>
      </c>
      <c r="D278">
        <v>4</v>
      </c>
      <c r="E278" t="str">
        <f t="shared" si="8"/>
        <v>['Paraguay','Uruguay',2,4],</v>
      </c>
      <c r="F278" t="str">
        <f t="shared" si="9"/>
        <v>['Uruguay','Paraguay',4,2],</v>
      </c>
    </row>
    <row r="279" spans="1:6" x14ac:dyDescent="0.25">
      <c r="A279" t="s">
        <v>16</v>
      </c>
      <c r="B279" t="s">
        <v>66</v>
      </c>
      <c r="C279">
        <v>2</v>
      </c>
      <c r="D279">
        <v>1</v>
      </c>
      <c r="E279" t="str">
        <f t="shared" si="8"/>
        <v>['Argentina','Peru',2,1],</v>
      </c>
      <c r="F279" t="str">
        <f t="shared" si="9"/>
        <v>['Peru','Argentina',1,2],</v>
      </c>
    </row>
    <row r="280" spans="1:6" x14ac:dyDescent="0.25">
      <c r="A280" t="s">
        <v>10</v>
      </c>
      <c r="B280" t="s">
        <v>19</v>
      </c>
      <c r="C280">
        <v>4</v>
      </c>
      <c r="D280">
        <v>1</v>
      </c>
      <c r="E280" t="str">
        <f t="shared" si="8"/>
        <v>['Chile','Brazil',4,1],</v>
      </c>
      <c r="F280" t="str">
        <f t="shared" si="9"/>
        <v>['Brazil','Chile',1,4],</v>
      </c>
    </row>
    <row r="281" spans="1:6" x14ac:dyDescent="0.25">
      <c r="A281" t="s">
        <v>66</v>
      </c>
      <c r="B281" t="s">
        <v>11</v>
      </c>
      <c r="C281">
        <v>0</v>
      </c>
      <c r="D281">
        <v>2</v>
      </c>
      <c r="E281" t="str">
        <f t="shared" si="8"/>
        <v>['Peru','Uruguay',0,2],</v>
      </c>
      <c r="F281" t="str">
        <f t="shared" si="9"/>
        <v>['Uruguay','Peru',2,0],</v>
      </c>
    </row>
    <row r="282" spans="1:6" x14ac:dyDescent="0.25">
      <c r="A282" t="s">
        <v>43</v>
      </c>
      <c r="B282" t="s">
        <v>19</v>
      </c>
      <c r="C282">
        <v>0</v>
      </c>
      <c r="D282">
        <v>0</v>
      </c>
      <c r="E282" t="str">
        <f t="shared" si="8"/>
        <v>['Paraguay','Brazil',0,0],</v>
      </c>
      <c r="F282" t="str">
        <f t="shared" si="9"/>
        <v>['Brazil','Paraguay',0,0],</v>
      </c>
    </row>
    <row r="283" spans="1:6" x14ac:dyDescent="0.25">
      <c r="A283" t="s">
        <v>16</v>
      </c>
      <c r="B283" t="s">
        <v>10</v>
      </c>
      <c r="C283">
        <v>2</v>
      </c>
      <c r="D283">
        <v>0</v>
      </c>
      <c r="E283" t="str">
        <f t="shared" si="8"/>
        <v>['Argentina','Chile',2,0],</v>
      </c>
      <c r="F283" t="str">
        <f t="shared" si="9"/>
        <v>['Chile','Argentina',0,2],</v>
      </c>
    </row>
    <row r="284" spans="1:6" x14ac:dyDescent="0.25">
      <c r="A284" t="s">
        <v>66</v>
      </c>
      <c r="B284" t="s">
        <v>19</v>
      </c>
      <c r="C284">
        <v>1</v>
      </c>
      <c r="D284">
        <v>2</v>
      </c>
      <c r="E284" t="str">
        <f t="shared" si="8"/>
        <v>['Peru','Brazil',1,2],</v>
      </c>
      <c r="F284" t="str">
        <f t="shared" si="9"/>
        <v>['Brazil','Peru',2,1],</v>
      </c>
    </row>
    <row r="285" spans="1:6" x14ac:dyDescent="0.25">
      <c r="A285" t="s">
        <v>16</v>
      </c>
      <c r="B285" t="s">
        <v>43</v>
      </c>
      <c r="C285">
        <v>1</v>
      </c>
      <c r="D285">
        <v>0</v>
      </c>
      <c r="E285" t="str">
        <f t="shared" si="8"/>
        <v>['Argentina','Paraguay',1,0],</v>
      </c>
      <c r="F285" t="str">
        <f t="shared" si="9"/>
        <v>['Paraguay','Argentina',0,1],</v>
      </c>
    </row>
    <row r="286" spans="1:6" x14ac:dyDescent="0.25">
      <c r="A286" t="s">
        <v>16</v>
      </c>
      <c r="B286" t="s">
        <v>19</v>
      </c>
      <c r="C286">
        <v>0</v>
      </c>
      <c r="D286">
        <v>1</v>
      </c>
      <c r="E286" t="str">
        <f t="shared" si="8"/>
        <v>['Argentina','Brazil',0,1],</v>
      </c>
      <c r="F286" t="str">
        <f t="shared" si="9"/>
        <v>['Brazil','Argentina',1,0],</v>
      </c>
    </row>
    <row r="287" spans="1:6" x14ac:dyDescent="0.25">
      <c r="A287" t="s">
        <v>43</v>
      </c>
      <c r="B287" t="s">
        <v>66</v>
      </c>
      <c r="C287">
        <v>1</v>
      </c>
      <c r="D287">
        <v>1</v>
      </c>
      <c r="E287" t="str">
        <f t="shared" si="8"/>
        <v>['Paraguay','Peru',1,1],</v>
      </c>
      <c r="F287" t="str">
        <f t="shared" si="9"/>
        <v>['Peru','Paraguay',1,1],</v>
      </c>
    </row>
    <row r="288" spans="1:6" x14ac:dyDescent="0.25">
      <c r="A288" t="s">
        <v>10</v>
      </c>
      <c r="B288" t="s">
        <v>11</v>
      </c>
      <c r="C288">
        <v>1</v>
      </c>
      <c r="D288">
        <v>2</v>
      </c>
      <c r="E288" t="str">
        <f t="shared" si="8"/>
        <v>['Chile','Uruguay',1,2],</v>
      </c>
      <c r="F288" t="str">
        <f t="shared" si="9"/>
        <v>['Uruguay','Chile',2,1],</v>
      </c>
    </row>
    <row r="289" spans="1:6" x14ac:dyDescent="0.25">
      <c r="A289" t="s">
        <v>10</v>
      </c>
      <c r="B289" t="s">
        <v>66</v>
      </c>
      <c r="C289">
        <v>4</v>
      </c>
      <c r="D289">
        <v>3</v>
      </c>
      <c r="E289" t="str">
        <f t="shared" si="8"/>
        <v>['Chile','Peru',4,3],</v>
      </c>
      <c r="F289" t="str">
        <f t="shared" si="9"/>
        <v>['Peru','Chile',3,4],</v>
      </c>
    </row>
    <row r="290" spans="1:6" x14ac:dyDescent="0.25">
      <c r="A290" t="s">
        <v>11</v>
      </c>
      <c r="B290" t="s">
        <v>19</v>
      </c>
      <c r="C290">
        <v>0</v>
      </c>
      <c r="D290">
        <v>0</v>
      </c>
      <c r="E290" t="str">
        <f t="shared" si="8"/>
        <v>['Uruguay','Brazil',0,0],</v>
      </c>
      <c r="F290" t="str">
        <f t="shared" si="9"/>
        <v>['Brazil','Uruguay',0,0],</v>
      </c>
    </row>
    <row r="291" spans="1:6" x14ac:dyDescent="0.25">
      <c r="A291" t="s">
        <v>10</v>
      </c>
      <c r="B291" t="s">
        <v>43</v>
      </c>
      <c r="C291">
        <v>2</v>
      </c>
      <c r="D291">
        <v>0</v>
      </c>
      <c r="E291" t="str">
        <f t="shared" si="8"/>
        <v>['Chile','Paraguay',2,0],</v>
      </c>
      <c r="F291" t="str">
        <f t="shared" si="9"/>
        <v>['Paraguay','Chile',0,2],</v>
      </c>
    </row>
    <row r="292" spans="1:6" x14ac:dyDescent="0.25">
      <c r="A292" t="s">
        <v>16</v>
      </c>
      <c r="B292" t="s">
        <v>11</v>
      </c>
      <c r="C292">
        <v>0</v>
      </c>
      <c r="D292">
        <v>1</v>
      </c>
      <c r="E292" t="str">
        <f t="shared" si="8"/>
        <v>['Argentina','Uruguay',0,1],</v>
      </c>
      <c r="F292" t="str">
        <f t="shared" si="9"/>
        <v>['Uruguay','Argentina',1,0],</v>
      </c>
    </row>
    <row r="293" spans="1:6" x14ac:dyDescent="0.25">
      <c r="A293" t="s">
        <v>99</v>
      </c>
      <c r="B293" t="s">
        <v>11</v>
      </c>
      <c r="C293">
        <v>2</v>
      </c>
      <c r="D293">
        <v>5</v>
      </c>
      <c r="E293" t="str">
        <f t="shared" si="8"/>
        <v>['Ecuador','Uruguay',2,5],</v>
      </c>
      <c r="F293" t="str">
        <f t="shared" si="9"/>
        <v>['Uruguay','Ecuador',5,2],</v>
      </c>
    </row>
    <row r="294" spans="1:6" x14ac:dyDescent="0.25">
      <c r="A294" t="s">
        <v>99</v>
      </c>
      <c r="B294" t="s">
        <v>66</v>
      </c>
      <c r="C294">
        <v>1</v>
      </c>
      <c r="D294">
        <v>2</v>
      </c>
      <c r="E294" t="str">
        <f t="shared" si="8"/>
        <v>['Ecuador','Peru',1,2],</v>
      </c>
      <c r="F294" t="str">
        <f t="shared" si="9"/>
        <v>['Peru','Ecuador',2,1],</v>
      </c>
    </row>
    <row r="295" spans="1:6" x14ac:dyDescent="0.25">
      <c r="A295" t="s">
        <v>10</v>
      </c>
      <c r="B295" t="s">
        <v>19</v>
      </c>
      <c r="C295">
        <v>2</v>
      </c>
      <c r="D295">
        <v>4</v>
      </c>
      <c r="E295" t="str">
        <f t="shared" si="8"/>
        <v>['Chile','Brazil',2,4],</v>
      </c>
      <c r="F295" t="str">
        <f t="shared" si="9"/>
        <v>['Brazil','Chile',4,2],</v>
      </c>
    </row>
    <row r="296" spans="1:6" x14ac:dyDescent="0.25">
      <c r="A296" t="s">
        <v>16</v>
      </c>
      <c r="B296" t="s">
        <v>125</v>
      </c>
      <c r="C296">
        <v>8</v>
      </c>
      <c r="D296">
        <v>2</v>
      </c>
      <c r="E296" t="str">
        <f t="shared" si="8"/>
        <v>['Argentina','Colombia',8,2],</v>
      </c>
      <c r="F296" t="str">
        <f t="shared" si="9"/>
        <v>['Colombia','Argentina',2,8],</v>
      </c>
    </row>
    <row r="297" spans="1:6" x14ac:dyDescent="0.25">
      <c r="A297" t="s">
        <v>10</v>
      </c>
      <c r="B297" t="s">
        <v>66</v>
      </c>
      <c r="C297">
        <v>0</v>
      </c>
      <c r="D297">
        <v>1</v>
      </c>
      <c r="E297" t="str">
        <f t="shared" si="8"/>
        <v>['Chile','Peru',0,1],</v>
      </c>
      <c r="F297" t="str">
        <f t="shared" si="9"/>
        <v>['Peru','Chile',1,0],</v>
      </c>
    </row>
    <row r="298" spans="1:6" x14ac:dyDescent="0.25">
      <c r="A298" t="s">
        <v>16</v>
      </c>
      <c r="B298" t="s">
        <v>99</v>
      </c>
      <c r="C298">
        <v>3</v>
      </c>
      <c r="D298">
        <v>0</v>
      </c>
      <c r="E298" t="str">
        <f t="shared" si="8"/>
        <v>['Argentina','Ecuador',3,0],</v>
      </c>
      <c r="F298" t="str">
        <f t="shared" si="9"/>
        <v>['Ecuador','Argentina',0,3],</v>
      </c>
    </row>
    <row r="299" spans="1:6" x14ac:dyDescent="0.25">
      <c r="A299" t="s">
        <v>125</v>
      </c>
      <c r="B299" t="s">
        <v>11</v>
      </c>
      <c r="C299">
        <v>1</v>
      </c>
      <c r="D299">
        <v>0</v>
      </c>
      <c r="E299" t="str">
        <f t="shared" si="8"/>
        <v>['Colombia','Uruguay',1,0],</v>
      </c>
      <c r="F299" t="str">
        <f t="shared" si="9"/>
        <v>['Uruguay','Colombia',0,1],</v>
      </c>
    </row>
    <row r="300" spans="1:6" x14ac:dyDescent="0.25">
      <c r="A300" t="s">
        <v>16</v>
      </c>
      <c r="B300" t="s">
        <v>11</v>
      </c>
      <c r="C300">
        <v>4</v>
      </c>
      <c r="D300">
        <v>0</v>
      </c>
      <c r="E300" t="str">
        <f t="shared" si="8"/>
        <v>['Argentina','Uruguay',4,0],</v>
      </c>
      <c r="F300" t="str">
        <f t="shared" si="9"/>
        <v>['Uruguay','Argentina',0,4],</v>
      </c>
    </row>
    <row r="301" spans="1:6" x14ac:dyDescent="0.25">
      <c r="A301" t="s">
        <v>99</v>
      </c>
      <c r="B301" t="s">
        <v>19</v>
      </c>
      <c r="C301">
        <v>1</v>
      </c>
      <c r="D301">
        <v>7</v>
      </c>
      <c r="E301" t="str">
        <f t="shared" si="8"/>
        <v>['Ecuador','Brazil',1,7],</v>
      </c>
      <c r="F301" t="str">
        <f t="shared" si="9"/>
        <v>['Brazil','Ecuador',7,1],</v>
      </c>
    </row>
    <row r="302" spans="1:6" x14ac:dyDescent="0.25">
      <c r="A302" t="s">
        <v>10</v>
      </c>
      <c r="B302" t="s">
        <v>125</v>
      </c>
      <c r="C302">
        <v>3</v>
      </c>
      <c r="D302">
        <v>2</v>
      </c>
      <c r="E302" t="str">
        <f t="shared" si="8"/>
        <v>['Chile','Colombia',3,2],</v>
      </c>
      <c r="F302" t="str">
        <f t="shared" si="9"/>
        <v>['Colombia','Chile',2,3],</v>
      </c>
    </row>
    <row r="303" spans="1:6" x14ac:dyDescent="0.25">
      <c r="A303" t="s">
        <v>66</v>
      </c>
      <c r="B303" t="s">
        <v>11</v>
      </c>
      <c r="C303">
        <v>3</v>
      </c>
      <c r="D303">
        <v>5</v>
      </c>
      <c r="E303" t="str">
        <f t="shared" si="8"/>
        <v>['Peru','Uruguay',3,5],</v>
      </c>
      <c r="F303" t="str">
        <f t="shared" si="9"/>
        <v>['Uruguay','Peru',5,3],</v>
      </c>
    </row>
    <row r="304" spans="1:6" x14ac:dyDescent="0.25">
      <c r="A304" t="s">
        <v>125</v>
      </c>
      <c r="B304" t="s">
        <v>19</v>
      </c>
      <c r="C304">
        <v>0</v>
      </c>
      <c r="D304">
        <v>9</v>
      </c>
      <c r="E304" t="str">
        <f t="shared" si="8"/>
        <v>['Colombia','Brazil',0,9],</v>
      </c>
      <c r="F304" t="str">
        <f t="shared" si="9"/>
        <v>['Brazil','Colombia',9,0],</v>
      </c>
    </row>
    <row r="305" spans="1:6" x14ac:dyDescent="0.25">
      <c r="A305" t="s">
        <v>10</v>
      </c>
      <c r="B305" t="s">
        <v>99</v>
      </c>
      <c r="C305">
        <v>2</v>
      </c>
      <c r="D305">
        <v>2</v>
      </c>
      <c r="E305" t="str">
        <f t="shared" si="8"/>
        <v>['Chile','Ecuador',2,2],</v>
      </c>
      <c r="F305" t="str">
        <f t="shared" si="9"/>
        <v>['Ecuador','Chile',2,2],</v>
      </c>
    </row>
    <row r="306" spans="1:6" x14ac:dyDescent="0.25">
      <c r="A306" t="s">
        <v>125</v>
      </c>
      <c r="B306" t="s">
        <v>66</v>
      </c>
      <c r="C306">
        <v>1</v>
      </c>
      <c r="D306">
        <v>4</v>
      </c>
      <c r="E306" t="str">
        <f t="shared" si="8"/>
        <v>['Colombia','Peru',1,4],</v>
      </c>
      <c r="F306" t="str">
        <f t="shared" si="9"/>
        <v>['Peru','Colombia',4,1],</v>
      </c>
    </row>
    <row r="307" spans="1:6" x14ac:dyDescent="0.25">
      <c r="A307" t="s">
        <v>16</v>
      </c>
      <c r="B307" t="s">
        <v>10</v>
      </c>
      <c r="C307">
        <v>6</v>
      </c>
      <c r="D307">
        <v>2</v>
      </c>
      <c r="E307" t="str">
        <f t="shared" si="8"/>
        <v>['Argentina','Chile',6,2],</v>
      </c>
      <c r="F307" t="str">
        <f t="shared" si="9"/>
        <v>['Chile','Argentina',2,6],</v>
      </c>
    </row>
    <row r="308" spans="1:6" x14ac:dyDescent="0.25">
      <c r="A308" t="s">
        <v>11</v>
      </c>
      <c r="B308" t="s">
        <v>19</v>
      </c>
      <c r="C308">
        <v>3</v>
      </c>
      <c r="D308">
        <v>2</v>
      </c>
      <c r="E308" t="str">
        <f t="shared" si="8"/>
        <v>['Uruguay','Brazil',3,2],</v>
      </c>
      <c r="F308" t="str">
        <f t="shared" si="9"/>
        <v>['Brazil','Uruguay',2,3],</v>
      </c>
    </row>
    <row r="309" spans="1:6" x14ac:dyDescent="0.25">
      <c r="A309" t="s">
        <v>66</v>
      </c>
      <c r="B309" t="s">
        <v>19</v>
      </c>
      <c r="C309">
        <v>0</v>
      </c>
      <c r="D309">
        <v>1</v>
      </c>
      <c r="E309" t="str">
        <f t="shared" si="8"/>
        <v>['Peru','Brazil',0,1],</v>
      </c>
      <c r="F309" t="str">
        <f t="shared" si="9"/>
        <v>['Brazil','Peru',1,0],</v>
      </c>
    </row>
    <row r="310" spans="1:6" x14ac:dyDescent="0.25">
      <c r="A310" t="s">
        <v>10</v>
      </c>
      <c r="B310" t="s">
        <v>11</v>
      </c>
      <c r="C310">
        <v>0</v>
      </c>
      <c r="D310">
        <v>2</v>
      </c>
      <c r="E310" t="str">
        <f t="shared" si="8"/>
        <v>['Chile','Uruguay',0,2],</v>
      </c>
      <c r="F310" t="str">
        <f t="shared" si="9"/>
        <v>['Uruguay','Chile',2,0],</v>
      </c>
    </row>
    <row r="311" spans="1:6" x14ac:dyDescent="0.25">
      <c r="A311" t="s">
        <v>125</v>
      </c>
      <c r="B311" t="s">
        <v>99</v>
      </c>
      <c r="C311">
        <v>4</v>
      </c>
      <c r="D311">
        <v>1</v>
      </c>
      <c r="E311" t="str">
        <f t="shared" si="8"/>
        <v>['Colombia','Ecuador',4,1],</v>
      </c>
      <c r="F311" t="str">
        <f t="shared" si="9"/>
        <v>['Ecuador','Colombia',1,4],</v>
      </c>
    </row>
    <row r="312" spans="1:6" x14ac:dyDescent="0.25">
      <c r="A312" t="s">
        <v>16</v>
      </c>
      <c r="B312" t="s">
        <v>19</v>
      </c>
      <c r="C312">
        <v>3</v>
      </c>
      <c r="D312">
        <v>0</v>
      </c>
      <c r="E312" t="str">
        <f t="shared" si="8"/>
        <v>['Argentina','Brazil',3,0],</v>
      </c>
      <c r="F312" t="str">
        <f t="shared" si="9"/>
        <v>['Brazil','Argentina',0,3],</v>
      </c>
    </row>
    <row r="313" spans="1:6" x14ac:dyDescent="0.25">
      <c r="A313" t="s">
        <v>16</v>
      </c>
      <c r="B313" t="s">
        <v>66</v>
      </c>
      <c r="C313">
        <v>1</v>
      </c>
      <c r="D313">
        <v>2</v>
      </c>
      <c r="E313" t="str">
        <f t="shared" si="8"/>
        <v>['Argentina','Peru',1,2],</v>
      </c>
      <c r="F313" t="str">
        <f t="shared" si="9"/>
        <v>['Peru','Argentina',2,1],</v>
      </c>
    </row>
    <row r="314" spans="1:6" x14ac:dyDescent="0.25">
      <c r="A314" t="s">
        <v>16</v>
      </c>
      <c r="B314" t="s">
        <v>10</v>
      </c>
      <c r="C314">
        <v>6</v>
      </c>
      <c r="D314">
        <v>1</v>
      </c>
      <c r="E314" t="str">
        <f t="shared" si="8"/>
        <v>['Argentina','Chile',6,1],</v>
      </c>
      <c r="F314" t="str">
        <f t="shared" si="9"/>
        <v>['Chile','Argentina',1,6],</v>
      </c>
    </row>
    <row r="315" spans="1:6" x14ac:dyDescent="0.25">
      <c r="A315" t="s">
        <v>56</v>
      </c>
      <c r="B315" t="s">
        <v>11</v>
      </c>
      <c r="C315">
        <v>0</v>
      </c>
      <c r="D315">
        <v>7</v>
      </c>
      <c r="E315" t="str">
        <f t="shared" si="8"/>
        <v>['Bolivia','Uruguay',0,7],</v>
      </c>
      <c r="F315" t="str">
        <f t="shared" si="9"/>
        <v>['Uruguay','Bolivia',7,0],</v>
      </c>
    </row>
    <row r="316" spans="1:6" x14ac:dyDescent="0.25">
      <c r="A316" t="s">
        <v>66</v>
      </c>
      <c r="B316" t="s">
        <v>19</v>
      </c>
      <c r="C316">
        <v>2</v>
      </c>
      <c r="D316">
        <v>2</v>
      </c>
      <c r="E316" t="str">
        <f t="shared" si="8"/>
        <v>['Peru','Brazil',2,2],</v>
      </c>
      <c r="F316" t="str">
        <f t="shared" si="9"/>
        <v>['Brazil','Peru',2,2],</v>
      </c>
    </row>
    <row r="317" spans="1:6" x14ac:dyDescent="0.25">
      <c r="A317" t="s">
        <v>10</v>
      </c>
      <c r="B317" t="s">
        <v>43</v>
      </c>
      <c r="C317">
        <v>1</v>
      </c>
      <c r="D317">
        <v>2</v>
      </c>
      <c r="E317" t="str">
        <f t="shared" si="8"/>
        <v>['Chile','Paraguay',1,2],</v>
      </c>
      <c r="F317" t="str">
        <f t="shared" si="9"/>
        <v>['Paraguay','Chile',2,1],</v>
      </c>
    </row>
    <row r="318" spans="1:6" x14ac:dyDescent="0.25">
      <c r="A318" t="s">
        <v>16</v>
      </c>
      <c r="B318" t="s">
        <v>56</v>
      </c>
      <c r="C318">
        <v>2</v>
      </c>
      <c r="D318">
        <v>0</v>
      </c>
      <c r="E318" t="str">
        <f t="shared" si="8"/>
        <v>['Argentina','Bolivia',2,0],</v>
      </c>
      <c r="F318" t="str">
        <f t="shared" si="9"/>
        <v>['Bolivia','Argentina',0,2],</v>
      </c>
    </row>
    <row r="319" spans="1:6" x14ac:dyDescent="0.25">
      <c r="A319" t="s">
        <v>66</v>
      </c>
      <c r="B319" t="s">
        <v>11</v>
      </c>
      <c r="C319">
        <v>5</v>
      </c>
      <c r="D319">
        <v>3</v>
      </c>
      <c r="E319" t="str">
        <f t="shared" si="8"/>
        <v>['Peru','Uruguay',5,3],</v>
      </c>
      <c r="F319" t="str">
        <f t="shared" si="9"/>
        <v>['Uruguay','Peru',3,5],</v>
      </c>
    </row>
    <row r="320" spans="1:6" x14ac:dyDescent="0.25">
      <c r="A320" t="s">
        <v>56</v>
      </c>
      <c r="B320" t="s">
        <v>43</v>
      </c>
      <c r="C320">
        <v>0</v>
      </c>
      <c r="D320">
        <v>5</v>
      </c>
      <c r="E320" t="str">
        <f t="shared" si="8"/>
        <v>['Bolivia','Paraguay',0,5],</v>
      </c>
      <c r="F320" t="str">
        <f t="shared" si="9"/>
        <v>['Paraguay','Bolivia',5,0],</v>
      </c>
    </row>
    <row r="321" spans="1:6" x14ac:dyDescent="0.25">
      <c r="A321" t="s">
        <v>10</v>
      </c>
      <c r="B321" t="s">
        <v>19</v>
      </c>
      <c r="C321">
        <v>0</v>
      </c>
      <c r="D321">
        <v>3</v>
      </c>
      <c r="E321" t="str">
        <f t="shared" si="8"/>
        <v>['Chile','Brazil',0,3],</v>
      </c>
      <c r="F321" t="str">
        <f t="shared" si="9"/>
        <v>['Brazil','Chile',3,0],</v>
      </c>
    </row>
    <row r="322" spans="1:6" x14ac:dyDescent="0.25">
      <c r="A322" t="s">
        <v>16</v>
      </c>
      <c r="B322" t="s">
        <v>66</v>
      </c>
      <c r="C322">
        <v>3</v>
      </c>
      <c r="D322">
        <v>1</v>
      </c>
      <c r="E322" t="str">
        <f t="shared" si="8"/>
        <v>['Argentina','Peru',3,1],</v>
      </c>
      <c r="F322" t="str">
        <f t="shared" si="9"/>
        <v>['Peru','Argentina',1,3],</v>
      </c>
    </row>
    <row r="323" spans="1:6" x14ac:dyDescent="0.25">
      <c r="A323" t="s">
        <v>43</v>
      </c>
      <c r="B323" t="s">
        <v>11</v>
      </c>
      <c r="C323">
        <v>1</v>
      </c>
      <c r="D323">
        <v>3</v>
      </c>
      <c r="E323" t="str">
        <f t="shared" ref="E323:E386" si="10">"['"&amp;A323&amp;"','"&amp;B323&amp;"',"&amp;C323&amp;","&amp;D323&amp;"],"</f>
        <v>['Paraguay','Uruguay',1,3],</v>
      </c>
      <c r="F323" t="str">
        <f t="shared" ref="F323:F386" si="11">"['"&amp;B323&amp;"','"&amp;A323&amp;"',"&amp;D323&amp;","&amp;C323&amp;"],"</f>
        <v>['Uruguay','Paraguay',3,1],</v>
      </c>
    </row>
    <row r="324" spans="1:6" x14ac:dyDescent="0.25">
      <c r="A324" t="s">
        <v>10</v>
      </c>
      <c r="B324" t="s">
        <v>66</v>
      </c>
      <c r="C324">
        <v>1</v>
      </c>
      <c r="D324">
        <v>1</v>
      </c>
      <c r="E324" t="str">
        <f t="shared" si="10"/>
        <v>['Chile','Peru',1,1],</v>
      </c>
      <c r="F324" t="str">
        <f t="shared" si="11"/>
        <v>['Peru','Chile',1,1],</v>
      </c>
    </row>
    <row r="325" spans="1:6" x14ac:dyDescent="0.25">
      <c r="A325" t="s">
        <v>56</v>
      </c>
      <c r="B325" t="s">
        <v>19</v>
      </c>
      <c r="C325">
        <v>2</v>
      </c>
      <c r="D325">
        <v>4</v>
      </c>
      <c r="E325" t="str">
        <f t="shared" si="10"/>
        <v>['Bolivia','Brazil',2,4],</v>
      </c>
      <c r="F325" t="str">
        <f t="shared" si="11"/>
        <v>['Brazil','Bolivia',4,2],</v>
      </c>
    </row>
    <row r="326" spans="1:6" x14ac:dyDescent="0.25">
      <c r="A326" t="s">
        <v>16</v>
      </c>
      <c r="B326" t="s">
        <v>43</v>
      </c>
      <c r="C326">
        <v>3</v>
      </c>
      <c r="D326">
        <v>1</v>
      </c>
      <c r="E326" t="str">
        <f t="shared" si="10"/>
        <v>['Argentina','Paraguay',3,1],</v>
      </c>
      <c r="F326" t="str">
        <f t="shared" si="11"/>
        <v>['Paraguay','Argentina',1,3],</v>
      </c>
    </row>
    <row r="327" spans="1:6" x14ac:dyDescent="0.25">
      <c r="A327" t="s">
        <v>11</v>
      </c>
      <c r="B327" t="s">
        <v>19</v>
      </c>
      <c r="C327">
        <v>1</v>
      </c>
      <c r="D327">
        <v>3</v>
      </c>
      <c r="E327" t="str">
        <f t="shared" si="10"/>
        <v>['Uruguay','Brazil',1,3],</v>
      </c>
      <c r="F327" t="str">
        <f t="shared" si="11"/>
        <v>['Brazil','Uruguay',3,1],</v>
      </c>
    </row>
    <row r="328" spans="1:6" x14ac:dyDescent="0.25">
      <c r="A328" t="s">
        <v>56</v>
      </c>
      <c r="B328" t="s">
        <v>10</v>
      </c>
      <c r="C328">
        <v>2</v>
      </c>
      <c r="D328">
        <v>5</v>
      </c>
      <c r="E328" t="str">
        <f t="shared" si="10"/>
        <v>['Bolivia','Chile',2,5],</v>
      </c>
      <c r="F328" t="str">
        <f t="shared" si="11"/>
        <v>['Chile','Bolivia',5,2],</v>
      </c>
    </row>
    <row r="329" spans="1:6" x14ac:dyDescent="0.25">
      <c r="A329" t="s">
        <v>56</v>
      </c>
      <c r="B329" t="s">
        <v>66</v>
      </c>
      <c r="C329">
        <v>0</v>
      </c>
      <c r="D329">
        <v>0</v>
      </c>
      <c r="E329" t="str">
        <f t="shared" si="10"/>
        <v>['Bolivia','Peru',0,0],</v>
      </c>
      <c r="F329" t="str">
        <f t="shared" si="11"/>
        <v>['Peru','Bolivia',0,0],</v>
      </c>
    </row>
    <row r="330" spans="1:6" x14ac:dyDescent="0.25">
      <c r="A330" t="s">
        <v>43</v>
      </c>
      <c r="B330" t="s">
        <v>19</v>
      </c>
      <c r="C330">
        <v>1</v>
      </c>
      <c r="D330">
        <v>4</v>
      </c>
      <c r="E330" t="str">
        <f t="shared" si="10"/>
        <v>['Paraguay','Brazil',1,4],</v>
      </c>
      <c r="F330" t="str">
        <f t="shared" si="11"/>
        <v>['Brazil','Paraguay',4,1],</v>
      </c>
    </row>
    <row r="331" spans="1:6" x14ac:dyDescent="0.25">
      <c r="A331" t="s">
        <v>16</v>
      </c>
      <c r="B331" t="s">
        <v>11</v>
      </c>
      <c r="C331">
        <v>4</v>
      </c>
      <c r="D331">
        <v>1</v>
      </c>
      <c r="E331" t="str">
        <f t="shared" si="10"/>
        <v>['Argentina','Uruguay',4,1],</v>
      </c>
      <c r="F331" t="str">
        <f t="shared" si="11"/>
        <v>['Uruguay','Argentina',1,4],</v>
      </c>
    </row>
    <row r="332" spans="1:6" x14ac:dyDescent="0.25">
      <c r="A332" t="s">
        <v>10</v>
      </c>
      <c r="B332" t="s">
        <v>11</v>
      </c>
      <c r="C332">
        <v>1</v>
      </c>
      <c r="D332">
        <v>0</v>
      </c>
      <c r="E332" t="str">
        <f t="shared" si="10"/>
        <v>['Chile','Uruguay',1,0],</v>
      </c>
      <c r="F332" t="str">
        <f t="shared" si="11"/>
        <v>['Uruguay','Chile',0,1],</v>
      </c>
    </row>
    <row r="333" spans="1:6" x14ac:dyDescent="0.25">
      <c r="A333" t="s">
        <v>43</v>
      </c>
      <c r="B333" t="s">
        <v>66</v>
      </c>
      <c r="C333">
        <v>2</v>
      </c>
      <c r="D333">
        <v>1</v>
      </c>
      <c r="E333" t="str">
        <f t="shared" si="10"/>
        <v>['Paraguay','Peru',2,1],</v>
      </c>
      <c r="F333" t="str">
        <f t="shared" si="11"/>
        <v>['Peru','Paraguay',1,2],</v>
      </c>
    </row>
    <row r="334" spans="1:6" x14ac:dyDescent="0.25">
      <c r="A334" t="s">
        <v>16</v>
      </c>
      <c r="B334" t="s">
        <v>19</v>
      </c>
      <c r="C334">
        <v>1</v>
      </c>
      <c r="D334">
        <v>1</v>
      </c>
      <c r="E334" t="str">
        <f t="shared" si="10"/>
        <v>['Argentina','Brazil',1,1],</v>
      </c>
      <c r="F334" t="str">
        <f t="shared" si="11"/>
        <v>['Brazil','Argentina',1,1],</v>
      </c>
    </row>
    <row r="335" spans="1:6" x14ac:dyDescent="0.25">
      <c r="A335" t="s">
        <v>43</v>
      </c>
      <c r="B335" t="s">
        <v>19</v>
      </c>
      <c r="C335">
        <v>2</v>
      </c>
      <c r="D335">
        <v>3</v>
      </c>
      <c r="E335" t="str">
        <f t="shared" si="10"/>
        <v>['Paraguay','Brazil',2,3],</v>
      </c>
      <c r="F335" t="str">
        <f t="shared" si="11"/>
        <v>['Brazil','Paraguay',3,2],</v>
      </c>
    </row>
    <row r="336" spans="1:6" x14ac:dyDescent="0.25">
      <c r="A336" t="s">
        <v>99</v>
      </c>
      <c r="B336" t="s">
        <v>11</v>
      </c>
      <c r="C336">
        <v>0</v>
      </c>
      <c r="D336">
        <v>4</v>
      </c>
      <c r="E336" t="str">
        <f t="shared" si="10"/>
        <v>['Ecuador','Uruguay',0,4],</v>
      </c>
      <c r="F336" t="str">
        <f t="shared" si="11"/>
        <v>['Uruguay','Ecuador',4,0],</v>
      </c>
    </row>
    <row r="337" spans="1:6" x14ac:dyDescent="0.25">
      <c r="A337" t="s">
        <v>16</v>
      </c>
      <c r="B337" t="s">
        <v>43</v>
      </c>
      <c r="C337">
        <v>4</v>
      </c>
      <c r="D337">
        <v>2</v>
      </c>
      <c r="E337" t="str">
        <f t="shared" si="10"/>
        <v>['Argentina','Paraguay',4,2],</v>
      </c>
      <c r="F337" t="str">
        <f t="shared" si="11"/>
        <v>['Paraguay','Argentina',2,4],</v>
      </c>
    </row>
    <row r="338" spans="1:6" x14ac:dyDescent="0.25">
      <c r="A338" t="s">
        <v>16</v>
      </c>
      <c r="B338" t="s">
        <v>99</v>
      </c>
      <c r="C338">
        <v>1</v>
      </c>
      <c r="D338">
        <v>1</v>
      </c>
      <c r="E338" t="str">
        <f t="shared" si="10"/>
        <v>['Argentina','Ecuador',1,1],</v>
      </c>
      <c r="F338" t="str">
        <f t="shared" si="11"/>
        <v>['Ecuador','Argentina',1,1],</v>
      </c>
    </row>
    <row r="339" spans="1:6" x14ac:dyDescent="0.25">
      <c r="A339" t="s">
        <v>11</v>
      </c>
      <c r="B339" t="s">
        <v>19</v>
      </c>
      <c r="C339">
        <v>3</v>
      </c>
      <c r="D339">
        <v>0</v>
      </c>
      <c r="E339" t="str">
        <f t="shared" si="10"/>
        <v>['Uruguay','Brazil',3,0],</v>
      </c>
      <c r="F339" t="str">
        <f t="shared" si="11"/>
        <v>['Brazil','Uruguay',0,3],</v>
      </c>
    </row>
    <row r="340" spans="1:6" x14ac:dyDescent="0.25">
      <c r="A340" t="s">
        <v>16</v>
      </c>
      <c r="B340" t="s">
        <v>11</v>
      </c>
      <c r="C340">
        <v>0</v>
      </c>
      <c r="D340">
        <v>5</v>
      </c>
      <c r="E340" t="str">
        <f t="shared" si="10"/>
        <v>['Argentina','Uruguay',0,5],</v>
      </c>
      <c r="F340" t="str">
        <f t="shared" si="11"/>
        <v>['Uruguay','Argentina',5,0],</v>
      </c>
    </row>
    <row r="341" spans="1:6" x14ac:dyDescent="0.25">
      <c r="A341" t="s">
        <v>99</v>
      </c>
      <c r="B341" t="s">
        <v>19</v>
      </c>
      <c r="C341">
        <v>1</v>
      </c>
      <c r="D341">
        <v>3</v>
      </c>
      <c r="E341" t="str">
        <f t="shared" si="10"/>
        <v>['Ecuador','Brazil',1,3],</v>
      </c>
      <c r="F341" t="str">
        <f t="shared" si="11"/>
        <v>['Brazil','Ecuador',3,1],</v>
      </c>
    </row>
    <row r="342" spans="1:6" x14ac:dyDescent="0.25">
      <c r="A342" t="s">
        <v>43</v>
      </c>
      <c r="B342" t="s">
        <v>11</v>
      </c>
      <c r="C342">
        <v>1</v>
      </c>
      <c r="D342">
        <v>1</v>
      </c>
      <c r="E342" t="str">
        <f t="shared" si="10"/>
        <v>['Paraguay','Uruguay',1,1],</v>
      </c>
      <c r="F342" t="str">
        <f t="shared" si="11"/>
        <v>['Uruguay','Paraguay',1,1],</v>
      </c>
    </row>
    <row r="343" spans="1:6" x14ac:dyDescent="0.25">
      <c r="A343" t="s">
        <v>16</v>
      </c>
      <c r="B343" t="s">
        <v>19</v>
      </c>
      <c r="C343">
        <v>4</v>
      </c>
      <c r="D343">
        <v>1</v>
      </c>
      <c r="E343" t="str">
        <f t="shared" si="10"/>
        <v>['Argentina','Brazil',4,1],</v>
      </c>
      <c r="F343" t="str">
        <f t="shared" si="11"/>
        <v>['Brazil','Argentina',1,4],</v>
      </c>
    </row>
    <row r="344" spans="1:6" x14ac:dyDescent="0.25">
      <c r="A344" t="s">
        <v>99</v>
      </c>
      <c r="B344" t="s">
        <v>43</v>
      </c>
      <c r="C344">
        <v>3</v>
      </c>
      <c r="D344">
        <v>1</v>
      </c>
      <c r="E344" t="str">
        <f t="shared" si="10"/>
        <v>['Ecuador','Paraguay',3,1],</v>
      </c>
      <c r="F344" t="str">
        <f t="shared" si="11"/>
        <v>['Paraguay','Ecuador',1,3],</v>
      </c>
    </row>
    <row r="345" spans="1:6" x14ac:dyDescent="0.25">
      <c r="A345" t="s">
        <v>66</v>
      </c>
      <c r="B345" t="s">
        <v>19</v>
      </c>
      <c r="C345">
        <v>0</v>
      </c>
      <c r="D345">
        <v>1</v>
      </c>
      <c r="E345" t="str">
        <f t="shared" si="10"/>
        <v>['Peru','Brazil',0,1],</v>
      </c>
      <c r="F345" t="str">
        <f t="shared" si="11"/>
        <v>['Brazil','Peru',1,0],</v>
      </c>
    </row>
    <row r="346" spans="1:6" x14ac:dyDescent="0.25">
      <c r="A346" t="s">
        <v>16</v>
      </c>
      <c r="B346" t="s">
        <v>125</v>
      </c>
      <c r="C346">
        <v>4</v>
      </c>
      <c r="D346">
        <v>2</v>
      </c>
      <c r="E346" t="str">
        <f t="shared" si="10"/>
        <v>['Argentina','Colombia',4,2],</v>
      </c>
      <c r="F346" t="str">
        <f t="shared" si="11"/>
        <v>['Colombia','Argentina',2,4],</v>
      </c>
    </row>
    <row r="347" spans="1:6" x14ac:dyDescent="0.25">
      <c r="A347" t="s">
        <v>56</v>
      </c>
      <c r="B347" t="s">
        <v>99</v>
      </c>
      <c r="C347">
        <v>4</v>
      </c>
      <c r="D347">
        <v>4</v>
      </c>
      <c r="E347" t="str">
        <f t="shared" si="10"/>
        <v>['Bolivia','Ecuador',4,4],</v>
      </c>
      <c r="F347" t="str">
        <f t="shared" si="11"/>
        <v>['Ecuador','Bolivia',4,4],</v>
      </c>
    </row>
    <row r="348" spans="1:6" x14ac:dyDescent="0.25">
      <c r="A348" t="s">
        <v>16</v>
      </c>
      <c r="B348" t="s">
        <v>66</v>
      </c>
      <c r="C348">
        <v>1</v>
      </c>
      <c r="D348">
        <v>2</v>
      </c>
      <c r="E348" t="str">
        <f t="shared" si="10"/>
        <v>['Argentina','Peru',1,2],</v>
      </c>
      <c r="F348" t="str">
        <f t="shared" si="11"/>
        <v>['Peru','Argentina',2,1],</v>
      </c>
    </row>
    <row r="349" spans="1:6" x14ac:dyDescent="0.25">
      <c r="A349" t="s">
        <v>99</v>
      </c>
      <c r="B349" t="s">
        <v>43</v>
      </c>
      <c r="C349">
        <v>1</v>
      </c>
      <c r="D349">
        <v>3</v>
      </c>
      <c r="E349" t="str">
        <f t="shared" si="10"/>
        <v>['Ecuador','Paraguay',1,3],</v>
      </c>
      <c r="F349" t="str">
        <f t="shared" si="11"/>
        <v>['Paraguay','Ecuador',3,1],</v>
      </c>
    </row>
    <row r="350" spans="1:6" x14ac:dyDescent="0.25">
      <c r="A350" t="s">
        <v>125</v>
      </c>
      <c r="B350" t="s">
        <v>19</v>
      </c>
      <c r="C350">
        <v>1</v>
      </c>
      <c r="D350">
        <v>5</v>
      </c>
      <c r="E350" t="str">
        <f t="shared" si="10"/>
        <v>['Colombia','Brazil',1,5],</v>
      </c>
      <c r="F350" t="str">
        <f t="shared" si="11"/>
        <v>['Brazil','Colombia',5,1],</v>
      </c>
    </row>
    <row r="351" spans="1:6" x14ac:dyDescent="0.25">
      <c r="A351" t="s">
        <v>43</v>
      </c>
      <c r="B351" t="s">
        <v>19</v>
      </c>
      <c r="C351">
        <v>2</v>
      </c>
      <c r="D351">
        <v>0</v>
      </c>
      <c r="E351" t="str">
        <f t="shared" si="10"/>
        <v>['Paraguay','Brazil',2,0],</v>
      </c>
      <c r="F351" t="str">
        <f t="shared" si="11"/>
        <v>['Brazil','Paraguay',0,2],</v>
      </c>
    </row>
    <row r="352" spans="1:6" x14ac:dyDescent="0.25">
      <c r="A352" t="s">
        <v>56</v>
      </c>
      <c r="B352" t="s">
        <v>125</v>
      </c>
      <c r="C352">
        <v>2</v>
      </c>
      <c r="D352">
        <v>1</v>
      </c>
      <c r="E352" t="str">
        <f t="shared" si="10"/>
        <v>['Bolivia','Colombia',2,1],</v>
      </c>
      <c r="F352" t="str">
        <f t="shared" si="11"/>
        <v>['Colombia','Bolivia',1,2],</v>
      </c>
    </row>
    <row r="353" spans="1:6" x14ac:dyDescent="0.25">
      <c r="A353" t="s">
        <v>99</v>
      </c>
      <c r="B353" t="s">
        <v>66</v>
      </c>
      <c r="C353">
        <v>1</v>
      </c>
      <c r="D353">
        <v>2</v>
      </c>
      <c r="E353" t="str">
        <f t="shared" si="10"/>
        <v>['Ecuador','Peru',1,2],</v>
      </c>
      <c r="F353" t="str">
        <f t="shared" si="11"/>
        <v>['Peru','Ecuador',2,1],</v>
      </c>
    </row>
    <row r="354" spans="1:6" x14ac:dyDescent="0.25">
      <c r="A354" t="s">
        <v>16</v>
      </c>
      <c r="B354" t="s">
        <v>99</v>
      </c>
      <c r="C354">
        <v>4</v>
      </c>
      <c r="D354">
        <v>2</v>
      </c>
      <c r="E354" t="str">
        <f t="shared" si="10"/>
        <v>['Argentina','Ecuador',4,2],</v>
      </c>
      <c r="F354" t="str">
        <f t="shared" si="11"/>
        <v>['Ecuador','Argentina',2,4],</v>
      </c>
    </row>
    <row r="355" spans="1:6" x14ac:dyDescent="0.25">
      <c r="A355" t="s">
        <v>125</v>
      </c>
      <c r="B355" t="s">
        <v>43</v>
      </c>
      <c r="C355">
        <v>2</v>
      </c>
      <c r="D355">
        <v>3</v>
      </c>
      <c r="E355" t="str">
        <f t="shared" si="10"/>
        <v>['Colombia','Paraguay',2,3],</v>
      </c>
      <c r="F355" t="str">
        <f t="shared" si="11"/>
        <v>['Paraguay','Colombia',3,2],</v>
      </c>
    </row>
    <row r="356" spans="1:6" x14ac:dyDescent="0.25">
      <c r="A356" t="s">
        <v>56</v>
      </c>
      <c r="B356" t="s">
        <v>66</v>
      </c>
      <c r="C356">
        <v>3</v>
      </c>
      <c r="D356">
        <v>2</v>
      </c>
      <c r="E356" t="str">
        <f t="shared" si="10"/>
        <v>['Bolivia','Peru',3,2],</v>
      </c>
      <c r="F356" t="str">
        <f t="shared" si="11"/>
        <v>['Peru','Bolivia',2,3],</v>
      </c>
    </row>
    <row r="357" spans="1:6" x14ac:dyDescent="0.25">
      <c r="A357" t="s">
        <v>16</v>
      </c>
      <c r="B357" t="s">
        <v>19</v>
      </c>
      <c r="C357">
        <v>3</v>
      </c>
      <c r="D357">
        <v>0</v>
      </c>
      <c r="E357" t="str">
        <f t="shared" si="10"/>
        <v>['Argentina','Brazil',3,0],</v>
      </c>
      <c r="F357" t="str">
        <f t="shared" si="11"/>
        <v>['Brazil','Argentina',0,3],</v>
      </c>
    </row>
    <row r="358" spans="1:6" x14ac:dyDescent="0.25">
      <c r="A358" t="s">
        <v>125</v>
      </c>
      <c r="B358" t="s">
        <v>66</v>
      </c>
      <c r="C358">
        <v>1</v>
      </c>
      <c r="D358">
        <v>1</v>
      </c>
      <c r="E358" t="str">
        <f t="shared" si="10"/>
        <v>['Colombia','Peru',1,1],</v>
      </c>
      <c r="F358" t="str">
        <f t="shared" si="11"/>
        <v>['Peru','Colombia',1,1],</v>
      </c>
    </row>
    <row r="359" spans="1:6" x14ac:dyDescent="0.25">
      <c r="A359" t="s">
        <v>56</v>
      </c>
      <c r="B359" t="s">
        <v>43</v>
      </c>
      <c r="C359">
        <v>2</v>
      </c>
      <c r="D359">
        <v>0</v>
      </c>
      <c r="E359" t="str">
        <f t="shared" si="10"/>
        <v>['Bolivia','Paraguay',2,0],</v>
      </c>
      <c r="F359" t="str">
        <f t="shared" si="11"/>
        <v>['Paraguay','Bolivia',0,2],</v>
      </c>
    </row>
    <row r="360" spans="1:6" x14ac:dyDescent="0.25">
      <c r="A360" t="s">
        <v>99</v>
      </c>
      <c r="B360" t="s">
        <v>19</v>
      </c>
      <c r="C360">
        <v>2</v>
      </c>
      <c r="D360">
        <v>2</v>
      </c>
      <c r="E360" t="str">
        <f t="shared" si="10"/>
        <v>['Ecuador','Brazil',2,2],</v>
      </c>
      <c r="F360" t="str">
        <f t="shared" si="11"/>
        <v>['Brazil','Ecuador',2,2],</v>
      </c>
    </row>
    <row r="361" spans="1:6" x14ac:dyDescent="0.25">
      <c r="A361" t="s">
        <v>43</v>
      </c>
      <c r="B361" t="s">
        <v>66</v>
      </c>
      <c r="C361">
        <v>4</v>
      </c>
      <c r="D361">
        <v>1</v>
      </c>
      <c r="E361" t="str">
        <f t="shared" si="10"/>
        <v>['Paraguay','Peru',4,1],</v>
      </c>
      <c r="F361" t="str">
        <f t="shared" si="11"/>
        <v>['Peru','Paraguay',1,4],</v>
      </c>
    </row>
    <row r="362" spans="1:6" x14ac:dyDescent="0.25">
      <c r="A362" t="s">
        <v>16</v>
      </c>
      <c r="B362" t="s">
        <v>56</v>
      </c>
      <c r="C362">
        <v>2</v>
      </c>
      <c r="D362">
        <v>3</v>
      </c>
      <c r="E362" t="str">
        <f t="shared" si="10"/>
        <v>['Argentina','Bolivia',2,3],</v>
      </c>
      <c r="F362" t="str">
        <f t="shared" si="11"/>
        <v>['Bolivia','Argentina',3,2],</v>
      </c>
    </row>
    <row r="363" spans="1:6" x14ac:dyDescent="0.25">
      <c r="A363" t="s">
        <v>56</v>
      </c>
      <c r="B363" t="s">
        <v>19</v>
      </c>
      <c r="C363">
        <v>5</v>
      </c>
      <c r="D363">
        <v>4</v>
      </c>
      <c r="E363" t="str">
        <f t="shared" si="10"/>
        <v>['Bolivia','Brazil',5,4],</v>
      </c>
      <c r="F363" t="str">
        <f t="shared" si="11"/>
        <v>['Brazil','Bolivia',4,5],</v>
      </c>
    </row>
    <row r="364" spans="1:6" x14ac:dyDescent="0.25">
      <c r="A364" t="s">
        <v>125</v>
      </c>
      <c r="B364" t="s">
        <v>99</v>
      </c>
      <c r="C364">
        <v>3</v>
      </c>
      <c r="D364">
        <v>4</v>
      </c>
      <c r="E364" t="str">
        <f t="shared" si="10"/>
        <v>['Colombia','Ecuador',3,4],</v>
      </c>
      <c r="F364" t="str">
        <f t="shared" si="11"/>
        <v>['Ecuador','Colombia',4,3],</v>
      </c>
    </row>
    <row r="365" spans="1:6" x14ac:dyDescent="0.25">
      <c r="A365" t="s">
        <v>16</v>
      </c>
      <c r="B365" t="s">
        <v>43</v>
      </c>
      <c r="C365">
        <v>1</v>
      </c>
      <c r="D365">
        <v>1</v>
      </c>
      <c r="E365" t="str">
        <f t="shared" si="10"/>
        <v>['Argentina','Paraguay',1,1],</v>
      </c>
      <c r="F365" t="str">
        <f t="shared" si="11"/>
        <v>['Paraguay','Argentina',1,1],</v>
      </c>
    </row>
    <row r="366" spans="1:6" x14ac:dyDescent="0.25">
      <c r="A366" t="s">
        <v>10</v>
      </c>
      <c r="B366" t="s">
        <v>125</v>
      </c>
      <c r="C366">
        <v>5</v>
      </c>
      <c r="D366">
        <v>2</v>
      </c>
      <c r="E366" t="str">
        <f t="shared" si="10"/>
        <v>['Chile','Colombia',5,2],</v>
      </c>
      <c r="F366" t="str">
        <f t="shared" si="11"/>
        <v>['Colombia','Chile',2,5],</v>
      </c>
    </row>
    <row r="367" spans="1:6" x14ac:dyDescent="0.25">
      <c r="A367" t="s">
        <v>10</v>
      </c>
      <c r="B367" t="s">
        <v>125</v>
      </c>
      <c r="C367">
        <v>0</v>
      </c>
      <c r="D367">
        <v>0</v>
      </c>
      <c r="E367" t="str">
        <f t="shared" si="10"/>
        <v>['Chile','Colombia',0,0],</v>
      </c>
      <c r="F367" t="str">
        <f t="shared" si="11"/>
        <v>['Colombia','Chile',0,0],</v>
      </c>
    </row>
    <row r="368" spans="1:6" x14ac:dyDescent="0.25">
      <c r="A368" t="s">
        <v>99</v>
      </c>
      <c r="B368" t="s">
        <v>43</v>
      </c>
      <c r="C368">
        <v>2</v>
      </c>
      <c r="D368">
        <v>2</v>
      </c>
      <c r="E368" t="str">
        <f t="shared" si="10"/>
        <v>['Ecuador','Paraguay',2,2],</v>
      </c>
      <c r="F368" t="str">
        <f t="shared" si="11"/>
        <v>['Paraguay','Ecuador',2,2],</v>
      </c>
    </row>
    <row r="369" spans="1:6" x14ac:dyDescent="0.25">
      <c r="A369" t="s">
        <v>99</v>
      </c>
      <c r="B369" t="s">
        <v>43</v>
      </c>
      <c r="C369">
        <v>1</v>
      </c>
      <c r="D369">
        <v>3</v>
      </c>
      <c r="E369" t="str">
        <f t="shared" si="10"/>
        <v>['Ecuador','Paraguay',1,3],</v>
      </c>
      <c r="F369" t="str">
        <f t="shared" si="11"/>
        <v>['Paraguay','Ecuador',3,1],</v>
      </c>
    </row>
    <row r="370" spans="1:6" x14ac:dyDescent="0.25">
      <c r="A370" t="s">
        <v>56</v>
      </c>
      <c r="B370" t="s">
        <v>11</v>
      </c>
      <c r="C370">
        <v>0</v>
      </c>
      <c r="D370">
        <v>4</v>
      </c>
      <c r="E370" t="str">
        <f t="shared" si="10"/>
        <v>['Bolivia','Uruguay',0,4],</v>
      </c>
      <c r="F370" t="str">
        <f t="shared" si="11"/>
        <v>['Uruguay','Bolivia',4,0],</v>
      </c>
    </row>
    <row r="371" spans="1:6" x14ac:dyDescent="0.25">
      <c r="A371" t="s">
        <v>16</v>
      </c>
      <c r="B371" t="s">
        <v>43</v>
      </c>
      <c r="C371">
        <v>4</v>
      </c>
      <c r="D371">
        <v>1</v>
      </c>
      <c r="E371" t="str">
        <f t="shared" si="10"/>
        <v>['Argentina','Paraguay',4,1],</v>
      </c>
      <c r="F371" t="str">
        <f t="shared" si="11"/>
        <v>['Paraguay','Argentina',1,4],</v>
      </c>
    </row>
    <row r="372" spans="1:6" x14ac:dyDescent="0.25">
      <c r="A372" t="s">
        <v>10</v>
      </c>
      <c r="B372" t="s">
        <v>211</v>
      </c>
      <c r="C372">
        <v>2</v>
      </c>
      <c r="D372">
        <v>0</v>
      </c>
      <c r="E372" t="str">
        <f t="shared" si="10"/>
        <v>['Chile','Venezuela',2,0],</v>
      </c>
      <c r="F372" t="str">
        <f t="shared" si="11"/>
        <v>['Venezuela','Chile',0,2],</v>
      </c>
    </row>
    <row r="373" spans="1:6" x14ac:dyDescent="0.25">
      <c r="A373" t="s">
        <v>11</v>
      </c>
      <c r="B373" t="s">
        <v>211</v>
      </c>
      <c r="C373">
        <v>4</v>
      </c>
      <c r="D373">
        <v>0</v>
      </c>
      <c r="E373" t="str">
        <f t="shared" si="10"/>
        <v>['Uruguay','Venezuela',4,0],</v>
      </c>
      <c r="F373" t="str">
        <f t="shared" si="11"/>
        <v>['Venezuela','Uruguay',0,4],</v>
      </c>
    </row>
    <row r="374" spans="1:6" x14ac:dyDescent="0.25">
      <c r="A374" t="s">
        <v>10</v>
      </c>
      <c r="B374" t="s">
        <v>43</v>
      </c>
      <c r="C374">
        <v>4</v>
      </c>
      <c r="D374">
        <v>2</v>
      </c>
      <c r="E374" t="str">
        <f t="shared" si="10"/>
        <v>['Chile','Paraguay',4,2],</v>
      </c>
      <c r="F374" t="str">
        <f t="shared" si="11"/>
        <v>['Paraguay','Chile',2,4],</v>
      </c>
    </row>
    <row r="375" spans="1:6" x14ac:dyDescent="0.25">
      <c r="A375" t="s">
        <v>16</v>
      </c>
      <c r="B375" t="s">
        <v>56</v>
      </c>
      <c r="C375">
        <v>1</v>
      </c>
      <c r="D375">
        <v>0</v>
      </c>
      <c r="E375" t="str">
        <f t="shared" si="10"/>
        <v>['Argentina','Bolivia',1,0],</v>
      </c>
      <c r="F375" t="str">
        <f t="shared" si="11"/>
        <v>['Bolivia','Argentina',0,1],</v>
      </c>
    </row>
    <row r="376" spans="1:6" x14ac:dyDescent="0.25">
      <c r="A376" t="s">
        <v>16</v>
      </c>
      <c r="B376" t="s">
        <v>211</v>
      </c>
      <c r="C376">
        <v>5</v>
      </c>
      <c r="D376">
        <v>1</v>
      </c>
      <c r="E376" t="str">
        <f t="shared" si="10"/>
        <v>['Argentina','Venezuela',5,1],</v>
      </c>
      <c r="F376" t="str">
        <f t="shared" si="11"/>
        <v>['Venezuela','Argentina',1,5],</v>
      </c>
    </row>
    <row r="377" spans="1:6" x14ac:dyDescent="0.25">
      <c r="A377" t="s">
        <v>56</v>
      </c>
      <c r="B377" t="s">
        <v>43</v>
      </c>
      <c r="C377">
        <v>0</v>
      </c>
      <c r="D377">
        <v>1</v>
      </c>
      <c r="E377" t="str">
        <f t="shared" si="10"/>
        <v>['Bolivia','Paraguay',0,1],</v>
      </c>
      <c r="F377" t="str">
        <f t="shared" si="11"/>
        <v>['Paraguay','Bolivia',1,0],</v>
      </c>
    </row>
    <row r="378" spans="1:6" x14ac:dyDescent="0.25">
      <c r="A378" t="s">
        <v>10</v>
      </c>
      <c r="B378" t="s">
        <v>11</v>
      </c>
      <c r="C378">
        <v>2</v>
      </c>
      <c r="D378">
        <v>2</v>
      </c>
      <c r="E378" t="str">
        <f t="shared" si="10"/>
        <v>['Chile','Uruguay',2,2],</v>
      </c>
      <c r="F378" t="str">
        <f t="shared" si="11"/>
        <v>['Uruguay','Chile',2,2],</v>
      </c>
    </row>
    <row r="379" spans="1:6" x14ac:dyDescent="0.25">
      <c r="A379" t="s">
        <v>56</v>
      </c>
      <c r="B379" t="s">
        <v>211</v>
      </c>
      <c r="C379">
        <v>0</v>
      </c>
      <c r="D379">
        <v>3</v>
      </c>
      <c r="E379" t="str">
        <f t="shared" si="10"/>
        <v>['Bolivia','Venezuela',0,3],</v>
      </c>
      <c r="F379" t="str">
        <f t="shared" si="11"/>
        <v>['Venezuela','Bolivia',3,0],</v>
      </c>
    </row>
    <row r="380" spans="1:6" x14ac:dyDescent="0.25">
      <c r="A380" t="s">
        <v>16</v>
      </c>
      <c r="B380" t="s">
        <v>10</v>
      </c>
      <c r="C380">
        <v>2</v>
      </c>
      <c r="D380">
        <v>0</v>
      </c>
      <c r="E380" t="str">
        <f t="shared" si="10"/>
        <v>['Argentina','Chile',2,0],</v>
      </c>
      <c r="F380" t="str">
        <f t="shared" si="11"/>
        <v>['Chile','Argentina',0,2],</v>
      </c>
    </row>
    <row r="381" spans="1:6" x14ac:dyDescent="0.25">
      <c r="A381" t="s">
        <v>43</v>
      </c>
      <c r="B381" t="s">
        <v>11</v>
      </c>
      <c r="C381">
        <v>0</v>
      </c>
      <c r="D381">
        <v>2</v>
      </c>
      <c r="E381" t="str">
        <f t="shared" si="10"/>
        <v>['Paraguay','Uruguay',0,2],</v>
      </c>
      <c r="F381" t="str">
        <f t="shared" si="11"/>
        <v>['Uruguay','Paraguay',2,0],</v>
      </c>
    </row>
    <row r="382" spans="1:6" x14ac:dyDescent="0.25">
      <c r="A382" t="s">
        <v>43</v>
      </c>
      <c r="B382" t="s">
        <v>211</v>
      </c>
      <c r="C382">
        <v>5</v>
      </c>
      <c r="D382">
        <v>3</v>
      </c>
      <c r="E382" t="str">
        <f t="shared" si="10"/>
        <v>['Paraguay','Venezuela',5,3],</v>
      </c>
      <c r="F382" t="str">
        <f t="shared" si="11"/>
        <v>['Venezuela','Paraguay',3,5],</v>
      </c>
    </row>
    <row r="383" spans="1:6" x14ac:dyDescent="0.25">
      <c r="A383" t="s">
        <v>56</v>
      </c>
      <c r="B383" t="s">
        <v>10</v>
      </c>
      <c r="C383">
        <v>0</v>
      </c>
      <c r="D383">
        <v>0</v>
      </c>
      <c r="E383" t="str">
        <f t="shared" si="10"/>
        <v>['Bolivia','Chile',0,0],</v>
      </c>
      <c r="F383" t="str">
        <f t="shared" si="11"/>
        <v>['Chile','Bolivia',0,0],</v>
      </c>
    </row>
    <row r="384" spans="1:6" x14ac:dyDescent="0.25">
      <c r="A384" t="s">
        <v>16</v>
      </c>
      <c r="B384" t="s">
        <v>11</v>
      </c>
      <c r="C384">
        <v>0</v>
      </c>
      <c r="D384">
        <v>1</v>
      </c>
      <c r="E384" t="str">
        <f t="shared" si="10"/>
        <v>['Argentina','Uruguay',0,1],</v>
      </c>
      <c r="F384" t="str">
        <f t="shared" si="11"/>
        <v>['Uruguay','Argentina',1,0],</v>
      </c>
    </row>
    <row r="385" spans="1:6" x14ac:dyDescent="0.25">
      <c r="A385" t="s">
        <v>10</v>
      </c>
      <c r="B385" t="s">
        <v>66</v>
      </c>
      <c r="C385">
        <v>1</v>
      </c>
      <c r="D385">
        <v>1</v>
      </c>
      <c r="E385" t="str">
        <f t="shared" si="10"/>
        <v>['Chile','Peru',1,1],</v>
      </c>
      <c r="F385" t="str">
        <f t="shared" si="11"/>
        <v>['Peru','Chile',1,1],</v>
      </c>
    </row>
    <row r="386" spans="1:6" x14ac:dyDescent="0.25">
      <c r="A386" t="s">
        <v>56</v>
      </c>
      <c r="B386" t="s">
        <v>10</v>
      </c>
      <c r="C386">
        <v>2</v>
      </c>
      <c r="D386">
        <v>1</v>
      </c>
      <c r="E386" t="str">
        <f t="shared" si="10"/>
        <v>['Bolivia','Chile',2,1],</v>
      </c>
      <c r="F386" t="str">
        <f t="shared" si="11"/>
        <v>['Chile','Bolivia',1,2],</v>
      </c>
    </row>
    <row r="387" spans="1:6" x14ac:dyDescent="0.25">
      <c r="A387" t="s">
        <v>125</v>
      </c>
      <c r="B387" t="s">
        <v>43</v>
      </c>
      <c r="C387">
        <v>1</v>
      </c>
      <c r="D387">
        <v>0</v>
      </c>
      <c r="E387" t="str">
        <f t="shared" ref="E387:E450" si="12">"['"&amp;A387&amp;"','"&amp;B387&amp;"',"&amp;C387&amp;","&amp;D387&amp;"],"</f>
        <v>['Colombia','Paraguay',1,0],</v>
      </c>
      <c r="F387" t="str">
        <f t="shared" ref="F387:F450" si="13">"['"&amp;B387&amp;"','"&amp;A387&amp;"',"&amp;D387&amp;","&amp;C387&amp;"],"</f>
        <v>['Paraguay','Colombia',0,1],</v>
      </c>
    </row>
    <row r="388" spans="1:6" x14ac:dyDescent="0.25">
      <c r="A388" t="s">
        <v>99</v>
      </c>
      <c r="B388" t="s">
        <v>43</v>
      </c>
      <c r="C388">
        <v>2</v>
      </c>
      <c r="D388">
        <v>2</v>
      </c>
      <c r="E388" t="str">
        <f t="shared" si="12"/>
        <v>['Ecuador','Paraguay',2,2],</v>
      </c>
      <c r="F388" t="str">
        <f t="shared" si="13"/>
        <v>['Paraguay','Ecuador',2,2],</v>
      </c>
    </row>
    <row r="389" spans="1:6" x14ac:dyDescent="0.25">
      <c r="A389" t="s">
        <v>56</v>
      </c>
      <c r="B389" t="s">
        <v>66</v>
      </c>
      <c r="C389">
        <v>0</v>
      </c>
      <c r="D389">
        <v>1</v>
      </c>
      <c r="E389" t="str">
        <f t="shared" si="12"/>
        <v>['Bolivia','Peru',0,1],</v>
      </c>
      <c r="F389" t="str">
        <f t="shared" si="13"/>
        <v>['Peru','Bolivia',1,0],</v>
      </c>
    </row>
    <row r="390" spans="1:6" x14ac:dyDescent="0.25">
      <c r="A390" t="s">
        <v>125</v>
      </c>
      <c r="B390" t="s">
        <v>99</v>
      </c>
      <c r="C390">
        <v>3</v>
      </c>
      <c r="D390">
        <v>1</v>
      </c>
      <c r="E390" t="str">
        <f t="shared" si="12"/>
        <v>['Colombia','Ecuador',3,1],</v>
      </c>
      <c r="F390" t="str">
        <f t="shared" si="13"/>
        <v>['Ecuador','Colombia',1,3],</v>
      </c>
    </row>
    <row r="391" spans="1:6" x14ac:dyDescent="0.25">
      <c r="A391" t="s">
        <v>125</v>
      </c>
      <c r="B391" t="s">
        <v>43</v>
      </c>
      <c r="C391">
        <v>1</v>
      </c>
      <c r="D391">
        <v>0</v>
      </c>
      <c r="E391" t="str">
        <f t="shared" si="12"/>
        <v>['Colombia','Paraguay',1,0],</v>
      </c>
      <c r="F391" t="str">
        <f t="shared" si="13"/>
        <v>['Paraguay','Colombia',0,1],</v>
      </c>
    </row>
    <row r="392" spans="1:6" x14ac:dyDescent="0.25">
      <c r="A392" t="s">
        <v>211</v>
      </c>
      <c r="B392" t="s">
        <v>19</v>
      </c>
      <c r="C392">
        <v>0</v>
      </c>
      <c r="D392">
        <v>4</v>
      </c>
      <c r="E392" t="str">
        <f t="shared" si="12"/>
        <v>['Venezuela','Brazil',0,4],</v>
      </c>
      <c r="F392" t="str">
        <f t="shared" si="13"/>
        <v>['Brazil','Venezuela',4,0],</v>
      </c>
    </row>
    <row r="393" spans="1:6" x14ac:dyDescent="0.25">
      <c r="A393" t="s">
        <v>16</v>
      </c>
      <c r="B393" t="s">
        <v>211</v>
      </c>
      <c r="C393">
        <v>5</v>
      </c>
      <c r="D393">
        <v>1</v>
      </c>
      <c r="E393" t="str">
        <f t="shared" si="12"/>
        <v>['Argentina','Venezuela',5,1],</v>
      </c>
      <c r="F393" t="str">
        <f t="shared" si="13"/>
        <v>['Venezuela','Argentina',1,5],</v>
      </c>
    </row>
    <row r="394" spans="1:6" x14ac:dyDescent="0.25">
      <c r="A394" t="s">
        <v>16</v>
      </c>
      <c r="B394" t="s">
        <v>19</v>
      </c>
      <c r="C394">
        <v>1</v>
      </c>
      <c r="D394">
        <v>2</v>
      </c>
      <c r="E394" t="str">
        <f t="shared" si="12"/>
        <v>['Argentina','Brazil',1,2],</v>
      </c>
      <c r="F394" t="str">
        <f t="shared" si="13"/>
        <v>['Brazil','Argentina',2,1],</v>
      </c>
    </row>
    <row r="395" spans="1:6" x14ac:dyDescent="0.25">
      <c r="A395" t="s">
        <v>56</v>
      </c>
      <c r="B395" t="s">
        <v>66</v>
      </c>
      <c r="C395">
        <v>1</v>
      </c>
      <c r="D395">
        <v>3</v>
      </c>
      <c r="E395" t="str">
        <f t="shared" si="12"/>
        <v>['Bolivia','Peru',1,3],</v>
      </c>
      <c r="F395" t="str">
        <f t="shared" si="13"/>
        <v>['Peru','Bolivia',3,1],</v>
      </c>
    </row>
    <row r="396" spans="1:6" x14ac:dyDescent="0.25">
      <c r="A396" t="s">
        <v>125</v>
      </c>
      <c r="B396" t="s">
        <v>99</v>
      </c>
      <c r="C396">
        <v>2</v>
      </c>
      <c r="D396">
        <v>0</v>
      </c>
      <c r="E396" t="str">
        <f t="shared" si="12"/>
        <v>['Colombia','Ecuador',2,0],</v>
      </c>
      <c r="F396" t="str">
        <f t="shared" si="13"/>
        <v>['Ecuador','Colombia',0,2],</v>
      </c>
    </row>
    <row r="397" spans="1:6" x14ac:dyDescent="0.25">
      <c r="A397" t="s">
        <v>16</v>
      </c>
      <c r="B397" t="s">
        <v>211</v>
      </c>
      <c r="C397">
        <v>11</v>
      </c>
      <c r="D397">
        <v>0</v>
      </c>
      <c r="E397" t="str">
        <f t="shared" si="12"/>
        <v>['Argentina','Venezuela',11,0],</v>
      </c>
      <c r="F397" t="str">
        <f t="shared" si="13"/>
        <v>['Venezuela','Argentina',0,11],</v>
      </c>
    </row>
    <row r="398" spans="1:6" x14ac:dyDescent="0.25">
      <c r="A398" t="s">
        <v>99</v>
      </c>
      <c r="B398" t="s">
        <v>43</v>
      </c>
      <c r="C398">
        <v>1</v>
      </c>
      <c r="D398">
        <v>3</v>
      </c>
      <c r="E398" t="str">
        <f t="shared" si="12"/>
        <v>['Ecuador','Paraguay',1,3],</v>
      </c>
      <c r="F398" t="str">
        <f t="shared" si="13"/>
        <v>['Paraguay','Ecuador',3,1],</v>
      </c>
    </row>
    <row r="399" spans="1:6" x14ac:dyDescent="0.25">
      <c r="A399" t="s">
        <v>56</v>
      </c>
      <c r="B399" t="s">
        <v>10</v>
      </c>
      <c r="C399">
        <v>0</v>
      </c>
      <c r="D399">
        <v>4</v>
      </c>
      <c r="E399" t="str">
        <f t="shared" si="12"/>
        <v>['Bolivia','Chile',0,4],</v>
      </c>
      <c r="F399" t="str">
        <f t="shared" si="13"/>
        <v>['Chile','Bolivia',4,0],</v>
      </c>
    </row>
    <row r="400" spans="1:6" x14ac:dyDescent="0.25">
      <c r="A400" t="s">
        <v>211</v>
      </c>
      <c r="B400" t="s">
        <v>19</v>
      </c>
      <c r="C400">
        <v>0</v>
      </c>
      <c r="D400">
        <v>6</v>
      </c>
      <c r="E400" t="str">
        <f t="shared" si="12"/>
        <v>['Venezuela','Brazil',0,6],</v>
      </c>
      <c r="F400" t="str">
        <f t="shared" si="13"/>
        <v>['Brazil','Venezuela',6,0],</v>
      </c>
    </row>
    <row r="401" spans="1:6" x14ac:dyDescent="0.25">
      <c r="A401" t="s">
        <v>16</v>
      </c>
      <c r="B401" t="s">
        <v>19</v>
      </c>
      <c r="C401">
        <v>0</v>
      </c>
      <c r="D401">
        <v>1</v>
      </c>
      <c r="E401" t="str">
        <f t="shared" si="12"/>
        <v>['Argentina','Brazil',0,1],</v>
      </c>
      <c r="F401" t="str">
        <f t="shared" si="13"/>
        <v>['Brazil','Argentina',1,0],</v>
      </c>
    </row>
    <row r="402" spans="1:6" x14ac:dyDescent="0.25">
      <c r="A402" t="s">
        <v>10</v>
      </c>
      <c r="B402" t="s">
        <v>66</v>
      </c>
      <c r="C402">
        <v>1</v>
      </c>
      <c r="D402">
        <v>3</v>
      </c>
      <c r="E402" t="str">
        <f t="shared" si="12"/>
        <v>['Chile','Peru',1,3],</v>
      </c>
      <c r="F402" t="str">
        <f t="shared" si="13"/>
        <v>['Peru','Chile',3,1],</v>
      </c>
    </row>
    <row r="403" spans="1:6" x14ac:dyDescent="0.25">
      <c r="A403" t="s">
        <v>125</v>
      </c>
      <c r="B403" t="s">
        <v>11</v>
      </c>
      <c r="C403">
        <v>3</v>
      </c>
      <c r="D403">
        <v>0</v>
      </c>
      <c r="E403" t="str">
        <f t="shared" si="12"/>
        <v>['Colombia','Uruguay',3,0],</v>
      </c>
      <c r="F403" t="str">
        <f t="shared" si="13"/>
        <v>['Uruguay','Colombia',0,3],</v>
      </c>
    </row>
    <row r="404" spans="1:6" x14ac:dyDescent="0.25">
      <c r="A404" t="s">
        <v>66</v>
      </c>
      <c r="B404" t="s">
        <v>19</v>
      </c>
      <c r="C404">
        <v>3</v>
      </c>
      <c r="D404">
        <v>1</v>
      </c>
      <c r="E404" t="str">
        <f t="shared" si="12"/>
        <v>['Peru','Brazil',3,1],</v>
      </c>
      <c r="F404" t="str">
        <f t="shared" si="13"/>
        <v>['Brazil','Peru',1,3],</v>
      </c>
    </row>
    <row r="405" spans="1:6" x14ac:dyDescent="0.25">
      <c r="A405" t="s">
        <v>125</v>
      </c>
      <c r="B405" t="s">
        <v>11</v>
      </c>
      <c r="C405">
        <v>0</v>
      </c>
      <c r="D405">
        <v>1</v>
      </c>
      <c r="E405" t="str">
        <f t="shared" si="12"/>
        <v>['Colombia','Uruguay',0,1],</v>
      </c>
      <c r="F405" t="str">
        <f t="shared" si="13"/>
        <v>['Uruguay','Colombia',1,0],</v>
      </c>
    </row>
    <row r="406" spans="1:6" x14ac:dyDescent="0.25">
      <c r="A406" t="s">
        <v>66</v>
      </c>
      <c r="B406" t="s">
        <v>19</v>
      </c>
      <c r="C406">
        <v>0</v>
      </c>
      <c r="D406">
        <v>2</v>
      </c>
      <c r="E406" t="str">
        <f t="shared" si="12"/>
        <v>['Peru','Brazil',0,2],</v>
      </c>
      <c r="F406" t="str">
        <f t="shared" si="13"/>
        <v>['Brazil','Peru',2,0],</v>
      </c>
    </row>
    <row r="407" spans="1:6" x14ac:dyDescent="0.25">
      <c r="A407" t="s">
        <v>125</v>
      </c>
      <c r="B407" t="s">
        <v>66</v>
      </c>
      <c r="C407">
        <v>1</v>
      </c>
      <c r="D407">
        <v>0</v>
      </c>
      <c r="E407" t="str">
        <f t="shared" si="12"/>
        <v>['Colombia','Peru',1,0],</v>
      </c>
      <c r="F407" t="str">
        <f t="shared" si="13"/>
        <v>['Peru','Colombia',0,1],</v>
      </c>
    </row>
    <row r="408" spans="1:6" x14ac:dyDescent="0.25">
      <c r="A408" t="s">
        <v>125</v>
      </c>
      <c r="B408" t="s">
        <v>66</v>
      </c>
      <c r="C408">
        <v>0</v>
      </c>
      <c r="D408">
        <v>2</v>
      </c>
      <c r="E408" t="str">
        <f t="shared" si="12"/>
        <v>['Colombia','Peru',0,2],</v>
      </c>
      <c r="F408" t="str">
        <f t="shared" si="13"/>
        <v>['Peru','Colombia',2,0],</v>
      </c>
    </row>
    <row r="409" spans="1:6" x14ac:dyDescent="0.25">
      <c r="A409" t="s">
        <v>125</v>
      </c>
      <c r="B409" t="s">
        <v>66</v>
      </c>
      <c r="C409">
        <v>0</v>
      </c>
      <c r="D409">
        <v>1</v>
      </c>
      <c r="E409" t="str">
        <f t="shared" si="12"/>
        <v>['Colombia','Peru',0,1],</v>
      </c>
      <c r="F409" t="str">
        <f t="shared" si="13"/>
        <v>['Peru','Colombia',1,0],</v>
      </c>
    </row>
    <row r="410" spans="1:6" x14ac:dyDescent="0.25">
      <c r="A410" t="s">
        <v>16</v>
      </c>
      <c r="B410" t="s">
        <v>56</v>
      </c>
      <c r="C410">
        <v>1</v>
      </c>
      <c r="D410">
        <v>2</v>
      </c>
      <c r="E410" t="str">
        <f t="shared" si="12"/>
        <v>['Argentina','Bolivia',1,2],</v>
      </c>
      <c r="F410" t="str">
        <f t="shared" si="13"/>
        <v>['Bolivia','Argentina',2,1],</v>
      </c>
    </row>
    <row r="411" spans="1:6" x14ac:dyDescent="0.25">
      <c r="A411" t="s">
        <v>56</v>
      </c>
      <c r="B411" t="s">
        <v>19</v>
      </c>
      <c r="C411">
        <v>2</v>
      </c>
      <c r="D411">
        <v>1</v>
      </c>
      <c r="E411" t="str">
        <f t="shared" si="12"/>
        <v>['Bolivia','Brazil',2,1],</v>
      </c>
      <c r="F411" t="str">
        <f t="shared" si="13"/>
        <v>['Brazil','Bolivia',1,2],</v>
      </c>
    </row>
    <row r="412" spans="1:6" x14ac:dyDescent="0.25">
      <c r="A412" t="s">
        <v>125</v>
      </c>
      <c r="B412" t="s">
        <v>211</v>
      </c>
      <c r="C412">
        <v>0</v>
      </c>
      <c r="D412">
        <v>0</v>
      </c>
      <c r="E412" t="str">
        <f t="shared" si="12"/>
        <v>['Colombia','Venezuela',0,0],</v>
      </c>
      <c r="F412" t="str">
        <f t="shared" si="13"/>
        <v>['Venezuela','Colombia',0,0],</v>
      </c>
    </row>
    <row r="413" spans="1:6" x14ac:dyDescent="0.25">
      <c r="A413" t="s">
        <v>16</v>
      </c>
      <c r="B413" t="s">
        <v>19</v>
      </c>
      <c r="C413">
        <v>1</v>
      </c>
      <c r="D413">
        <v>2</v>
      </c>
      <c r="E413" t="str">
        <f t="shared" si="12"/>
        <v>['Argentina','Brazil',1,2],</v>
      </c>
      <c r="F413" t="str">
        <f t="shared" si="13"/>
        <v>['Brazil','Argentina',2,1],</v>
      </c>
    </row>
    <row r="414" spans="1:6" x14ac:dyDescent="0.25">
      <c r="A414" t="s">
        <v>16</v>
      </c>
      <c r="B414" t="s">
        <v>56</v>
      </c>
      <c r="C414">
        <v>3</v>
      </c>
      <c r="D414">
        <v>0</v>
      </c>
      <c r="E414" t="str">
        <f t="shared" si="12"/>
        <v>['Argentina','Bolivia',3,0],</v>
      </c>
      <c r="F414" t="str">
        <f t="shared" si="13"/>
        <v>['Bolivia','Argentina',0,3],</v>
      </c>
    </row>
    <row r="415" spans="1:6" x14ac:dyDescent="0.25">
      <c r="A415" t="s">
        <v>10</v>
      </c>
      <c r="B415" t="s">
        <v>211</v>
      </c>
      <c r="C415">
        <v>1</v>
      </c>
      <c r="D415">
        <v>1</v>
      </c>
      <c r="E415" t="str">
        <f t="shared" si="12"/>
        <v>['Chile','Venezuela',1,1],</v>
      </c>
      <c r="F415" t="str">
        <f t="shared" si="13"/>
        <v>['Venezuela','Chile',1,1],</v>
      </c>
    </row>
    <row r="416" spans="1:6" x14ac:dyDescent="0.25">
      <c r="A416" t="s">
        <v>10</v>
      </c>
      <c r="B416" t="s">
        <v>125</v>
      </c>
      <c r="C416">
        <v>0</v>
      </c>
      <c r="D416">
        <v>1</v>
      </c>
      <c r="E416" t="str">
        <f t="shared" si="12"/>
        <v>['Chile','Colombia',0,1],</v>
      </c>
      <c r="F416" t="str">
        <f t="shared" si="13"/>
        <v>['Colombia','Chile',1,0],</v>
      </c>
    </row>
    <row r="417" spans="1:6" x14ac:dyDescent="0.25">
      <c r="A417" t="s">
        <v>56</v>
      </c>
      <c r="B417" t="s">
        <v>19</v>
      </c>
      <c r="C417">
        <v>0</v>
      </c>
      <c r="D417">
        <v>2</v>
      </c>
      <c r="E417" t="str">
        <f t="shared" si="12"/>
        <v>['Bolivia','Brazil',0,2],</v>
      </c>
      <c r="F417" t="str">
        <f t="shared" si="13"/>
        <v>['Brazil','Bolivia',2,0],</v>
      </c>
    </row>
    <row r="418" spans="1:6" x14ac:dyDescent="0.25">
      <c r="A418" t="s">
        <v>125</v>
      </c>
      <c r="B418" t="s">
        <v>211</v>
      </c>
      <c r="C418">
        <v>4</v>
      </c>
      <c r="D418">
        <v>0</v>
      </c>
      <c r="E418" t="str">
        <f t="shared" si="12"/>
        <v>['Colombia','Venezuela',4,0],</v>
      </c>
      <c r="F418" t="str">
        <f t="shared" si="13"/>
        <v>['Venezuela','Colombia',0,4],</v>
      </c>
    </row>
    <row r="419" spans="1:6" x14ac:dyDescent="0.25">
      <c r="A419" t="s">
        <v>16</v>
      </c>
      <c r="B419" t="s">
        <v>19</v>
      </c>
      <c r="C419">
        <v>2</v>
      </c>
      <c r="D419">
        <v>2</v>
      </c>
      <c r="E419" t="str">
        <f t="shared" si="12"/>
        <v>['Argentina','Brazil',2,2],</v>
      </c>
      <c r="F419" t="str">
        <f t="shared" si="13"/>
        <v>['Brazil','Argentina',2,2],</v>
      </c>
    </row>
    <row r="420" spans="1:6" x14ac:dyDescent="0.25">
      <c r="A420" t="s">
        <v>10</v>
      </c>
      <c r="B420" t="s">
        <v>211</v>
      </c>
      <c r="C420">
        <v>7</v>
      </c>
      <c r="D420">
        <v>0</v>
      </c>
      <c r="E420" t="str">
        <f t="shared" si="12"/>
        <v>['Chile','Venezuela',7,0],</v>
      </c>
      <c r="F420" t="str">
        <f t="shared" si="13"/>
        <v>['Venezuela','Chile',0,7],</v>
      </c>
    </row>
    <row r="421" spans="1:6" x14ac:dyDescent="0.25">
      <c r="A421" t="s">
        <v>99</v>
      </c>
      <c r="B421" t="s">
        <v>43</v>
      </c>
      <c r="C421">
        <v>1</v>
      </c>
      <c r="D421">
        <v>2</v>
      </c>
      <c r="E421" t="str">
        <f t="shared" si="12"/>
        <v>['Ecuador','Paraguay',1,2],</v>
      </c>
      <c r="F421" t="str">
        <f t="shared" si="13"/>
        <v>['Paraguay','Ecuador',2,1],</v>
      </c>
    </row>
    <row r="422" spans="1:6" x14ac:dyDescent="0.25">
      <c r="A422" t="s">
        <v>10</v>
      </c>
      <c r="B422" t="s">
        <v>125</v>
      </c>
      <c r="C422">
        <v>2</v>
      </c>
      <c r="D422">
        <v>0</v>
      </c>
      <c r="E422" t="str">
        <f t="shared" si="12"/>
        <v>['Chile','Colombia',2,0],</v>
      </c>
      <c r="F422" t="str">
        <f t="shared" si="13"/>
        <v>['Colombia','Chile',0,2],</v>
      </c>
    </row>
    <row r="423" spans="1:6" x14ac:dyDescent="0.25">
      <c r="A423" t="s">
        <v>99</v>
      </c>
      <c r="B423" t="s">
        <v>11</v>
      </c>
      <c r="C423">
        <v>2</v>
      </c>
      <c r="D423">
        <v>1</v>
      </c>
      <c r="E423" t="str">
        <f t="shared" si="12"/>
        <v>['Ecuador','Uruguay',2,1],</v>
      </c>
      <c r="F423" t="str">
        <f t="shared" si="13"/>
        <v>['Uruguay','Ecuador',1,2],</v>
      </c>
    </row>
    <row r="424" spans="1:6" x14ac:dyDescent="0.25">
      <c r="A424" t="s">
        <v>99</v>
      </c>
      <c r="B424" t="s">
        <v>43</v>
      </c>
      <c r="C424">
        <v>0</v>
      </c>
      <c r="D424">
        <v>2</v>
      </c>
      <c r="E424" t="str">
        <f t="shared" si="12"/>
        <v>['Ecuador','Paraguay',0,2],</v>
      </c>
      <c r="F424" t="str">
        <f t="shared" si="13"/>
        <v>['Paraguay','Ecuador',2,0],</v>
      </c>
    </row>
    <row r="425" spans="1:6" x14ac:dyDescent="0.25">
      <c r="A425" t="s">
        <v>99</v>
      </c>
      <c r="B425" t="s">
        <v>11</v>
      </c>
      <c r="C425">
        <v>1</v>
      </c>
      <c r="D425">
        <v>2</v>
      </c>
      <c r="E425" t="str">
        <f t="shared" si="12"/>
        <v>['Ecuador','Uruguay',1,2],</v>
      </c>
      <c r="F425" t="str">
        <f t="shared" si="13"/>
        <v>['Uruguay','Ecuador',2,1],</v>
      </c>
    </row>
    <row r="426" spans="1:6" x14ac:dyDescent="0.25">
      <c r="A426" t="s">
        <v>43</v>
      </c>
      <c r="B426" t="s">
        <v>11</v>
      </c>
      <c r="C426">
        <v>0</v>
      </c>
      <c r="D426">
        <v>0</v>
      </c>
      <c r="E426" t="str">
        <f t="shared" si="12"/>
        <v>['Paraguay','Uruguay',0,0],</v>
      </c>
      <c r="F426" t="str">
        <f t="shared" si="13"/>
        <v>['Uruguay','Paraguay',0,0],</v>
      </c>
    </row>
    <row r="427" spans="1:6" x14ac:dyDescent="0.25">
      <c r="A427" t="s">
        <v>43</v>
      </c>
      <c r="B427" t="s">
        <v>11</v>
      </c>
      <c r="C427">
        <v>2</v>
      </c>
      <c r="D427">
        <v>2</v>
      </c>
      <c r="E427" t="str">
        <f t="shared" si="12"/>
        <v>['Paraguay','Uruguay',2,2],</v>
      </c>
      <c r="F427" t="str">
        <f t="shared" si="13"/>
        <v>['Uruguay','Paraguay',2,2],</v>
      </c>
    </row>
    <row r="428" spans="1:6" x14ac:dyDescent="0.25">
      <c r="A428" t="s">
        <v>10</v>
      </c>
      <c r="B428" t="s">
        <v>66</v>
      </c>
      <c r="C428">
        <v>2</v>
      </c>
      <c r="D428">
        <v>1</v>
      </c>
      <c r="E428" t="str">
        <f t="shared" si="12"/>
        <v>['Chile','Peru',2,1],</v>
      </c>
      <c r="F428" t="str">
        <f t="shared" si="13"/>
        <v>['Peru','Chile',1,2],</v>
      </c>
    </row>
    <row r="429" spans="1:6" x14ac:dyDescent="0.25">
      <c r="A429" t="s">
        <v>43</v>
      </c>
      <c r="B429" t="s">
        <v>19</v>
      </c>
      <c r="C429">
        <v>2</v>
      </c>
      <c r="D429">
        <v>1</v>
      </c>
      <c r="E429" t="str">
        <f t="shared" si="12"/>
        <v>['Paraguay','Brazil',2,1],</v>
      </c>
      <c r="F429" t="str">
        <f t="shared" si="13"/>
        <v>['Brazil','Paraguay',1,2],</v>
      </c>
    </row>
    <row r="430" spans="1:6" x14ac:dyDescent="0.25">
      <c r="A430" t="s">
        <v>10</v>
      </c>
      <c r="B430" t="s">
        <v>66</v>
      </c>
      <c r="C430">
        <v>0</v>
      </c>
      <c r="D430">
        <v>0</v>
      </c>
      <c r="E430" t="str">
        <f t="shared" si="12"/>
        <v>['Chile','Peru',0,0],</v>
      </c>
      <c r="F430" t="str">
        <f t="shared" si="13"/>
        <v>['Peru','Chile',0,0],</v>
      </c>
    </row>
    <row r="431" spans="1:6" x14ac:dyDescent="0.25">
      <c r="A431" t="s">
        <v>43</v>
      </c>
      <c r="B431" t="s">
        <v>19</v>
      </c>
      <c r="C431">
        <v>2</v>
      </c>
      <c r="D431">
        <v>2</v>
      </c>
      <c r="E431" t="str">
        <f t="shared" si="12"/>
        <v>['Paraguay','Brazil',2,2],</v>
      </c>
      <c r="F431" t="str">
        <f t="shared" si="13"/>
        <v>['Brazil','Paraguay',2,2],</v>
      </c>
    </row>
    <row r="432" spans="1:6" x14ac:dyDescent="0.25">
      <c r="A432" t="s">
        <v>10</v>
      </c>
      <c r="B432" t="s">
        <v>43</v>
      </c>
      <c r="C432">
        <v>0</v>
      </c>
      <c r="D432">
        <v>3</v>
      </c>
      <c r="E432" t="str">
        <f t="shared" si="12"/>
        <v>['Chile','Paraguay',0,3],</v>
      </c>
      <c r="F432" t="str">
        <f t="shared" si="13"/>
        <v>['Paraguay','Chile',3,0],</v>
      </c>
    </row>
    <row r="433" spans="1:6" x14ac:dyDescent="0.25">
      <c r="A433" t="s">
        <v>10</v>
      </c>
      <c r="B433" t="s">
        <v>43</v>
      </c>
      <c r="C433">
        <v>1</v>
      </c>
      <c r="D433">
        <v>0</v>
      </c>
      <c r="E433" t="str">
        <f t="shared" si="12"/>
        <v>['Chile','Paraguay',1,0],</v>
      </c>
      <c r="F433" t="str">
        <f t="shared" si="13"/>
        <v>['Paraguay','Chile',0,1],</v>
      </c>
    </row>
    <row r="434" spans="1:6" x14ac:dyDescent="0.25">
      <c r="A434" t="s">
        <v>10</v>
      </c>
      <c r="B434" t="s">
        <v>43</v>
      </c>
      <c r="C434">
        <v>0</v>
      </c>
      <c r="D434">
        <v>0</v>
      </c>
      <c r="E434" t="str">
        <f t="shared" si="12"/>
        <v>['Chile','Paraguay',0,0],</v>
      </c>
      <c r="F434" t="str">
        <f t="shared" si="13"/>
        <v>['Paraguay','Chile',0,0],</v>
      </c>
    </row>
    <row r="435" spans="1:6" x14ac:dyDescent="0.25">
      <c r="A435" t="s">
        <v>16</v>
      </c>
      <c r="B435" t="s">
        <v>99</v>
      </c>
      <c r="C435">
        <v>2</v>
      </c>
      <c r="D435">
        <v>2</v>
      </c>
      <c r="E435" t="str">
        <f t="shared" si="12"/>
        <v>['Argentina','Ecuador',2,2],</v>
      </c>
      <c r="F435" t="str">
        <f t="shared" si="13"/>
        <v>['Ecuador','Argentina',2,2],</v>
      </c>
    </row>
    <row r="436" spans="1:6" x14ac:dyDescent="0.25">
      <c r="A436" t="s">
        <v>56</v>
      </c>
      <c r="B436" t="s">
        <v>125</v>
      </c>
      <c r="C436">
        <v>0</v>
      </c>
      <c r="D436">
        <v>1</v>
      </c>
      <c r="E436" t="str">
        <f t="shared" si="12"/>
        <v>['Bolivia','Colombia',0,1],</v>
      </c>
      <c r="F436" t="str">
        <f t="shared" si="13"/>
        <v>['Colombia','Bolivia',1,0],</v>
      </c>
    </row>
    <row r="437" spans="1:6" x14ac:dyDescent="0.25">
      <c r="A437" t="s">
        <v>99</v>
      </c>
      <c r="B437" t="s">
        <v>19</v>
      </c>
      <c r="C437">
        <v>0</v>
      </c>
      <c r="D437">
        <v>1</v>
      </c>
      <c r="E437" t="str">
        <f t="shared" si="12"/>
        <v>['Ecuador','Brazil',0,1],</v>
      </c>
      <c r="F437" t="str">
        <f t="shared" si="13"/>
        <v>['Brazil','Ecuador',1,0],</v>
      </c>
    </row>
    <row r="438" spans="1:6" x14ac:dyDescent="0.25">
      <c r="A438" t="s">
        <v>125</v>
      </c>
      <c r="B438" t="s">
        <v>66</v>
      </c>
      <c r="C438">
        <v>0</v>
      </c>
      <c r="D438">
        <v>1</v>
      </c>
      <c r="E438" t="str">
        <f t="shared" si="12"/>
        <v>['Colombia','Peru',0,1],</v>
      </c>
      <c r="F438" t="str">
        <f t="shared" si="13"/>
        <v>['Peru','Colombia',1,0],</v>
      </c>
    </row>
    <row r="439" spans="1:6" x14ac:dyDescent="0.25">
      <c r="A439" t="s">
        <v>56</v>
      </c>
      <c r="B439" t="s">
        <v>66</v>
      </c>
      <c r="C439">
        <v>1</v>
      </c>
      <c r="D439">
        <v>1</v>
      </c>
      <c r="E439" t="str">
        <f t="shared" si="12"/>
        <v>['Bolivia','Peru',1,1],</v>
      </c>
      <c r="F439" t="str">
        <f t="shared" si="13"/>
        <v>['Peru','Bolivia',1,1],</v>
      </c>
    </row>
    <row r="440" spans="1:6" x14ac:dyDescent="0.25">
      <c r="A440" t="s">
        <v>16</v>
      </c>
      <c r="B440" t="s">
        <v>19</v>
      </c>
      <c r="C440">
        <v>1</v>
      </c>
      <c r="D440">
        <v>0</v>
      </c>
      <c r="E440" t="str">
        <f t="shared" si="12"/>
        <v>['Argentina','Brazil',1,0],</v>
      </c>
      <c r="F440" t="str">
        <f t="shared" si="13"/>
        <v>['Brazil','Argentina',0,1],</v>
      </c>
    </row>
    <row r="441" spans="1:6" x14ac:dyDescent="0.25">
      <c r="A441" t="s">
        <v>125</v>
      </c>
      <c r="B441" t="s">
        <v>66</v>
      </c>
      <c r="C441">
        <v>2</v>
      </c>
      <c r="D441">
        <v>2</v>
      </c>
      <c r="E441" t="str">
        <f t="shared" si="12"/>
        <v>['Colombia','Peru',2,2],</v>
      </c>
      <c r="F441" t="str">
        <f t="shared" si="13"/>
        <v>['Peru','Colombia',2,2],</v>
      </c>
    </row>
    <row r="442" spans="1:6" x14ac:dyDescent="0.25">
      <c r="A442" t="s">
        <v>56</v>
      </c>
      <c r="B442" t="s">
        <v>125</v>
      </c>
      <c r="C442">
        <v>2</v>
      </c>
      <c r="D442">
        <v>2</v>
      </c>
      <c r="E442" t="str">
        <f t="shared" si="12"/>
        <v>['Bolivia','Colombia',2,2],</v>
      </c>
      <c r="F442" t="str">
        <f t="shared" si="13"/>
        <v>['Colombia','Bolivia',2,2],</v>
      </c>
    </row>
    <row r="443" spans="1:6" x14ac:dyDescent="0.25">
      <c r="A443" t="s">
        <v>99</v>
      </c>
      <c r="B443" t="s">
        <v>19</v>
      </c>
      <c r="C443">
        <v>0</v>
      </c>
      <c r="D443">
        <v>5</v>
      </c>
      <c r="E443" t="str">
        <f t="shared" si="12"/>
        <v>['Ecuador','Brazil',0,5],</v>
      </c>
      <c r="F443" t="str">
        <f t="shared" si="13"/>
        <v>['Brazil','Ecuador',5,0],</v>
      </c>
    </row>
    <row r="444" spans="1:6" x14ac:dyDescent="0.25">
      <c r="A444" t="s">
        <v>10</v>
      </c>
      <c r="B444" t="s">
        <v>11</v>
      </c>
      <c r="C444">
        <v>1</v>
      </c>
      <c r="D444">
        <v>2</v>
      </c>
      <c r="E444" t="str">
        <f t="shared" si="12"/>
        <v>['Chile','Uruguay',1,2],</v>
      </c>
      <c r="F444" t="str">
        <f t="shared" si="13"/>
        <v>['Uruguay','Chile',2,1],</v>
      </c>
    </row>
    <row r="445" spans="1:6" x14ac:dyDescent="0.25">
      <c r="A445" t="s">
        <v>56</v>
      </c>
      <c r="B445" t="s">
        <v>66</v>
      </c>
      <c r="C445">
        <v>1</v>
      </c>
      <c r="D445">
        <v>2</v>
      </c>
      <c r="E445" t="str">
        <f t="shared" si="12"/>
        <v>['Bolivia','Peru',1,2],</v>
      </c>
      <c r="F445" t="str">
        <f t="shared" si="13"/>
        <v>['Peru','Bolivia',2,1],</v>
      </c>
    </row>
    <row r="446" spans="1:6" x14ac:dyDescent="0.25">
      <c r="A446" t="s">
        <v>11</v>
      </c>
      <c r="B446" t="s">
        <v>211</v>
      </c>
      <c r="C446">
        <v>3</v>
      </c>
      <c r="D446">
        <v>0</v>
      </c>
      <c r="E446" t="str">
        <f t="shared" si="12"/>
        <v>['Uruguay','Venezuela',3,0],</v>
      </c>
      <c r="F446" t="str">
        <f t="shared" si="13"/>
        <v>['Venezuela','Uruguay',0,3],</v>
      </c>
    </row>
    <row r="447" spans="1:6" x14ac:dyDescent="0.25">
      <c r="A447" t="s">
        <v>16</v>
      </c>
      <c r="B447" t="s">
        <v>99</v>
      </c>
      <c r="C447">
        <v>2</v>
      </c>
      <c r="D447">
        <v>2</v>
      </c>
      <c r="E447" t="str">
        <f t="shared" si="12"/>
        <v>['Argentina','Ecuador',2,2],</v>
      </c>
      <c r="F447" t="str">
        <f t="shared" si="13"/>
        <v>['Ecuador','Argentina',2,2],</v>
      </c>
    </row>
    <row r="448" spans="1:6" x14ac:dyDescent="0.25">
      <c r="A448" t="s">
        <v>10</v>
      </c>
      <c r="B448" t="s">
        <v>211</v>
      </c>
      <c r="C448">
        <v>5</v>
      </c>
      <c r="D448">
        <v>0</v>
      </c>
      <c r="E448" t="str">
        <f t="shared" si="12"/>
        <v>['Chile','Venezuela',5,0],</v>
      </c>
      <c r="F448" t="str">
        <f t="shared" si="13"/>
        <v>['Venezuela','Chile',0,5],</v>
      </c>
    </row>
    <row r="449" spans="1:6" x14ac:dyDescent="0.25">
      <c r="A449" t="s">
        <v>10</v>
      </c>
      <c r="B449" t="s">
        <v>11</v>
      </c>
      <c r="C449">
        <v>2</v>
      </c>
      <c r="D449">
        <v>0</v>
      </c>
      <c r="E449" t="str">
        <f t="shared" si="12"/>
        <v>['Chile','Uruguay',2,0],</v>
      </c>
      <c r="F449" t="str">
        <f t="shared" si="13"/>
        <v>['Uruguay','Chile',0,2],</v>
      </c>
    </row>
    <row r="450" spans="1:6" x14ac:dyDescent="0.25">
      <c r="A450" t="s">
        <v>16</v>
      </c>
      <c r="B450" t="s">
        <v>19</v>
      </c>
      <c r="C450">
        <v>0</v>
      </c>
      <c r="D450">
        <v>0</v>
      </c>
      <c r="E450" t="str">
        <f t="shared" si="12"/>
        <v>['Argentina','Brazil',0,0],</v>
      </c>
      <c r="F450" t="str">
        <f t="shared" si="13"/>
        <v>['Brazil','Argentina',0,0],</v>
      </c>
    </row>
    <row r="451" spans="1:6" x14ac:dyDescent="0.25">
      <c r="A451" t="s">
        <v>11</v>
      </c>
      <c r="B451" t="s">
        <v>211</v>
      </c>
      <c r="C451">
        <v>2</v>
      </c>
      <c r="D451">
        <v>1</v>
      </c>
      <c r="E451" t="str">
        <f t="shared" ref="E451:E514" si="14">"['"&amp;A451&amp;"','"&amp;B451&amp;"',"&amp;C451&amp;","&amp;D451&amp;"],"</f>
        <v>['Uruguay','Venezuela',2,1],</v>
      </c>
      <c r="F451" t="str">
        <f t="shared" ref="F451:F514" si="15">"['"&amp;B451&amp;"','"&amp;A451&amp;"',"&amp;D451&amp;","&amp;C451&amp;"],"</f>
        <v>['Venezuela','Uruguay',1,2],</v>
      </c>
    </row>
    <row r="452" spans="1:6" x14ac:dyDescent="0.25">
      <c r="A452" t="s">
        <v>10</v>
      </c>
      <c r="B452" t="s">
        <v>211</v>
      </c>
      <c r="C452">
        <v>0</v>
      </c>
      <c r="D452">
        <v>0</v>
      </c>
      <c r="E452" t="str">
        <f t="shared" si="14"/>
        <v>['Chile','Venezuela',0,0],</v>
      </c>
      <c r="F452" t="str">
        <f t="shared" si="15"/>
        <v>['Venezuela','Chile',0,0],</v>
      </c>
    </row>
    <row r="453" spans="1:6" x14ac:dyDescent="0.25">
      <c r="A453" t="s">
        <v>66</v>
      </c>
      <c r="B453" t="s">
        <v>11</v>
      </c>
      <c r="C453">
        <v>0</v>
      </c>
      <c r="D453">
        <v>1</v>
      </c>
      <c r="E453" t="str">
        <f t="shared" si="14"/>
        <v>['Peru','Uruguay',0,1],</v>
      </c>
      <c r="F453" t="str">
        <f t="shared" si="15"/>
        <v>['Uruguay','Peru',1,0],</v>
      </c>
    </row>
    <row r="454" spans="1:6" x14ac:dyDescent="0.25">
      <c r="A454" t="s">
        <v>43</v>
      </c>
      <c r="B454" t="s">
        <v>19</v>
      </c>
      <c r="C454">
        <v>1</v>
      </c>
      <c r="D454">
        <v>1</v>
      </c>
      <c r="E454" t="str">
        <f t="shared" si="14"/>
        <v>['Paraguay','Brazil',1,1],</v>
      </c>
      <c r="F454" t="str">
        <f t="shared" si="15"/>
        <v>['Brazil','Paraguay',1,1],</v>
      </c>
    </row>
    <row r="455" spans="1:6" x14ac:dyDescent="0.25">
      <c r="A455" t="s">
        <v>66</v>
      </c>
      <c r="B455" t="s">
        <v>11</v>
      </c>
      <c r="C455">
        <v>1</v>
      </c>
      <c r="D455">
        <v>1</v>
      </c>
      <c r="E455" t="str">
        <f t="shared" si="14"/>
        <v>['Peru','Uruguay',1,1],</v>
      </c>
      <c r="F455" t="str">
        <f t="shared" si="15"/>
        <v>['Uruguay','Peru',1,1],</v>
      </c>
    </row>
    <row r="456" spans="1:6" x14ac:dyDescent="0.25">
      <c r="A456" t="s">
        <v>43</v>
      </c>
      <c r="B456" t="s">
        <v>19</v>
      </c>
      <c r="C456">
        <v>0</v>
      </c>
      <c r="D456">
        <v>0</v>
      </c>
      <c r="E456" t="str">
        <f t="shared" si="14"/>
        <v>['Paraguay','Brazil',0,0],</v>
      </c>
      <c r="F456" t="str">
        <f t="shared" si="15"/>
        <v>['Brazil','Paraguay',0,0],</v>
      </c>
    </row>
    <row r="457" spans="1:6" x14ac:dyDescent="0.25">
      <c r="A457" t="s">
        <v>11</v>
      </c>
      <c r="B457" t="s">
        <v>19</v>
      </c>
      <c r="C457">
        <v>2</v>
      </c>
      <c r="D457">
        <v>0</v>
      </c>
      <c r="E457" t="str">
        <f t="shared" si="14"/>
        <v>['Uruguay','Brazil',2,0],</v>
      </c>
      <c r="F457" t="str">
        <f t="shared" si="15"/>
        <v>['Brazil','Uruguay',0,2],</v>
      </c>
    </row>
    <row r="458" spans="1:6" x14ac:dyDescent="0.25">
      <c r="A458" t="s">
        <v>11</v>
      </c>
      <c r="B458" t="s">
        <v>19</v>
      </c>
      <c r="C458">
        <v>1</v>
      </c>
      <c r="D458">
        <v>1</v>
      </c>
      <c r="E458" t="str">
        <f t="shared" si="14"/>
        <v>['Uruguay','Brazil',1,1],</v>
      </c>
      <c r="F458" t="str">
        <f t="shared" si="15"/>
        <v>['Brazil','Uruguay',1,1],</v>
      </c>
    </row>
    <row r="459" spans="1:6" x14ac:dyDescent="0.25">
      <c r="A459" t="s">
        <v>16</v>
      </c>
      <c r="B459" t="s">
        <v>66</v>
      </c>
      <c r="C459">
        <v>1</v>
      </c>
      <c r="D459">
        <v>1</v>
      </c>
      <c r="E459" t="str">
        <f t="shared" si="14"/>
        <v>['Argentina','Peru',1,1],</v>
      </c>
      <c r="F459" t="str">
        <f t="shared" si="15"/>
        <v>['Peru','Argentina',1,1],</v>
      </c>
    </row>
    <row r="460" spans="1:6" x14ac:dyDescent="0.25">
      <c r="A460" t="s">
        <v>56</v>
      </c>
      <c r="B460" t="s">
        <v>43</v>
      </c>
      <c r="C460">
        <v>0</v>
      </c>
      <c r="D460">
        <v>0</v>
      </c>
      <c r="E460" t="str">
        <f t="shared" si="14"/>
        <v>['Bolivia','Paraguay',0,0],</v>
      </c>
      <c r="F460" t="str">
        <f t="shared" si="15"/>
        <v>['Paraguay','Bolivia',0,0],</v>
      </c>
    </row>
    <row r="461" spans="1:6" x14ac:dyDescent="0.25">
      <c r="A461" t="s">
        <v>211</v>
      </c>
      <c r="B461" t="s">
        <v>19</v>
      </c>
      <c r="C461">
        <v>0</v>
      </c>
      <c r="D461">
        <v>5</v>
      </c>
      <c r="E461" t="str">
        <f t="shared" si="14"/>
        <v>['Venezuela','Brazil',0,5],</v>
      </c>
      <c r="F461" t="str">
        <f t="shared" si="15"/>
        <v>['Brazil','Venezuela',5,0],</v>
      </c>
    </row>
    <row r="462" spans="1:6" x14ac:dyDescent="0.25">
      <c r="A462" t="s">
        <v>10</v>
      </c>
      <c r="B462" t="s">
        <v>211</v>
      </c>
      <c r="C462">
        <v>3</v>
      </c>
      <c r="D462">
        <v>1</v>
      </c>
      <c r="E462" t="str">
        <f t="shared" si="14"/>
        <v>['Chile','Venezuela',3,1],</v>
      </c>
      <c r="F462" t="str">
        <f t="shared" si="15"/>
        <v>['Venezuela','Chile',1,3],</v>
      </c>
    </row>
    <row r="463" spans="1:6" x14ac:dyDescent="0.25">
      <c r="A463" t="s">
        <v>56</v>
      </c>
      <c r="B463" t="s">
        <v>125</v>
      </c>
      <c r="C463">
        <v>0</v>
      </c>
      <c r="D463">
        <v>2</v>
      </c>
      <c r="E463" t="str">
        <f t="shared" si="14"/>
        <v>['Bolivia','Colombia',0,2],</v>
      </c>
      <c r="F463" t="str">
        <f t="shared" si="15"/>
        <v>['Colombia','Bolivia',2,0],</v>
      </c>
    </row>
    <row r="464" spans="1:6" x14ac:dyDescent="0.25">
      <c r="A464" t="s">
        <v>16</v>
      </c>
      <c r="B464" t="s">
        <v>99</v>
      </c>
      <c r="C464">
        <v>3</v>
      </c>
      <c r="D464">
        <v>0</v>
      </c>
      <c r="E464" t="str">
        <f t="shared" si="14"/>
        <v>['Argentina','Ecuador',3,0],</v>
      </c>
      <c r="F464" t="str">
        <f t="shared" si="15"/>
        <v>['Ecuador','Argentina',0,3],</v>
      </c>
    </row>
    <row r="465" spans="1:6" x14ac:dyDescent="0.25">
      <c r="A465" t="s">
        <v>10</v>
      </c>
      <c r="B465" t="s">
        <v>19</v>
      </c>
      <c r="C465">
        <v>4</v>
      </c>
      <c r="D465">
        <v>0</v>
      </c>
      <c r="E465" t="str">
        <f t="shared" si="14"/>
        <v>['Chile','Brazil',4,0],</v>
      </c>
      <c r="F465" t="str">
        <f t="shared" si="15"/>
        <v>['Brazil','Chile',0,4],</v>
      </c>
    </row>
    <row r="466" spans="1:6" x14ac:dyDescent="0.25">
      <c r="A466" t="s">
        <v>99</v>
      </c>
      <c r="B466" t="s">
        <v>66</v>
      </c>
      <c r="C466">
        <v>1</v>
      </c>
      <c r="D466">
        <v>1</v>
      </c>
      <c r="E466" t="str">
        <f t="shared" si="14"/>
        <v>['Ecuador','Peru',1,1],</v>
      </c>
      <c r="F466" t="str">
        <f t="shared" si="15"/>
        <v>['Peru','Ecuador',1,1],</v>
      </c>
    </row>
    <row r="467" spans="1:6" x14ac:dyDescent="0.25">
      <c r="A467" t="s">
        <v>125</v>
      </c>
      <c r="B467" t="s">
        <v>43</v>
      </c>
      <c r="C467">
        <v>3</v>
      </c>
      <c r="D467">
        <v>0</v>
      </c>
      <c r="E467" t="str">
        <f t="shared" si="14"/>
        <v>['Colombia','Paraguay',3,0],</v>
      </c>
      <c r="F467" t="str">
        <f t="shared" si="15"/>
        <v>['Paraguay','Colombia',0,3],</v>
      </c>
    </row>
    <row r="468" spans="1:6" x14ac:dyDescent="0.25">
      <c r="A468" t="s">
        <v>10</v>
      </c>
      <c r="B468" t="s">
        <v>125</v>
      </c>
      <c r="C468">
        <v>2</v>
      </c>
      <c r="D468">
        <v>1</v>
      </c>
      <c r="E468" t="str">
        <f t="shared" si="14"/>
        <v>['Chile','Colombia',2,1],</v>
      </c>
      <c r="F468" t="str">
        <f t="shared" si="15"/>
        <v>['Colombia','Chile',1,2],</v>
      </c>
    </row>
    <row r="469" spans="1:6" x14ac:dyDescent="0.25">
      <c r="A469" t="s">
        <v>16</v>
      </c>
      <c r="B469" t="s">
        <v>11</v>
      </c>
      <c r="C469">
        <v>0</v>
      </c>
      <c r="D469">
        <v>1</v>
      </c>
      <c r="E469" t="str">
        <f t="shared" si="14"/>
        <v>['Argentina','Uruguay',0,1],</v>
      </c>
      <c r="F469" t="str">
        <f t="shared" si="15"/>
        <v>['Uruguay','Argentina',1,0],</v>
      </c>
    </row>
    <row r="470" spans="1:6" x14ac:dyDescent="0.25">
      <c r="A470" t="s">
        <v>16</v>
      </c>
      <c r="B470" t="s">
        <v>125</v>
      </c>
      <c r="C470">
        <v>1</v>
      </c>
      <c r="D470">
        <v>2</v>
      </c>
      <c r="E470" t="str">
        <f t="shared" si="14"/>
        <v>['Argentina','Colombia',1,2],</v>
      </c>
      <c r="F470" t="str">
        <f t="shared" si="15"/>
        <v>['Colombia','Argentina',2,1],</v>
      </c>
    </row>
    <row r="471" spans="1:6" x14ac:dyDescent="0.25">
      <c r="A471" t="s">
        <v>10</v>
      </c>
      <c r="B471" t="s">
        <v>11</v>
      </c>
      <c r="C471">
        <v>0</v>
      </c>
      <c r="D471">
        <v>1</v>
      </c>
      <c r="E471" t="str">
        <f t="shared" si="14"/>
        <v>['Chile','Uruguay',0,1],</v>
      </c>
      <c r="F471" t="str">
        <f t="shared" si="15"/>
        <v>['Uruguay','Chile',1,0],</v>
      </c>
    </row>
    <row r="472" spans="1:6" x14ac:dyDescent="0.25">
      <c r="A472" t="s">
        <v>43</v>
      </c>
      <c r="B472" t="s">
        <v>66</v>
      </c>
      <c r="C472">
        <v>5</v>
      </c>
      <c r="D472">
        <v>2</v>
      </c>
      <c r="E472" t="str">
        <f t="shared" si="14"/>
        <v>['Paraguay','Peru',5,2],</v>
      </c>
      <c r="F472" t="str">
        <f t="shared" si="15"/>
        <v>['Peru','Paraguay',2,5],</v>
      </c>
    </row>
    <row r="473" spans="1:6" x14ac:dyDescent="0.25">
      <c r="A473" t="s">
        <v>211</v>
      </c>
      <c r="B473" t="s">
        <v>19</v>
      </c>
      <c r="C473">
        <v>1</v>
      </c>
      <c r="D473">
        <v>3</v>
      </c>
      <c r="E473" t="str">
        <f t="shared" si="14"/>
        <v>['Venezuela','Brazil',1,3],</v>
      </c>
      <c r="F473" t="str">
        <f t="shared" si="15"/>
        <v>['Brazil','Venezuela',3,1],</v>
      </c>
    </row>
    <row r="474" spans="1:6" x14ac:dyDescent="0.25">
      <c r="A474" t="s">
        <v>16</v>
      </c>
      <c r="B474" t="s">
        <v>10</v>
      </c>
      <c r="C474">
        <v>1</v>
      </c>
      <c r="D474">
        <v>0</v>
      </c>
      <c r="E474" t="str">
        <f t="shared" si="14"/>
        <v>['Argentina','Chile',1,0],</v>
      </c>
      <c r="F474" t="str">
        <f t="shared" si="15"/>
        <v>['Chile','Argentina',0,1],</v>
      </c>
    </row>
    <row r="475" spans="1:6" x14ac:dyDescent="0.25">
      <c r="A475" t="s">
        <v>99</v>
      </c>
      <c r="B475" t="s">
        <v>11</v>
      </c>
      <c r="C475">
        <v>1</v>
      </c>
      <c r="D475">
        <v>0</v>
      </c>
      <c r="E475" t="str">
        <f t="shared" si="14"/>
        <v>['Ecuador','Uruguay',1,0],</v>
      </c>
      <c r="F475" t="str">
        <f t="shared" si="15"/>
        <v>['Uruguay','Ecuador',0,1],</v>
      </c>
    </row>
    <row r="476" spans="1:6" x14ac:dyDescent="0.25">
      <c r="A476" t="s">
        <v>125</v>
      </c>
      <c r="B476" t="s">
        <v>211</v>
      </c>
      <c r="C476">
        <v>4</v>
      </c>
      <c r="D476">
        <v>2</v>
      </c>
      <c r="E476" t="str">
        <f t="shared" si="14"/>
        <v>['Colombia','Venezuela',4,2],</v>
      </c>
      <c r="F476" t="str">
        <f t="shared" si="15"/>
        <v>['Venezuela','Colombia',2,4],</v>
      </c>
    </row>
    <row r="477" spans="1:6" x14ac:dyDescent="0.25">
      <c r="A477" t="s">
        <v>66</v>
      </c>
      <c r="B477" t="s">
        <v>19</v>
      </c>
      <c r="C477">
        <v>0</v>
      </c>
      <c r="D477">
        <v>0</v>
      </c>
      <c r="E477" t="str">
        <f t="shared" si="14"/>
        <v>['Peru','Brazil',0,0],</v>
      </c>
      <c r="F477" t="str">
        <f t="shared" si="15"/>
        <v>['Brazil','Peru',0,0],</v>
      </c>
    </row>
    <row r="478" spans="1:6" x14ac:dyDescent="0.25">
      <c r="A478" t="s">
        <v>16</v>
      </c>
      <c r="B478" t="s">
        <v>99</v>
      </c>
      <c r="C478">
        <v>0</v>
      </c>
      <c r="D478">
        <v>0</v>
      </c>
      <c r="E478" t="str">
        <f t="shared" si="14"/>
        <v>['Argentina','Ecuador',0,0],</v>
      </c>
      <c r="F478" t="str">
        <f t="shared" si="15"/>
        <v>['Ecuador','Argentina',0,0],</v>
      </c>
    </row>
    <row r="479" spans="1:6" x14ac:dyDescent="0.25">
      <c r="A479" t="s">
        <v>56</v>
      </c>
      <c r="B479" t="s">
        <v>11</v>
      </c>
      <c r="C479">
        <v>0</v>
      </c>
      <c r="D479">
        <v>3</v>
      </c>
      <c r="E479" t="str">
        <f t="shared" si="14"/>
        <v>['Bolivia','Uruguay',0,3],</v>
      </c>
      <c r="F479" t="str">
        <f t="shared" si="15"/>
        <v>['Uruguay','Bolivia',3,0],</v>
      </c>
    </row>
    <row r="480" spans="1:6" x14ac:dyDescent="0.25">
      <c r="A480" t="s">
        <v>125</v>
      </c>
      <c r="B480" t="s">
        <v>43</v>
      </c>
      <c r="C480">
        <v>0</v>
      </c>
      <c r="D480">
        <v>1</v>
      </c>
      <c r="E480" t="str">
        <f t="shared" si="14"/>
        <v>['Colombia','Paraguay',0,1],</v>
      </c>
      <c r="F480" t="str">
        <f t="shared" si="15"/>
        <v>['Paraguay','Colombia',1,0],</v>
      </c>
    </row>
    <row r="481" spans="1:6" x14ac:dyDescent="0.25">
      <c r="A481" t="s">
        <v>66</v>
      </c>
      <c r="B481" t="s">
        <v>211</v>
      </c>
      <c r="C481">
        <v>1</v>
      </c>
      <c r="D481">
        <v>1</v>
      </c>
      <c r="E481" t="str">
        <f t="shared" si="14"/>
        <v>['Peru','Venezuela',1,1],</v>
      </c>
      <c r="F481" t="str">
        <f t="shared" si="15"/>
        <v>['Venezuela','Peru',1,1],</v>
      </c>
    </row>
    <row r="482" spans="1:6" x14ac:dyDescent="0.25">
      <c r="A482" t="s">
        <v>56</v>
      </c>
      <c r="B482" t="s">
        <v>99</v>
      </c>
      <c r="C482">
        <v>0</v>
      </c>
      <c r="D482">
        <v>0</v>
      </c>
      <c r="E482" t="str">
        <f t="shared" si="14"/>
        <v>['Bolivia','Ecuador',0,0],</v>
      </c>
      <c r="F482" t="str">
        <f t="shared" si="15"/>
        <v>['Ecuador','Bolivia',0,0],</v>
      </c>
    </row>
    <row r="483" spans="1:6" x14ac:dyDescent="0.25">
      <c r="A483" t="s">
        <v>10</v>
      </c>
      <c r="B483" t="s">
        <v>11</v>
      </c>
      <c r="C483">
        <v>0</v>
      </c>
      <c r="D483">
        <v>3</v>
      </c>
      <c r="E483" t="str">
        <f t="shared" si="14"/>
        <v>['Chile','Uruguay',0,3],</v>
      </c>
      <c r="F483" t="str">
        <f t="shared" si="15"/>
        <v>['Uruguay','Chile',3,0],</v>
      </c>
    </row>
    <row r="484" spans="1:6" x14ac:dyDescent="0.25">
      <c r="A484" t="s">
        <v>43</v>
      </c>
      <c r="B484" t="s">
        <v>211</v>
      </c>
      <c r="C484">
        <v>3</v>
      </c>
      <c r="D484">
        <v>0</v>
      </c>
      <c r="E484" t="str">
        <f t="shared" si="14"/>
        <v>['Paraguay','Venezuela',3,0],</v>
      </c>
      <c r="F484" t="str">
        <f t="shared" si="15"/>
        <v>['Venezuela','Paraguay',0,3],</v>
      </c>
    </row>
    <row r="485" spans="1:6" x14ac:dyDescent="0.25">
      <c r="A485" t="s">
        <v>125</v>
      </c>
      <c r="B485" t="s">
        <v>19</v>
      </c>
      <c r="C485">
        <v>0</v>
      </c>
      <c r="D485">
        <v>0</v>
      </c>
      <c r="E485" t="str">
        <f t="shared" si="14"/>
        <v>['Colombia','Brazil',0,0],</v>
      </c>
      <c r="F485" t="str">
        <f t="shared" si="15"/>
        <v>['Brazil','Colombia',0,0],</v>
      </c>
    </row>
    <row r="486" spans="1:6" x14ac:dyDescent="0.25">
      <c r="A486" t="s">
        <v>16</v>
      </c>
      <c r="B486" t="s">
        <v>11</v>
      </c>
      <c r="C486">
        <v>1</v>
      </c>
      <c r="D486">
        <v>0</v>
      </c>
      <c r="E486" t="str">
        <f t="shared" si="14"/>
        <v>['Argentina','Uruguay',1,0],</v>
      </c>
      <c r="F486" t="str">
        <f t="shared" si="15"/>
        <v>['Uruguay','Argentina',0,1],</v>
      </c>
    </row>
    <row r="487" spans="1:6" x14ac:dyDescent="0.25">
      <c r="A487" t="s">
        <v>56</v>
      </c>
      <c r="B487" t="s">
        <v>10</v>
      </c>
      <c r="C487">
        <v>0</v>
      </c>
      <c r="D487">
        <v>5</v>
      </c>
      <c r="E487" t="str">
        <f t="shared" si="14"/>
        <v>['Bolivia','Chile',0,5],</v>
      </c>
      <c r="F487" t="str">
        <f t="shared" si="15"/>
        <v>['Chile','Bolivia',5,0],</v>
      </c>
    </row>
    <row r="488" spans="1:6" x14ac:dyDescent="0.25">
      <c r="A488" t="s">
        <v>125</v>
      </c>
      <c r="B488" t="s">
        <v>66</v>
      </c>
      <c r="C488">
        <v>1</v>
      </c>
      <c r="D488">
        <v>1</v>
      </c>
      <c r="E488" t="str">
        <f t="shared" si="14"/>
        <v>['Colombia','Peru',1,1],</v>
      </c>
      <c r="F488" t="str">
        <f t="shared" si="15"/>
        <v>['Peru','Colombia',1,1],</v>
      </c>
    </row>
    <row r="489" spans="1:6" x14ac:dyDescent="0.25">
      <c r="A489" t="s">
        <v>43</v>
      </c>
      <c r="B489" t="s">
        <v>19</v>
      </c>
      <c r="C489">
        <v>0</v>
      </c>
      <c r="D489">
        <v>2</v>
      </c>
      <c r="E489" t="str">
        <f t="shared" si="14"/>
        <v>['Paraguay','Brazil',0,2],</v>
      </c>
      <c r="F489" t="str">
        <f t="shared" si="15"/>
        <v>['Brazil','Paraguay',2,0],</v>
      </c>
    </row>
    <row r="490" spans="1:6" x14ac:dyDescent="0.25">
      <c r="A490" t="s">
        <v>10</v>
      </c>
      <c r="B490" t="s">
        <v>99</v>
      </c>
      <c r="C490">
        <v>2</v>
      </c>
      <c r="D490">
        <v>1</v>
      </c>
      <c r="E490" t="str">
        <f t="shared" si="14"/>
        <v>['Chile','Ecuador',2,1],</v>
      </c>
      <c r="F490" t="str">
        <f t="shared" si="15"/>
        <v>['Ecuador','Chile',1,2],</v>
      </c>
    </row>
    <row r="491" spans="1:6" x14ac:dyDescent="0.25">
      <c r="A491" t="s">
        <v>16</v>
      </c>
      <c r="B491" t="s">
        <v>56</v>
      </c>
      <c r="C491">
        <v>0</v>
      </c>
      <c r="D491">
        <v>0</v>
      </c>
      <c r="E491" t="str">
        <f t="shared" si="14"/>
        <v>['Argentina','Bolivia',0,0],</v>
      </c>
      <c r="F491" t="str">
        <f t="shared" si="15"/>
        <v>['Bolivia','Argentina',0,0],</v>
      </c>
    </row>
    <row r="492" spans="1:6" x14ac:dyDescent="0.25">
      <c r="A492" t="s">
        <v>43</v>
      </c>
      <c r="B492" t="s">
        <v>11</v>
      </c>
      <c r="C492">
        <v>0</v>
      </c>
      <c r="D492">
        <v>3</v>
      </c>
      <c r="E492" t="str">
        <f t="shared" si="14"/>
        <v>['Paraguay','Uruguay',0,3],</v>
      </c>
      <c r="F492" t="str">
        <f t="shared" si="15"/>
        <v>['Uruguay','Paraguay',3,0],</v>
      </c>
    </row>
    <row r="493" spans="1:6" x14ac:dyDescent="0.25">
      <c r="A493" t="s">
        <v>16</v>
      </c>
      <c r="B493" t="s">
        <v>19</v>
      </c>
      <c r="C493">
        <v>0</v>
      </c>
      <c r="D493">
        <v>2</v>
      </c>
      <c r="E493" t="str">
        <f t="shared" si="14"/>
        <v>['Argentina','Brazil',0,2],</v>
      </c>
      <c r="F493" t="str">
        <f t="shared" si="15"/>
        <v>['Brazil','Argentina',2,0],</v>
      </c>
    </row>
    <row r="494" spans="1:6" x14ac:dyDescent="0.25">
      <c r="A494" t="s">
        <v>16</v>
      </c>
      <c r="B494" t="s">
        <v>11</v>
      </c>
      <c r="C494">
        <v>0</v>
      </c>
      <c r="D494">
        <v>2</v>
      </c>
      <c r="E494" t="str">
        <f t="shared" si="14"/>
        <v>['Argentina','Uruguay',0,2],</v>
      </c>
      <c r="F494" t="str">
        <f t="shared" si="15"/>
        <v>['Uruguay','Argentina',2,0],</v>
      </c>
    </row>
    <row r="495" spans="1:6" x14ac:dyDescent="0.25">
      <c r="A495" t="s">
        <v>43</v>
      </c>
      <c r="B495" t="s">
        <v>19</v>
      </c>
      <c r="C495">
        <v>0</v>
      </c>
      <c r="D495">
        <v>3</v>
      </c>
      <c r="E495" t="str">
        <f t="shared" si="14"/>
        <v>['Paraguay','Brazil',0,3],</v>
      </c>
      <c r="F495" t="str">
        <f t="shared" si="15"/>
        <v>['Brazil','Paraguay',3,0],</v>
      </c>
    </row>
    <row r="496" spans="1:6" x14ac:dyDescent="0.25">
      <c r="A496" t="s">
        <v>16</v>
      </c>
      <c r="B496" t="s">
        <v>43</v>
      </c>
      <c r="C496">
        <v>0</v>
      </c>
      <c r="D496">
        <v>0</v>
      </c>
      <c r="E496" t="str">
        <f t="shared" si="14"/>
        <v>['Argentina','Paraguay',0,0],</v>
      </c>
      <c r="F496" t="str">
        <f t="shared" si="15"/>
        <v>['Paraguay','Argentina',0,0],</v>
      </c>
    </row>
    <row r="497" spans="1:6" x14ac:dyDescent="0.25">
      <c r="A497" t="s">
        <v>11</v>
      </c>
      <c r="B497" t="s">
        <v>19</v>
      </c>
      <c r="C497">
        <v>0</v>
      </c>
      <c r="D497">
        <v>1</v>
      </c>
      <c r="E497" t="str">
        <f t="shared" si="14"/>
        <v>['Uruguay','Brazil',0,1],</v>
      </c>
      <c r="F497" t="str">
        <f t="shared" si="15"/>
        <v>['Brazil','Uruguay',1,0],</v>
      </c>
    </row>
    <row r="498" spans="1:6" x14ac:dyDescent="0.25">
      <c r="A498" t="s">
        <v>10</v>
      </c>
      <c r="B498" t="s">
        <v>211</v>
      </c>
      <c r="C498">
        <v>2</v>
      </c>
      <c r="D498">
        <v>0</v>
      </c>
      <c r="E498" t="str">
        <f t="shared" si="14"/>
        <v>['Chile','Venezuela',2,0],</v>
      </c>
      <c r="F498" t="str">
        <f t="shared" si="15"/>
        <v>['Venezuela','Chile',0,2],</v>
      </c>
    </row>
    <row r="499" spans="1:6" x14ac:dyDescent="0.25">
      <c r="A499" t="s">
        <v>43</v>
      </c>
      <c r="B499" t="s">
        <v>66</v>
      </c>
      <c r="C499">
        <v>1</v>
      </c>
      <c r="D499">
        <v>0</v>
      </c>
      <c r="E499" t="str">
        <f t="shared" si="14"/>
        <v>['Paraguay','Peru',1,0],</v>
      </c>
      <c r="F499" t="str">
        <f t="shared" si="15"/>
        <v>['Peru','Paraguay',0,1],</v>
      </c>
    </row>
    <row r="500" spans="1:6" x14ac:dyDescent="0.25">
      <c r="A500" t="s">
        <v>56</v>
      </c>
      <c r="B500" t="s">
        <v>11</v>
      </c>
      <c r="C500">
        <v>1</v>
      </c>
      <c r="D500">
        <v>1</v>
      </c>
      <c r="E500" t="str">
        <f t="shared" si="14"/>
        <v>['Bolivia','Uruguay',1,1],</v>
      </c>
      <c r="F500" t="str">
        <f t="shared" si="15"/>
        <v>['Uruguay','Bolivia',1,1],</v>
      </c>
    </row>
    <row r="501" spans="1:6" x14ac:dyDescent="0.25">
      <c r="A501" t="s">
        <v>125</v>
      </c>
      <c r="B501" t="s">
        <v>99</v>
      </c>
      <c r="C501">
        <v>1</v>
      </c>
      <c r="D501">
        <v>0</v>
      </c>
      <c r="E501" t="str">
        <f t="shared" si="14"/>
        <v>['Colombia','Ecuador',1,0],</v>
      </c>
      <c r="F501" t="str">
        <f t="shared" si="15"/>
        <v>['Ecuador','Colombia',0,1],</v>
      </c>
    </row>
    <row r="502" spans="1:6" x14ac:dyDescent="0.25">
      <c r="A502" t="s">
        <v>16</v>
      </c>
      <c r="B502" t="s">
        <v>211</v>
      </c>
      <c r="C502">
        <v>3</v>
      </c>
      <c r="D502">
        <v>0</v>
      </c>
      <c r="E502" t="str">
        <f t="shared" si="14"/>
        <v>['Argentina','Venezuela',3,0],</v>
      </c>
      <c r="F502" t="str">
        <f t="shared" si="15"/>
        <v>['Venezuela','Argentina',0,3],</v>
      </c>
    </row>
    <row r="503" spans="1:6" x14ac:dyDescent="0.25">
      <c r="A503" t="s">
        <v>10</v>
      </c>
      <c r="B503" t="s">
        <v>66</v>
      </c>
      <c r="C503">
        <v>4</v>
      </c>
      <c r="D503">
        <v>2</v>
      </c>
      <c r="E503" t="str">
        <f t="shared" si="14"/>
        <v>['Chile','Peru',4,2],</v>
      </c>
      <c r="F503" t="str">
        <f t="shared" si="15"/>
        <v>['Peru','Chile',2,4],</v>
      </c>
    </row>
    <row r="504" spans="1:6" x14ac:dyDescent="0.25">
      <c r="A504" t="s">
        <v>56</v>
      </c>
      <c r="B504" t="s">
        <v>19</v>
      </c>
      <c r="C504">
        <v>1</v>
      </c>
      <c r="D504">
        <v>2</v>
      </c>
      <c r="E504" t="str">
        <f t="shared" si="14"/>
        <v>['Bolivia','Brazil',1,2],</v>
      </c>
      <c r="F504" t="str">
        <f t="shared" si="15"/>
        <v>['Brazil','Bolivia',2,1],</v>
      </c>
    </row>
    <row r="505" spans="1:6" x14ac:dyDescent="0.25">
      <c r="A505" t="s">
        <v>99</v>
      </c>
      <c r="B505" t="s">
        <v>11</v>
      </c>
      <c r="C505">
        <v>1</v>
      </c>
      <c r="D505">
        <v>1</v>
      </c>
      <c r="E505" t="str">
        <f t="shared" si="14"/>
        <v>['Ecuador','Uruguay',1,1],</v>
      </c>
      <c r="F505" t="str">
        <f t="shared" si="15"/>
        <v>['Uruguay','Ecuador',1,1],</v>
      </c>
    </row>
    <row r="506" spans="1:6" x14ac:dyDescent="0.25">
      <c r="A506" t="s">
        <v>43</v>
      </c>
      <c r="B506" t="s">
        <v>211</v>
      </c>
      <c r="C506">
        <v>5</v>
      </c>
      <c r="D506">
        <v>0</v>
      </c>
      <c r="E506" t="str">
        <f t="shared" si="14"/>
        <v>['Paraguay','Venezuela',5,0],</v>
      </c>
      <c r="F506" t="str">
        <f t="shared" si="15"/>
        <v>['Venezuela','Paraguay',0,5],</v>
      </c>
    </row>
    <row r="507" spans="1:6" x14ac:dyDescent="0.25">
      <c r="A507" t="s">
        <v>16</v>
      </c>
      <c r="B507" t="s">
        <v>10</v>
      </c>
      <c r="C507">
        <v>1</v>
      </c>
      <c r="D507">
        <v>0</v>
      </c>
      <c r="E507" t="str">
        <f t="shared" si="14"/>
        <v>['Argentina','Chile',1,0],</v>
      </c>
      <c r="F507" t="str">
        <f t="shared" si="15"/>
        <v>['Chile','Argentina',0,1],</v>
      </c>
    </row>
    <row r="508" spans="1:6" x14ac:dyDescent="0.25">
      <c r="A508" t="s">
        <v>56</v>
      </c>
      <c r="B508" t="s">
        <v>125</v>
      </c>
      <c r="C508">
        <v>0</v>
      </c>
      <c r="D508">
        <v>0</v>
      </c>
      <c r="E508" t="str">
        <f t="shared" si="14"/>
        <v>['Bolivia','Colombia',0,0],</v>
      </c>
      <c r="F508" t="str">
        <f t="shared" si="15"/>
        <v>['Colombia','Bolivia',0,0],</v>
      </c>
    </row>
    <row r="509" spans="1:6" x14ac:dyDescent="0.25">
      <c r="A509" t="s">
        <v>11</v>
      </c>
      <c r="B509" t="s">
        <v>19</v>
      </c>
      <c r="C509">
        <v>1</v>
      </c>
      <c r="D509">
        <v>1</v>
      </c>
      <c r="E509" t="str">
        <f t="shared" si="14"/>
        <v>['Uruguay','Brazil',1,1],</v>
      </c>
      <c r="F509" t="str">
        <f t="shared" si="15"/>
        <v>['Brazil','Uruguay',1,1],</v>
      </c>
    </row>
    <row r="510" spans="1:6" x14ac:dyDescent="0.25">
      <c r="A510" t="s">
        <v>16</v>
      </c>
      <c r="B510" t="s">
        <v>43</v>
      </c>
      <c r="C510">
        <v>4</v>
      </c>
      <c r="D510">
        <v>1</v>
      </c>
      <c r="E510" t="str">
        <f t="shared" si="14"/>
        <v>['Argentina','Paraguay',4,1],</v>
      </c>
      <c r="F510" t="str">
        <f t="shared" si="15"/>
        <v>['Paraguay','Argentina',1,4],</v>
      </c>
    </row>
    <row r="511" spans="1:6" x14ac:dyDescent="0.25">
      <c r="A511" t="s">
        <v>66</v>
      </c>
      <c r="B511" t="s">
        <v>211</v>
      </c>
      <c r="C511">
        <v>5</v>
      </c>
      <c r="D511">
        <v>1</v>
      </c>
      <c r="E511" t="str">
        <f t="shared" si="14"/>
        <v>['Peru','Venezuela',5,1],</v>
      </c>
      <c r="F511" t="str">
        <f t="shared" si="15"/>
        <v>['Venezuela','Peru',1,5],</v>
      </c>
    </row>
    <row r="512" spans="1:6" x14ac:dyDescent="0.25">
      <c r="A512" t="s">
        <v>125</v>
      </c>
      <c r="B512" t="s">
        <v>19</v>
      </c>
      <c r="C512">
        <v>2</v>
      </c>
      <c r="D512">
        <v>0</v>
      </c>
      <c r="E512" t="str">
        <f t="shared" si="14"/>
        <v>['Colombia','Brazil',2,0],</v>
      </c>
      <c r="F512" t="str">
        <f t="shared" si="15"/>
        <v>['Brazil','Colombia',0,2],</v>
      </c>
    </row>
    <row r="513" spans="1:6" x14ac:dyDescent="0.25">
      <c r="A513" t="s">
        <v>56</v>
      </c>
      <c r="B513" t="s">
        <v>99</v>
      </c>
      <c r="C513">
        <v>0</v>
      </c>
      <c r="D513">
        <v>4</v>
      </c>
      <c r="E513" t="str">
        <f t="shared" si="14"/>
        <v>['Bolivia','Ecuador',0,4],</v>
      </c>
      <c r="F513" t="str">
        <f t="shared" si="15"/>
        <v>['Ecuador','Bolivia',4,0],</v>
      </c>
    </row>
    <row r="514" spans="1:6" x14ac:dyDescent="0.25">
      <c r="A514" t="s">
        <v>16</v>
      </c>
      <c r="B514" t="s">
        <v>66</v>
      </c>
      <c r="C514">
        <v>3</v>
      </c>
      <c r="D514">
        <v>2</v>
      </c>
      <c r="E514" t="str">
        <f t="shared" si="14"/>
        <v>['Argentina','Peru',3,2],</v>
      </c>
      <c r="F514" t="str">
        <f t="shared" si="15"/>
        <v>['Peru','Argentina',2,3],</v>
      </c>
    </row>
    <row r="515" spans="1:6" x14ac:dyDescent="0.25">
      <c r="A515" t="s">
        <v>10</v>
      </c>
      <c r="B515" t="s">
        <v>43</v>
      </c>
      <c r="C515">
        <v>4</v>
      </c>
      <c r="D515">
        <v>0</v>
      </c>
      <c r="E515" t="str">
        <f t="shared" ref="E515:E578" si="16">"['"&amp;A515&amp;"','"&amp;B515&amp;"',"&amp;C515&amp;","&amp;D515&amp;"],"</f>
        <v>['Chile','Paraguay',4,0],</v>
      </c>
      <c r="F515" t="str">
        <f t="shared" ref="F515:F578" si="17">"['"&amp;B515&amp;"','"&amp;A515&amp;"',"&amp;D515&amp;","&amp;C515&amp;"],"</f>
        <v>['Paraguay','Chile',0,4],</v>
      </c>
    </row>
    <row r="516" spans="1:6" x14ac:dyDescent="0.25">
      <c r="A516" t="s">
        <v>125</v>
      </c>
      <c r="B516" t="s">
        <v>11</v>
      </c>
      <c r="C516">
        <v>0</v>
      </c>
      <c r="D516">
        <v>1</v>
      </c>
      <c r="E516" t="str">
        <f t="shared" si="16"/>
        <v>['Colombia','Uruguay',0,1],</v>
      </c>
      <c r="F516" t="str">
        <f t="shared" si="17"/>
        <v>['Uruguay','Colombia',1,0],</v>
      </c>
    </row>
    <row r="517" spans="1:6" x14ac:dyDescent="0.25">
      <c r="A517" t="s">
        <v>99</v>
      </c>
      <c r="B517" t="s">
        <v>19</v>
      </c>
      <c r="C517">
        <v>1</v>
      </c>
      <c r="D517">
        <v>3</v>
      </c>
      <c r="E517" t="str">
        <f t="shared" si="16"/>
        <v>['Ecuador','Brazil',1,3],</v>
      </c>
      <c r="F517" t="str">
        <f t="shared" si="17"/>
        <v>['Brazil','Ecuador',3,1],</v>
      </c>
    </row>
    <row r="518" spans="1:6" x14ac:dyDescent="0.25">
      <c r="A518" t="s">
        <v>10</v>
      </c>
      <c r="B518" t="s">
        <v>125</v>
      </c>
      <c r="C518">
        <v>1</v>
      </c>
      <c r="D518">
        <v>1</v>
      </c>
      <c r="E518" t="str">
        <f t="shared" si="16"/>
        <v>['Chile','Colombia',1,1],</v>
      </c>
      <c r="F518" t="str">
        <f t="shared" si="17"/>
        <v>['Colombia','Chile',1,1],</v>
      </c>
    </row>
    <row r="519" spans="1:6" x14ac:dyDescent="0.25">
      <c r="A519" t="s">
        <v>16</v>
      </c>
      <c r="B519" t="s">
        <v>19</v>
      </c>
      <c r="C519">
        <v>3</v>
      </c>
      <c r="D519">
        <v>2</v>
      </c>
      <c r="E519" t="str">
        <f t="shared" si="16"/>
        <v>['Argentina','Brazil',3,2],</v>
      </c>
      <c r="F519" t="str">
        <f t="shared" si="17"/>
        <v>['Brazil','Argentina',2,3],</v>
      </c>
    </row>
    <row r="520" spans="1:6" x14ac:dyDescent="0.25">
      <c r="A520" t="s">
        <v>125</v>
      </c>
      <c r="B520" t="s">
        <v>19</v>
      </c>
      <c r="C520">
        <v>0</v>
      </c>
      <c r="D520">
        <v>2</v>
      </c>
      <c r="E520" t="str">
        <f t="shared" si="16"/>
        <v>['Colombia','Brazil',0,2],</v>
      </c>
      <c r="F520" t="str">
        <f t="shared" si="17"/>
        <v>['Brazil','Colombia',2,0],</v>
      </c>
    </row>
    <row r="521" spans="1:6" x14ac:dyDescent="0.25">
      <c r="A521" t="s">
        <v>16</v>
      </c>
      <c r="B521" t="s">
        <v>10</v>
      </c>
      <c r="C521">
        <v>0</v>
      </c>
      <c r="D521">
        <v>0</v>
      </c>
      <c r="E521" t="str">
        <f t="shared" si="16"/>
        <v>['Argentina','Chile',0,0],</v>
      </c>
      <c r="F521" t="str">
        <f t="shared" si="17"/>
        <v>['Chile','Argentina',0,0],</v>
      </c>
    </row>
    <row r="522" spans="1:6" x14ac:dyDescent="0.25">
      <c r="A522" t="s">
        <v>16</v>
      </c>
      <c r="B522" t="s">
        <v>125</v>
      </c>
      <c r="C522">
        <v>2</v>
      </c>
      <c r="D522">
        <v>1</v>
      </c>
      <c r="E522" t="str">
        <f t="shared" si="16"/>
        <v>['Argentina','Colombia',2,1],</v>
      </c>
      <c r="F522" t="str">
        <f t="shared" si="17"/>
        <v>['Colombia','Argentina',1,2],</v>
      </c>
    </row>
    <row r="523" spans="1:6" x14ac:dyDescent="0.25">
      <c r="A523" t="s">
        <v>10</v>
      </c>
      <c r="B523" t="s">
        <v>19</v>
      </c>
      <c r="C523">
        <v>0</v>
      </c>
      <c r="D523">
        <v>2</v>
      </c>
      <c r="E523" t="str">
        <f t="shared" si="16"/>
        <v>['Chile','Brazil',0,2],</v>
      </c>
      <c r="F523" t="str">
        <f t="shared" si="17"/>
        <v>['Brazil','Chile',2,0],</v>
      </c>
    </row>
    <row r="524" spans="1:6" x14ac:dyDescent="0.25">
      <c r="A524" t="s">
        <v>99</v>
      </c>
      <c r="B524" t="s">
        <v>211</v>
      </c>
      <c r="C524">
        <v>6</v>
      </c>
      <c r="D524">
        <v>1</v>
      </c>
      <c r="E524" t="str">
        <f t="shared" si="16"/>
        <v>['Ecuador','Venezuela',6,1],</v>
      </c>
      <c r="F524" t="str">
        <f t="shared" si="17"/>
        <v>['Venezuela','Ecuador',1,6],</v>
      </c>
    </row>
    <row r="525" spans="1:6" x14ac:dyDescent="0.25">
      <c r="A525" t="s">
        <v>11</v>
      </c>
      <c r="B525" t="s">
        <v>311</v>
      </c>
      <c r="C525">
        <v>1</v>
      </c>
      <c r="D525">
        <v>0</v>
      </c>
      <c r="E525" t="str">
        <f t="shared" si="16"/>
        <v>['Uruguay','United States',1,0],</v>
      </c>
      <c r="F525" t="str">
        <f t="shared" si="17"/>
        <v>['United States','Uruguay',0,1],</v>
      </c>
    </row>
    <row r="526" spans="1:6" x14ac:dyDescent="0.25">
      <c r="A526" t="s">
        <v>125</v>
      </c>
      <c r="B526" t="s">
        <v>482</v>
      </c>
      <c r="C526">
        <v>2</v>
      </c>
      <c r="D526">
        <v>1</v>
      </c>
      <c r="E526" t="str">
        <f t="shared" si="16"/>
        <v>['Colombia','Mexico',2,1],</v>
      </c>
      <c r="F526" t="str">
        <f t="shared" si="17"/>
        <v>['Mexico','Colombia',1,2],</v>
      </c>
    </row>
    <row r="527" spans="1:6" x14ac:dyDescent="0.25">
      <c r="A527" t="s">
        <v>16</v>
      </c>
      <c r="B527" t="s">
        <v>56</v>
      </c>
      <c r="C527">
        <v>1</v>
      </c>
      <c r="D527">
        <v>0</v>
      </c>
      <c r="E527" t="str">
        <f t="shared" si="16"/>
        <v>['Argentina','Bolivia',1,0],</v>
      </c>
      <c r="F527" t="str">
        <f t="shared" si="17"/>
        <v>['Bolivia','Argentina',0,1],</v>
      </c>
    </row>
    <row r="528" spans="1:6" x14ac:dyDescent="0.25">
      <c r="A528" t="s">
        <v>66</v>
      </c>
      <c r="B528" t="s">
        <v>19</v>
      </c>
      <c r="C528">
        <v>0</v>
      </c>
      <c r="D528">
        <v>0</v>
      </c>
      <c r="E528" t="str">
        <f t="shared" si="16"/>
        <v>['Peru','Brazil',0,0],</v>
      </c>
      <c r="F528" t="str">
        <f t="shared" si="17"/>
        <v>['Brazil','Peru',0,0],</v>
      </c>
    </row>
    <row r="529" spans="1:6" x14ac:dyDescent="0.25">
      <c r="A529" t="s">
        <v>10</v>
      </c>
      <c r="B529" t="s">
        <v>43</v>
      </c>
      <c r="C529">
        <v>0</v>
      </c>
      <c r="D529">
        <v>1</v>
      </c>
      <c r="E529" t="str">
        <f t="shared" si="16"/>
        <v>['Chile','Paraguay',0,1],</v>
      </c>
      <c r="F529" t="str">
        <f t="shared" si="17"/>
        <v>['Paraguay','Chile',1,0],</v>
      </c>
    </row>
    <row r="530" spans="1:6" x14ac:dyDescent="0.25">
      <c r="A530" t="s">
        <v>11</v>
      </c>
      <c r="B530" t="s">
        <v>211</v>
      </c>
      <c r="C530">
        <v>2</v>
      </c>
      <c r="D530">
        <v>2</v>
      </c>
      <c r="E530" t="str">
        <f t="shared" si="16"/>
        <v>['Uruguay','Venezuela',2,2],</v>
      </c>
      <c r="F530" t="str">
        <f t="shared" si="17"/>
        <v>['Venezuela','Uruguay',2,2],</v>
      </c>
    </row>
    <row r="531" spans="1:6" x14ac:dyDescent="0.25">
      <c r="A531" t="s">
        <v>99</v>
      </c>
      <c r="B531" t="s">
        <v>311</v>
      </c>
      <c r="C531">
        <v>2</v>
      </c>
      <c r="D531">
        <v>0</v>
      </c>
      <c r="E531" t="str">
        <f t="shared" si="16"/>
        <v>['Ecuador','United States',2,0],</v>
      </c>
      <c r="F531" t="str">
        <f t="shared" si="17"/>
        <v>['United States','Ecuador',0,2],</v>
      </c>
    </row>
    <row r="532" spans="1:6" x14ac:dyDescent="0.25">
      <c r="A532" t="s">
        <v>16</v>
      </c>
      <c r="B532" t="s">
        <v>482</v>
      </c>
      <c r="C532">
        <v>1</v>
      </c>
      <c r="D532">
        <v>1</v>
      </c>
      <c r="E532" t="str">
        <f t="shared" si="16"/>
        <v>['Argentina','Mexico',1,1],</v>
      </c>
      <c r="F532" t="str">
        <f t="shared" si="17"/>
        <v>['Mexico','Argentina',1,1],</v>
      </c>
    </row>
    <row r="533" spans="1:6" x14ac:dyDescent="0.25">
      <c r="A533" t="s">
        <v>56</v>
      </c>
      <c r="B533" t="s">
        <v>125</v>
      </c>
      <c r="C533">
        <v>1</v>
      </c>
      <c r="D533">
        <v>1</v>
      </c>
      <c r="E533" t="str">
        <f t="shared" si="16"/>
        <v>['Bolivia','Colombia',1,1],</v>
      </c>
      <c r="F533" t="str">
        <f t="shared" si="17"/>
        <v>['Colombia','Bolivia',1,1],</v>
      </c>
    </row>
    <row r="534" spans="1:6" x14ac:dyDescent="0.25">
      <c r="A534" t="s">
        <v>10</v>
      </c>
      <c r="B534" t="s">
        <v>19</v>
      </c>
      <c r="C534">
        <v>3</v>
      </c>
      <c r="D534">
        <v>2</v>
      </c>
      <c r="E534" t="str">
        <f t="shared" si="16"/>
        <v>['Chile','Brazil',3,2],</v>
      </c>
      <c r="F534" t="str">
        <f t="shared" si="17"/>
        <v>['Brazil','Chile',2,3],</v>
      </c>
    </row>
    <row r="535" spans="1:6" x14ac:dyDescent="0.25">
      <c r="A535" t="s">
        <v>43</v>
      </c>
      <c r="B535" t="s">
        <v>66</v>
      </c>
      <c r="C535">
        <v>1</v>
      </c>
      <c r="D535">
        <v>1</v>
      </c>
      <c r="E535" t="str">
        <f t="shared" si="16"/>
        <v>['Paraguay','Peru',1,1],</v>
      </c>
      <c r="F535" t="str">
        <f t="shared" si="17"/>
        <v>['Peru','Paraguay',1,1],</v>
      </c>
    </row>
    <row r="536" spans="1:6" x14ac:dyDescent="0.25">
      <c r="A536" t="s">
        <v>211</v>
      </c>
      <c r="B536" t="s">
        <v>311</v>
      </c>
      <c r="C536">
        <v>3</v>
      </c>
      <c r="D536">
        <v>3</v>
      </c>
      <c r="E536" t="str">
        <f t="shared" si="16"/>
        <v>['Venezuela','United States',3,3],</v>
      </c>
      <c r="F536" t="str">
        <f t="shared" si="17"/>
        <v>['United States','Venezuela',3,3],</v>
      </c>
    </row>
    <row r="537" spans="1:6" x14ac:dyDescent="0.25">
      <c r="A537" t="s">
        <v>99</v>
      </c>
      <c r="B537" t="s">
        <v>11</v>
      </c>
      <c r="C537">
        <v>2</v>
      </c>
      <c r="D537">
        <v>1</v>
      </c>
      <c r="E537" t="str">
        <f t="shared" si="16"/>
        <v>['Ecuador','Uruguay',2,1],</v>
      </c>
      <c r="F537" t="str">
        <f t="shared" si="17"/>
        <v>['Uruguay','Ecuador',1,2],</v>
      </c>
    </row>
    <row r="538" spans="1:6" x14ac:dyDescent="0.25">
      <c r="A538" t="s">
        <v>56</v>
      </c>
      <c r="B538" t="s">
        <v>482</v>
      </c>
      <c r="C538">
        <v>0</v>
      </c>
      <c r="D538">
        <v>0</v>
      </c>
      <c r="E538" t="str">
        <f t="shared" si="16"/>
        <v>['Bolivia','Mexico',0,0],</v>
      </c>
      <c r="F538" t="str">
        <f t="shared" si="17"/>
        <v>['Mexico','Bolivia',0,0],</v>
      </c>
    </row>
    <row r="539" spans="1:6" x14ac:dyDescent="0.25">
      <c r="A539" t="s">
        <v>16</v>
      </c>
      <c r="B539" t="s">
        <v>125</v>
      </c>
      <c r="C539">
        <v>1</v>
      </c>
      <c r="D539">
        <v>1</v>
      </c>
      <c r="E539" t="str">
        <f t="shared" si="16"/>
        <v>['Argentina','Colombia',1,1],</v>
      </c>
      <c r="F539" t="str">
        <f t="shared" si="17"/>
        <v>['Colombia','Argentina',1,1],</v>
      </c>
    </row>
    <row r="540" spans="1:6" x14ac:dyDescent="0.25">
      <c r="A540" t="s">
        <v>43</v>
      </c>
      <c r="B540" t="s">
        <v>19</v>
      </c>
      <c r="C540">
        <v>0</v>
      </c>
      <c r="D540">
        <v>3</v>
      </c>
      <c r="E540" t="str">
        <f t="shared" si="16"/>
        <v>['Paraguay','Brazil',0,3],</v>
      </c>
      <c r="F540" t="str">
        <f t="shared" si="17"/>
        <v>['Brazil','Paraguay',3,0],</v>
      </c>
    </row>
    <row r="541" spans="1:6" x14ac:dyDescent="0.25">
      <c r="A541" t="s">
        <v>10</v>
      </c>
      <c r="B541" t="s">
        <v>66</v>
      </c>
      <c r="C541">
        <v>0</v>
      </c>
      <c r="D541">
        <v>1</v>
      </c>
      <c r="E541" t="str">
        <f t="shared" si="16"/>
        <v>['Chile','Peru',0,1],</v>
      </c>
      <c r="F541" t="str">
        <f t="shared" si="17"/>
        <v>['Peru','Chile',1,0],</v>
      </c>
    </row>
    <row r="542" spans="1:6" x14ac:dyDescent="0.25">
      <c r="A542" t="s">
        <v>99</v>
      </c>
      <c r="B542" t="s">
        <v>43</v>
      </c>
      <c r="C542">
        <v>3</v>
      </c>
      <c r="D542">
        <v>0</v>
      </c>
      <c r="E542" t="str">
        <f t="shared" si="16"/>
        <v>['Ecuador','Paraguay',3,0],</v>
      </c>
      <c r="F542" t="str">
        <f t="shared" si="17"/>
        <v>['Paraguay','Ecuador',0,3],</v>
      </c>
    </row>
    <row r="543" spans="1:6" x14ac:dyDescent="0.25">
      <c r="A543" t="s">
        <v>125</v>
      </c>
      <c r="B543" t="s">
        <v>11</v>
      </c>
      <c r="C543">
        <v>1</v>
      </c>
      <c r="D543">
        <v>1</v>
      </c>
      <c r="E543" t="str">
        <f t="shared" si="16"/>
        <v>['Colombia','Uruguay',1,1],</v>
      </c>
      <c r="F543" t="str">
        <f t="shared" si="17"/>
        <v>['Uruguay','Colombia',1,1],</v>
      </c>
    </row>
    <row r="544" spans="1:6" x14ac:dyDescent="0.25">
      <c r="A544" t="s">
        <v>66</v>
      </c>
      <c r="B544" t="s">
        <v>482</v>
      </c>
      <c r="C544">
        <v>2</v>
      </c>
      <c r="D544">
        <v>4</v>
      </c>
      <c r="E544" t="str">
        <f t="shared" si="16"/>
        <v>['Peru','Mexico',2,4],</v>
      </c>
      <c r="F544" t="str">
        <f t="shared" si="17"/>
        <v>['Mexico','Peru',4,2],</v>
      </c>
    </row>
    <row r="545" spans="1:6" x14ac:dyDescent="0.25">
      <c r="A545" t="s">
        <v>16</v>
      </c>
      <c r="B545" t="s">
        <v>19</v>
      </c>
      <c r="C545">
        <v>1</v>
      </c>
      <c r="D545">
        <v>1</v>
      </c>
      <c r="E545" t="str">
        <f t="shared" si="16"/>
        <v>['Argentina','Brazil',1,1],</v>
      </c>
      <c r="F545" t="str">
        <f t="shared" si="17"/>
        <v>['Brazil','Argentina',1,1],</v>
      </c>
    </row>
    <row r="546" spans="1:6" x14ac:dyDescent="0.25">
      <c r="A546" t="s">
        <v>99</v>
      </c>
      <c r="B546" t="s">
        <v>482</v>
      </c>
      <c r="C546">
        <v>0</v>
      </c>
      <c r="D546">
        <v>2</v>
      </c>
      <c r="E546" t="str">
        <f t="shared" si="16"/>
        <v>['Ecuador','Mexico',0,2],</v>
      </c>
      <c r="F546" t="str">
        <f t="shared" si="17"/>
        <v>['Mexico','Ecuador',2,0],</v>
      </c>
    </row>
    <row r="547" spans="1:6" x14ac:dyDescent="0.25">
      <c r="A547" t="s">
        <v>16</v>
      </c>
      <c r="B547" t="s">
        <v>125</v>
      </c>
      <c r="C547">
        <v>0</v>
      </c>
      <c r="D547">
        <v>0</v>
      </c>
      <c r="E547" t="str">
        <f t="shared" si="16"/>
        <v>['Argentina','Colombia',0,0],</v>
      </c>
      <c r="F547" t="str">
        <f t="shared" si="17"/>
        <v>['Colombia','Argentina',0,0],</v>
      </c>
    </row>
    <row r="548" spans="1:6" x14ac:dyDescent="0.25">
      <c r="A548" t="s">
        <v>125</v>
      </c>
      <c r="B548" t="s">
        <v>99</v>
      </c>
      <c r="C548">
        <v>1</v>
      </c>
      <c r="D548">
        <v>0</v>
      </c>
      <c r="E548" t="str">
        <f t="shared" si="16"/>
        <v>['Colombia','Ecuador',1,0],</v>
      </c>
      <c r="F548" t="str">
        <f t="shared" si="17"/>
        <v>['Ecuador','Colombia',0,1],</v>
      </c>
    </row>
    <row r="549" spans="1:6" x14ac:dyDescent="0.25">
      <c r="A549" t="s">
        <v>16</v>
      </c>
      <c r="B549" t="s">
        <v>482</v>
      </c>
      <c r="C549">
        <v>2</v>
      </c>
      <c r="D549">
        <v>1</v>
      </c>
      <c r="E549" t="str">
        <f t="shared" si="16"/>
        <v>['Argentina','Mexico',2,1],</v>
      </c>
      <c r="F549" t="str">
        <f t="shared" si="17"/>
        <v>['Mexico','Argentina',1,2],</v>
      </c>
    </row>
    <row r="550" spans="1:6" x14ac:dyDescent="0.25">
      <c r="A550" t="s">
        <v>11</v>
      </c>
      <c r="B550" t="s">
        <v>211</v>
      </c>
      <c r="C550">
        <v>4</v>
      </c>
      <c r="D550">
        <v>1</v>
      </c>
      <c r="E550" t="str">
        <f t="shared" si="16"/>
        <v>['Uruguay','Venezuela',4,1],</v>
      </c>
      <c r="F550" t="str">
        <f t="shared" si="17"/>
        <v>['Venezuela','Uruguay',1,4],</v>
      </c>
    </row>
    <row r="551" spans="1:6" x14ac:dyDescent="0.25">
      <c r="A551" t="s">
        <v>43</v>
      </c>
      <c r="B551" t="s">
        <v>482</v>
      </c>
      <c r="C551">
        <v>2</v>
      </c>
      <c r="D551">
        <v>1</v>
      </c>
      <c r="E551" t="str">
        <f t="shared" si="16"/>
        <v>['Paraguay','Mexico',2,1],</v>
      </c>
      <c r="F551" t="str">
        <f t="shared" si="17"/>
        <v>['Mexico','Paraguay',1,2],</v>
      </c>
    </row>
    <row r="552" spans="1:6" x14ac:dyDescent="0.25">
      <c r="A552" t="s">
        <v>99</v>
      </c>
      <c r="B552" t="s">
        <v>19</v>
      </c>
      <c r="C552">
        <v>0</v>
      </c>
      <c r="D552">
        <v>1</v>
      </c>
      <c r="E552" t="str">
        <f t="shared" si="16"/>
        <v>['Ecuador','Brazil',0,1],</v>
      </c>
      <c r="F552" t="str">
        <f t="shared" si="17"/>
        <v>['Brazil','Ecuador',1,0],</v>
      </c>
    </row>
    <row r="553" spans="1:6" x14ac:dyDescent="0.25">
      <c r="A553" t="s">
        <v>125</v>
      </c>
      <c r="B553" t="s">
        <v>66</v>
      </c>
      <c r="C553">
        <v>1</v>
      </c>
      <c r="D553">
        <v>1</v>
      </c>
      <c r="E553" t="str">
        <f t="shared" si="16"/>
        <v>['Colombia','Peru',1,1],</v>
      </c>
      <c r="F553" t="str">
        <f t="shared" si="17"/>
        <v>['Peru','Colombia',1,1],</v>
      </c>
    </row>
    <row r="554" spans="1:6" x14ac:dyDescent="0.25">
      <c r="A554" t="s">
        <v>10</v>
      </c>
      <c r="B554" t="s">
        <v>311</v>
      </c>
      <c r="C554">
        <v>1</v>
      </c>
      <c r="D554">
        <v>2</v>
      </c>
      <c r="E554" t="str">
        <f t="shared" si="16"/>
        <v>['Chile','United States',1,2],</v>
      </c>
      <c r="F554" t="str">
        <f t="shared" si="17"/>
        <v>['United States','Chile',2,1],</v>
      </c>
    </row>
    <row r="555" spans="1:6" x14ac:dyDescent="0.25">
      <c r="A555" t="s">
        <v>16</v>
      </c>
      <c r="B555" t="s">
        <v>56</v>
      </c>
      <c r="C555">
        <v>2</v>
      </c>
      <c r="D555">
        <v>1</v>
      </c>
      <c r="E555" t="str">
        <f t="shared" si="16"/>
        <v>['Argentina','Bolivia',2,1],</v>
      </c>
      <c r="F555" t="str">
        <f t="shared" si="17"/>
        <v>['Bolivia','Argentina',1,2],</v>
      </c>
    </row>
    <row r="556" spans="1:6" x14ac:dyDescent="0.25">
      <c r="A556" t="s">
        <v>211</v>
      </c>
      <c r="B556" t="s">
        <v>482</v>
      </c>
      <c r="C556">
        <v>1</v>
      </c>
      <c r="D556">
        <v>3</v>
      </c>
      <c r="E556" t="str">
        <f t="shared" si="16"/>
        <v>['Venezuela','Mexico',1,3],</v>
      </c>
      <c r="F556" t="str">
        <f t="shared" si="17"/>
        <v>['Mexico','Venezuela',3,1],</v>
      </c>
    </row>
    <row r="557" spans="1:6" x14ac:dyDescent="0.25">
      <c r="A557" t="s">
        <v>43</v>
      </c>
      <c r="B557" t="s">
        <v>11</v>
      </c>
      <c r="C557">
        <v>0</v>
      </c>
      <c r="D557">
        <v>1</v>
      </c>
      <c r="E557" t="str">
        <f t="shared" si="16"/>
        <v>['Paraguay','Uruguay',0,1],</v>
      </c>
      <c r="F557" t="str">
        <f t="shared" si="17"/>
        <v>['Uruguay','Paraguay',1,0],</v>
      </c>
    </row>
    <row r="558" spans="1:6" x14ac:dyDescent="0.25">
      <c r="A558" t="s">
        <v>125</v>
      </c>
      <c r="B558" t="s">
        <v>99</v>
      </c>
      <c r="C558">
        <v>1</v>
      </c>
      <c r="D558">
        <v>0</v>
      </c>
      <c r="E558" t="str">
        <f t="shared" si="16"/>
        <v>['Colombia','Ecuador',1,0],</v>
      </c>
      <c r="F558" t="str">
        <f t="shared" si="17"/>
        <v>['Ecuador','Colombia',0,1],</v>
      </c>
    </row>
    <row r="559" spans="1:6" x14ac:dyDescent="0.25">
      <c r="A559" t="s">
        <v>66</v>
      </c>
      <c r="B559" t="s">
        <v>19</v>
      </c>
      <c r="C559">
        <v>0</v>
      </c>
      <c r="D559">
        <v>2</v>
      </c>
      <c r="E559" t="str">
        <f t="shared" si="16"/>
        <v>['Peru','Brazil',0,2],</v>
      </c>
      <c r="F559" t="str">
        <f t="shared" si="17"/>
        <v>['Brazil','Peru',2,0],</v>
      </c>
    </row>
    <row r="560" spans="1:6" x14ac:dyDescent="0.25">
      <c r="A560" t="s">
        <v>16</v>
      </c>
      <c r="B560" t="s">
        <v>10</v>
      </c>
      <c r="C560">
        <v>4</v>
      </c>
      <c r="D560">
        <v>0</v>
      </c>
      <c r="E560" t="str">
        <f t="shared" si="16"/>
        <v>['Argentina','Chile',4,0],</v>
      </c>
      <c r="F560" t="str">
        <f t="shared" si="17"/>
        <v>['Chile','Argentina',0,4],</v>
      </c>
    </row>
    <row r="561" spans="1:6" x14ac:dyDescent="0.25">
      <c r="A561" t="s">
        <v>56</v>
      </c>
      <c r="B561" t="s">
        <v>311</v>
      </c>
      <c r="C561">
        <v>1</v>
      </c>
      <c r="D561">
        <v>0</v>
      </c>
      <c r="E561" t="str">
        <f t="shared" si="16"/>
        <v>['Bolivia','United States',1,0],</v>
      </c>
      <c r="F561" t="str">
        <f t="shared" si="17"/>
        <v>['United States','Bolivia',0,1],</v>
      </c>
    </row>
    <row r="562" spans="1:6" x14ac:dyDescent="0.25">
      <c r="A562" t="s">
        <v>43</v>
      </c>
      <c r="B562" t="s">
        <v>211</v>
      </c>
      <c r="C562">
        <v>3</v>
      </c>
      <c r="D562">
        <v>2</v>
      </c>
      <c r="E562" t="str">
        <f t="shared" si="16"/>
        <v>['Paraguay','Venezuela',3,2],</v>
      </c>
      <c r="F562" t="str">
        <f t="shared" si="17"/>
        <v>['Venezuela','Paraguay',2,3],</v>
      </c>
    </row>
    <row r="563" spans="1:6" x14ac:dyDescent="0.25">
      <c r="A563" t="s">
        <v>99</v>
      </c>
      <c r="B563" t="s">
        <v>66</v>
      </c>
      <c r="C563">
        <v>2</v>
      </c>
      <c r="D563">
        <v>1</v>
      </c>
      <c r="E563" t="str">
        <f t="shared" si="16"/>
        <v>['Ecuador','Peru',2,1],</v>
      </c>
      <c r="F563" t="str">
        <f t="shared" si="17"/>
        <v>['Peru','Ecuador',1,2],</v>
      </c>
    </row>
    <row r="564" spans="1:6" x14ac:dyDescent="0.25">
      <c r="A564" t="s">
        <v>11</v>
      </c>
      <c r="B564" t="s">
        <v>482</v>
      </c>
      <c r="C564">
        <v>1</v>
      </c>
      <c r="D564">
        <v>1</v>
      </c>
      <c r="E564" t="str">
        <f t="shared" si="16"/>
        <v>['Uruguay','Mexico',1,1],</v>
      </c>
      <c r="F564" t="str">
        <f t="shared" si="17"/>
        <v>['Mexico','Uruguay',1,1],</v>
      </c>
    </row>
    <row r="565" spans="1:6" x14ac:dyDescent="0.25">
      <c r="A565" t="s">
        <v>125</v>
      </c>
      <c r="B565" t="s">
        <v>19</v>
      </c>
      <c r="C565">
        <v>0</v>
      </c>
      <c r="D565">
        <v>3</v>
      </c>
      <c r="E565" t="str">
        <f t="shared" si="16"/>
        <v>['Colombia','Brazil',0,3],</v>
      </c>
      <c r="F565" t="str">
        <f t="shared" si="17"/>
        <v>['Brazil','Colombia',3,0],</v>
      </c>
    </row>
    <row r="566" spans="1:6" x14ac:dyDescent="0.25">
      <c r="A566" t="s">
        <v>16</v>
      </c>
      <c r="B566" t="s">
        <v>311</v>
      </c>
      <c r="C566">
        <v>0</v>
      </c>
      <c r="D566">
        <v>3</v>
      </c>
      <c r="E566" t="str">
        <f t="shared" si="16"/>
        <v>['Argentina','United States',0,3],</v>
      </c>
      <c r="F566" t="str">
        <f t="shared" si="17"/>
        <v>['United States','Argentina',3,0],</v>
      </c>
    </row>
    <row r="567" spans="1:6" x14ac:dyDescent="0.25">
      <c r="A567" t="s">
        <v>56</v>
      </c>
      <c r="B567" t="s">
        <v>10</v>
      </c>
      <c r="C567">
        <v>2</v>
      </c>
      <c r="D567">
        <v>2</v>
      </c>
      <c r="E567" t="str">
        <f t="shared" si="16"/>
        <v>['Bolivia','Chile',2,2],</v>
      </c>
      <c r="F567" t="str">
        <f t="shared" si="17"/>
        <v>['Chile','Bolivia',2,2],</v>
      </c>
    </row>
    <row r="568" spans="1:6" x14ac:dyDescent="0.25">
      <c r="A568" t="s">
        <v>125</v>
      </c>
      <c r="B568" t="s">
        <v>43</v>
      </c>
      <c r="C568">
        <v>1</v>
      </c>
      <c r="D568">
        <v>1</v>
      </c>
      <c r="E568" t="str">
        <f t="shared" si="16"/>
        <v>['Colombia','Paraguay',1,1],</v>
      </c>
      <c r="F568" t="str">
        <f t="shared" si="17"/>
        <v>['Paraguay','Colombia',1,1],</v>
      </c>
    </row>
    <row r="569" spans="1:6" x14ac:dyDescent="0.25">
      <c r="A569" t="s">
        <v>56</v>
      </c>
      <c r="B569" t="s">
        <v>11</v>
      </c>
      <c r="C569">
        <v>1</v>
      </c>
      <c r="D569">
        <v>2</v>
      </c>
      <c r="E569" t="str">
        <f t="shared" si="16"/>
        <v>['Bolivia','Uruguay',1,2],</v>
      </c>
      <c r="F569" t="str">
        <f t="shared" si="17"/>
        <v>['Uruguay','Bolivia',2,1],</v>
      </c>
    </row>
    <row r="570" spans="1:6" x14ac:dyDescent="0.25">
      <c r="A570" t="s">
        <v>482</v>
      </c>
      <c r="B570" t="s">
        <v>311</v>
      </c>
      <c r="C570">
        <v>0</v>
      </c>
      <c r="D570">
        <v>0</v>
      </c>
      <c r="E570" t="str">
        <f t="shared" si="16"/>
        <v>['Mexico','United States',0,0],</v>
      </c>
      <c r="F570" t="str">
        <f t="shared" si="17"/>
        <v>['United States','Mexico',0,0],</v>
      </c>
    </row>
    <row r="571" spans="1:6" x14ac:dyDescent="0.25">
      <c r="A571" t="s">
        <v>16</v>
      </c>
      <c r="B571" t="s">
        <v>19</v>
      </c>
      <c r="C571">
        <v>2</v>
      </c>
      <c r="D571">
        <v>2</v>
      </c>
      <c r="E571" t="str">
        <f t="shared" si="16"/>
        <v>['Argentina','Brazil',2,2],</v>
      </c>
      <c r="F571" t="str">
        <f t="shared" si="17"/>
        <v>['Brazil','Argentina',2,2],</v>
      </c>
    </row>
    <row r="572" spans="1:6" x14ac:dyDescent="0.25">
      <c r="A572" t="s">
        <v>125</v>
      </c>
      <c r="B572" t="s">
        <v>11</v>
      </c>
      <c r="C572">
        <v>0</v>
      </c>
      <c r="D572">
        <v>2</v>
      </c>
      <c r="E572" t="str">
        <f t="shared" si="16"/>
        <v>['Colombia','Uruguay',0,2],</v>
      </c>
      <c r="F572" t="str">
        <f t="shared" si="17"/>
        <v>['Uruguay','Colombia',2,0],</v>
      </c>
    </row>
    <row r="573" spans="1:6" x14ac:dyDescent="0.25">
      <c r="A573" t="s">
        <v>19</v>
      </c>
      <c r="B573" t="s">
        <v>311</v>
      </c>
      <c r="C573">
        <v>1</v>
      </c>
      <c r="D573">
        <v>0</v>
      </c>
      <c r="E573" t="str">
        <f t="shared" si="16"/>
        <v>['Brazil','United States',1,0],</v>
      </c>
      <c r="F573" t="str">
        <f t="shared" si="17"/>
        <v>['United States','Brazil',0,1],</v>
      </c>
    </row>
    <row r="574" spans="1:6" x14ac:dyDescent="0.25">
      <c r="A574" t="s">
        <v>125</v>
      </c>
      <c r="B574" t="s">
        <v>311</v>
      </c>
      <c r="C574">
        <v>4</v>
      </c>
      <c r="D574">
        <v>1</v>
      </c>
      <c r="E574" t="str">
        <f t="shared" si="16"/>
        <v>['Colombia','United States',4,1],</v>
      </c>
      <c r="F574" t="str">
        <f t="shared" si="17"/>
        <v>['United States','Colombia',1,4],</v>
      </c>
    </row>
    <row r="575" spans="1:6" x14ac:dyDescent="0.25">
      <c r="A575" t="s">
        <v>11</v>
      </c>
      <c r="B575" t="s">
        <v>19</v>
      </c>
      <c r="C575">
        <v>1</v>
      </c>
      <c r="D575">
        <v>1</v>
      </c>
      <c r="E575" t="str">
        <f t="shared" si="16"/>
        <v>['Uruguay','Brazil',1,1],</v>
      </c>
      <c r="F575" t="str">
        <f t="shared" si="17"/>
        <v>['Brazil','Uruguay',1,1],</v>
      </c>
    </row>
    <row r="576" spans="1:6" x14ac:dyDescent="0.25">
      <c r="A576" t="s">
        <v>10</v>
      </c>
      <c r="B576" t="s">
        <v>43</v>
      </c>
      <c r="C576">
        <v>0</v>
      </c>
      <c r="D576">
        <v>1</v>
      </c>
      <c r="E576" t="str">
        <f t="shared" si="16"/>
        <v>['Chile','Paraguay',0,1],</v>
      </c>
      <c r="F576" t="str">
        <f t="shared" si="17"/>
        <v>['Paraguay','Chile',1,0],</v>
      </c>
    </row>
    <row r="577" spans="1:6" x14ac:dyDescent="0.25">
      <c r="A577" t="s">
        <v>16</v>
      </c>
      <c r="B577" t="s">
        <v>99</v>
      </c>
      <c r="C577">
        <v>0</v>
      </c>
      <c r="D577">
        <v>0</v>
      </c>
      <c r="E577" t="str">
        <f t="shared" si="16"/>
        <v>['Argentina','Ecuador',0,0],</v>
      </c>
      <c r="F577" t="str">
        <f t="shared" si="17"/>
        <v>['Ecuador','Argentina',0,0],</v>
      </c>
    </row>
    <row r="578" spans="1:6" x14ac:dyDescent="0.25">
      <c r="A578" t="s">
        <v>56</v>
      </c>
      <c r="B578" t="s">
        <v>211</v>
      </c>
      <c r="C578">
        <v>1</v>
      </c>
      <c r="D578">
        <v>0</v>
      </c>
      <c r="E578" t="str">
        <f t="shared" si="16"/>
        <v>['Bolivia','Venezuela',1,0],</v>
      </c>
      <c r="F578" t="str">
        <f t="shared" si="17"/>
        <v>['Venezuela','Bolivia',0,1],</v>
      </c>
    </row>
    <row r="579" spans="1:6" x14ac:dyDescent="0.25">
      <c r="A579" t="s">
        <v>66</v>
      </c>
      <c r="B579" t="s">
        <v>11</v>
      </c>
      <c r="C579">
        <v>1</v>
      </c>
      <c r="D579">
        <v>0</v>
      </c>
      <c r="E579" t="str">
        <f t="shared" ref="E579:E642" si="18">"['"&amp;A579&amp;"','"&amp;B579&amp;"',"&amp;C579&amp;","&amp;D579&amp;"],"</f>
        <v>['Peru','Uruguay',1,0],</v>
      </c>
      <c r="F579" t="str">
        <f t="shared" ref="F579:F642" si="19">"['"&amp;B579&amp;"','"&amp;A579&amp;"',"&amp;D579&amp;","&amp;C579&amp;"],"</f>
        <v>['Uruguay','Peru',0,1],</v>
      </c>
    </row>
    <row r="580" spans="1:6" x14ac:dyDescent="0.25">
      <c r="A580" t="s">
        <v>125</v>
      </c>
      <c r="B580" t="s">
        <v>482</v>
      </c>
      <c r="C580">
        <v>1</v>
      </c>
      <c r="D580">
        <v>2</v>
      </c>
      <c r="E580" t="str">
        <f t="shared" si="18"/>
        <v>['Colombia','Mexico',1,2],</v>
      </c>
      <c r="F580" t="str">
        <f t="shared" si="19"/>
        <v>['Mexico','Colombia',2,1],</v>
      </c>
    </row>
    <row r="581" spans="1:6" x14ac:dyDescent="0.25">
      <c r="A581" t="s">
        <v>19</v>
      </c>
      <c r="B581" t="s">
        <v>319</v>
      </c>
      <c r="C581">
        <v>5</v>
      </c>
      <c r="D581">
        <v>0</v>
      </c>
      <c r="E581" t="str">
        <f t="shared" si="18"/>
        <v>['Brazil','Costa Rica',5,0],</v>
      </c>
      <c r="F581" t="str">
        <f t="shared" si="19"/>
        <v>['Costa Rica','Brazil',0,5],</v>
      </c>
    </row>
    <row r="582" spans="1:6" x14ac:dyDescent="0.25">
      <c r="A582" t="s">
        <v>16</v>
      </c>
      <c r="B582" t="s">
        <v>10</v>
      </c>
      <c r="C582">
        <v>2</v>
      </c>
      <c r="D582">
        <v>0</v>
      </c>
      <c r="E582" t="str">
        <f t="shared" si="18"/>
        <v>['Argentina','Chile',2,0],</v>
      </c>
      <c r="F582" t="str">
        <f t="shared" si="19"/>
        <v>['Chile','Argentina',0,2],</v>
      </c>
    </row>
    <row r="583" spans="1:6" x14ac:dyDescent="0.25">
      <c r="A583" t="s">
        <v>99</v>
      </c>
      <c r="B583" t="s">
        <v>43</v>
      </c>
      <c r="C583">
        <v>2</v>
      </c>
      <c r="D583">
        <v>0</v>
      </c>
      <c r="E583" t="str">
        <f t="shared" si="18"/>
        <v>['Ecuador','Paraguay',2,0],</v>
      </c>
      <c r="F583" t="str">
        <f t="shared" si="19"/>
        <v>['Paraguay','Ecuador',0,2],</v>
      </c>
    </row>
    <row r="584" spans="1:6" x14ac:dyDescent="0.25">
      <c r="A584" t="s">
        <v>56</v>
      </c>
      <c r="B584" t="s">
        <v>66</v>
      </c>
      <c r="C584">
        <v>2</v>
      </c>
      <c r="D584">
        <v>0</v>
      </c>
      <c r="E584" t="str">
        <f t="shared" si="18"/>
        <v>['Bolivia','Peru',2,0],</v>
      </c>
      <c r="F584" t="str">
        <f t="shared" si="19"/>
        <v>['Peru','Bolivia',0,2],</v>
      </c>
    </row>
    <row r="585" spans="1:6" x14ac:dyDescent="0.25">
      <c r="A585" t="s">
        <v>11</v>
      </c>
      <c r="B585" t="s">
        <v>211</v>
      </c>
      <c r="C585">
        <v>2</v>
      </c>
      <c r="D585">
        <v>0</v>
      </c>
      <c r="E585" t="str">
        <f t="shared" si="18"/>
        <v>['Uruguay','Venezuela',2,0],</v>
      </c>
      <c r="F585" t="str">
        <f t="shared" si="19"/>
        <v>['Venezuela','Uruguay',0,2],</v>
      </c>
    </row>
    <row r="586" spans="1:6" x14ac:dyDescent="0.25">
      <c r="A586" t="s">
        <v>19</v>
      </c>
      <c r="B586" t="s">
        <v>482</v>
      </c>
      <c r="C586">
        <v>3</v>
      </c>
      <c r="D586">
        <v>2</v>
      </c>
      <c r="E586" t="str">
        <f t="shared" si="18"/>
        <v>['Brazil','Mexico',3,2],</v>
      </c>
      <c r="F586" t="str">
        <f t="shared" si="19"/>
        <v>['Mexico','Brazil',2,3],</v>
      </c>
    </row>
    <row r="587" spans="1:6" x14ac:dyDescent="0.25">
      <c r="A587" t="s">
        <v>125</v>
      </c>
      <c r="B587" t="s">
        <v>319</v>
      </c>
      <c r="C587">
        <v>4</v>
      </c>
      <c r="D587">
        <v>1</v>
      </c>
      <c r="E587" t="str">
        <f t="shared" si="18"/>
        <v>['Colombia','Costa Rica',4,1],</v>
      </c>
      <c r="F587" t="str">
        <f t="shared" si="19"/>
        <v>['Costa Rica','Colombia',1,4],</v>
      </c>
    </row>
    <row r="588" spans="1:6" x14ac:dyDescent="0.25">
      <c r="A588" t="s">
        <v>16</v>
      </c>
      <c r="B588" t="s">
        <v>43</v>
      </c>
      <c r="C588">
        <v>1</v>
      </c>
      <c r="D588">
        <v>1</v>
      </c>
      <c r="E588" t="str">
        <f t="shared" si="18"/>
        <v>['Argentina','Paraguay',1,1],</v>
      </c>
      <c r="F588" t="str">
        <f t="shared" si="19"/>
        <v>['Paraguay','Argentina',1,1],</v>
      </c>
    </row>
    <row r="589" spans="1:6" x14ac:dyDescent="0.25">
      <c r="A589" t="s">
        <v>10</v>
      </c>
      <c r="B589" t="s">
        <v>99</v>
      </c>
      <c r="C589">
        <v>1</v>
      </c>
      <c r="D589">
        <v>2</v>
      </c>
      <c r="E589" t="str">
        <f t="shared" si="18"/>
        <v>['Chile','Ecuador',1,2],</v>
      </c>
      <c r="F589" t="str">
        <f t="shared" si="19"/>
        <v>['Ecuador','Chile',2,1],</v>
      </c>
    </row>
    <row r="590" spans="1:6" x14ac:dyDescent="0.25">
      <c r="A590" t="s">
        <v>66</v>
      </c>
      <c r="B590" t="s">
        <v>211</v>
      </c>
      <c r="C590">
        <v>2</v>
      </c>
      <c r="D590">
        <v>0</v>
      </c>
      <c r="E590" t="str">
        <f t="shared" si="18"/>
        <v>['Peru','Venezuela',2,0],</v>
      </c>
      <c r="F590" t="str">
        <f t="shared" si="19"/>
        <v>['Venezuela','Peru',0,2],</v>
      </c>
    </row>
    <row r="591" spans="1:6" x14ac:dyDescent="0.25">
      <c r="A591" t="s">
        <v>56</v>
      </c>
      <c r="B591" t="s">
        <v>11</v>
      </c>
      <c r="C591">
        <v>1</v>
      </c>
      <c r="D591">
        <v>0</v>
      </c>
      <c r="E591" t="str">
        <f t="shared" si="18"/>
        <v>['Bolivia','Uruguay',1,0],</v>
      </c>
      <c r="F591" t="str">
        <f t="shared" si="19"/>
        <v>['Uruguay','Bolivia',0,1],</v>
      </c>
    </row>
    <row r="592" spans="1:6" x14ac:dyDescent="0.25">
      <c r="A592" t="s">
        <v>482</v>
      </c>
      <c r="B592" t="s">
        <v>319</v>
      </c>
      <c r="C592">
        <v>1</v>
      </c>
      <c r="D592">
        <v>1</v>
      </c>
      <c r="E592" t="str">
        <f t="shared" si="18"/>
        <v>['Mexico','Costa Rica',1,1],</v>
      </c>
      <c r="F592" t="str">
        <f t="shared" si="19"/>
        <v>['Costa Rica','Mexico',1,1],</v>
      </c>
    </row>
    <row r="593" spans="1:6" x14ac:dyDescent="0.25">
      <c r="A593" t="s">
        <v>125</v>
      </c>
      <c r="B593" t="s">
        <v>19</v>
      </c>
      <c r="C593">
        <v>0</v>
      </c>
      <c r="D593">
        <v>2</v>
      </c>
      <c r="E593" t="str">
        <f t="shared" si="18"/>
        <v>['Colombia','Brazil',0,2],</v>
      </c>
      <c r="F593" t="str">
        <f t="shared" si="19"/>
        <v>['Brazil','Colombia',2,0],</v>
      </c>
    </row>
    <row r="594" spans="1:6" x14ac:dyDescent="0.25">
      <c r="A594" t="s">
        <v>56</v>
      </c>
      <c r="B594" t="s">
        <v>125</v>
      </c>
      <c r="C594">
        <v>2</v>
      </c>
      <c r="D594">
        <v>1</v>
      </c>
      <c r="E594" t="str">
        <f t="shared" si="18"/>
        <v>['Bolivia','Colombia',2,1],</v>
      </c>
      <c r="F594" t="str">
        <f t="shared" si="19"/>
        <v>['Colombia','Bolivia',1,2],</v>
      </c>
    </row>
    <row r="595" spans="1:6" x14ac:dyDescent="0.25">
      <c r="A595" t="s">
        <v>16</v>
      </c>
      <c r="B595" t="s">
        <v>66</v>
      </c>
      <c r="C595">
        <v>1</v>
      </c>
      <c r="D595">
        <v>2</v>
      </c>
      <c r="E595" t="str">
        <f t="shared" si="18"/>
        <v>['Argentina','Peru',1,2],</v>
      </c>
      <c r="F595" t="str">
        <f t="shared" si="19"/>
        <v>['Peru','Argentina',2,1],</v>
      </c>
    </row>
    <row r="596" spans="1:6" x14ac:dyDescent="0.25">
      <c r="A596" t="s">
        <v>99</v>
      </c>
      <c r="B596" t="s">
        <v>482</v>
      </c>
      <c r="C596">
        <v>1</v>
      </c>
      <c r="D596">
        <v>1</v>
      </c>
      <c r="E596" t="str">
        <f t="shared" si="18"/>
        <v>['Ecuador','Mexico',1,1],</v>
      </c>
      <c r="F596" t="str">
        <f t="shared" si="19"/>
        <v>['Mexico','Ecuador',1,1],</v>
      </c>
    </row>
    <row r="597" spans="1:6" x14ac:dyDescent="0.25">
      <c r="A597" t="s">
        <v>43</v>
      </c>
      <c r="B597" t="s">
        <v>19</v>
      </c>
      <c r="C597">
        <v>0</v>
      </c>
      <c r="D597">
        <v>2</v>
      </c>
      <c r="E597" t="str">
        <f t="shared" si="18"/>
        <v>['Paraguay','Brazil',0,2],</v>
      </c>
      <c r="F597" t="str">
        <f t="shared" si="19"/>
        <v>['Brazil','Paraguay',2,0],</v>
      </c>
    </row>
    <row r="598" spans="1:6" x14ac:dyDescent="0.25">
      <c r="A598" t="s">
        <v>56</v>
      </c>
      <c r="B598" t="s">
        <v>482</v>
      </c>
      <c r="C598">
        <v>3</v>
      </c>
      <c r="D598">
        <v>1</v>
      </c>
      <c r="E598" t="str">
        <f t="shared" si="18"/>
        <v>['Bolivia','Mexico',3,1],</v>
      </c>
      <c r="F598" t="str">
        <f t="shared" si="19"/>
        <v>['Mexico','Bolivia',1,3],</v>
      </c>
    </row>
    <row r="599" spans="1:6" x14ac:dyDescent="0.25">
      <c r="A599" t="s">
        <v>66</v>
      </c>
      <c r="B599" t="s">
        <v>19</v>
      </c>
      <c r="C599">
        <v>0</v>
      </c>
      <c r="D599">
        <v>7</v>
      </c>
      <c r="E599" t="str">
        <f t="shared" si="18"/>
        <v>['Peru','Brazil',0,7],</v>
      </c>
      <c r="F599" t="str">
        <f t="shared" si="19"/>
        <v>['Brazil','Peru',7,0],</v>
      </c>
    </row>
    <row r="600" spans="1:6" x14ac:dyDescent="0.25">
      <c r="A600" t="s">
        <v>66</v>
      </c>
      <c r="B600" t="s">
        <v>482</v>
      </c>
      <c r="C600">
        <v>0</v>
      </c>
      <c r="D600">
        <v>1</v>
      </c>
      <c r="E600" t="str">
        <f t="shared" si="18"/>
        <v>['Peru','Mexico',0,1],</v>
      </c>
      <c r="F600" t="str">
        <f t="shared" si="19"/>
        <v>['Mexico','Peru',1,0],</v>
      </c>
    </row>
    <row r="601" spans="1:6" x14ac:dyDescent="0.25">
      <c r="A601" t="s">
        <v>56</v>
      </c>
      <c r="B601" t="s">
        <v>19</v>
      </c>
      <c r="C601">
        <v>1</v>
      </c>
      <c r="D601">
        <v>3</v>
      </c>
      <c r="E601" t="str">
        <f t="shared" si="18"/>
        <v>['Bolivia','Brazil',1,3],</v>
      </c>
      <c r="F601" t="str">
        <f t="shared" si="19"/>
        <v>['Brazil','Bolivia',3,1],</v>
      </c>
    </row>
    <row r="602" spans="1:6" x14ac:dyDescent="0.25">
      <c r="A602" t="s">
        <v>56</v>
      </c>
      <c r="B602" t="s">
        <v>43</v>
      </c>
      <c r="C602">
        <v>0</v>
      </c>
      <c r="D602">
        <v>0</v>
      </c>
      <c r="E602" t="str">
        <f t="shared" si="18"/>
        <v>['Bolivia','Paraguay',0,0],</v>
      </c>
      <c r="F602" t="str">
        <f t="shared" si="19"/>
        <v>['Paraguay','Bolivia',0,0],</v>
      </c>
    </row>
    <row r="603" spans="1:6" x14ac:dyDescent="0.25">
      <c r="A603" t="s">
        <v>66</v>
      </c>
      <c r="B603" t="s">
        <v>327</v>
      </c>
      <c r="C603">
        <v>3</v>
      </c>
      <c r="D603">
        <v>2</v>
      </c>
      <c r="E603" t="str">
        <f t="shared" si="18"/>
        <v>['Peru','Japan',3,2],</v>
      </c>
      <c r="F603" t="str">
        <f t="shared" si="19"/>
        <v>['Japan','Peru',2,3],</v>
      </c>
    </row>
    <row r="604" spans="1:6" x14ac:dyDescent="0.25">
      <c r="A604" t="s">
        <v>10</v>
      </c>
      <c r="B604" t="s">
        <v>482</v>
      </c>
      <c r="C604">
        <v>0</v>
      </c>
      <c r="D604">
        <v>1</v>
      </c>
      <c r="E604" t="str">
        <f t="shared" si="18"/>
        <v>['Chile','Mexico',0,1],</v>
      </c>
      <c r="F604" t="str">
        <f t="shared" si="19"/>
        <v>['Mexico','Chile',1,0],</v>
      </c>
    </row>
    <row r="605" spans="1:6" x14ac:dyDescent="0.25">
      <c r="A605" t="s">
        <v>211</v>
      </c>
      <c r="B605" t="s">
        <v>19</v>
      </c>
      <c r="C605">
        <v>0</v>
      </c>
      <c r="D605">
        <v>7</v>
      </c>
      <c r="E605" t="str">
        <f t="shared" si="18"/>
        <v>['Venezuela','Brazil',0,7],</v>
      </c>
      <c r="F605" t="str">
        <f t="shared" si="19"/>
        <v>['Brazil','Venezuela',7,0],</v>
      </c>
    </row>
    <row r="606" spans="1:6" x14ac:dyDescent="0.25">
      <c r="A606" t="s">
        <v>16</v>
      </c>
      <c r="B606" t="s">
        <v>99</v>
      </c>
      <c r="C606">
        <v>3</v>
      </c>
      <c r="D606">
        <v>1</v>
      </c>
      <c r="E606" t="str">
        <f t="shared" si="18"/>
        <v>['Argentina','Ecuador',3,1],</v>
      </c>
      <c r="F606" t="str">
        <f t="shared" si="19"/>
        <v>['Ecuador','Argentina',1,3],</v>
      </c>
    </row>
    <row r="607" spans="1:6" x14ac:dyDescent="0.25">
      <c r="A607" t="s">
        <v>125</v>
      </c>
      <c r="B607" t="s">
        <v>11</v>
      </c>
      <c r="C607">
        <v>1</v>
      </c>
      <c r="D607">
        <v>0</v>
      </c>
      <c r="E607" t="str">
        <f t="shared" si="18"/>
        <v>['Colombia','Uruguay',1,0],</v>
      </c>
      <c r="F607" t="str">
        <f t="shared" si="19"/>
        <v>['Uruguay','Colombia',0,1],</v>
      </c>
    </row>
    <row r="608" spans="1:6" x14ac:dyDescent="0.25">
      <c r="A608" t="s">
        <v>56</v>
      </c>
      <c r="B608" t="s">
        <v>66</v>
      </c>
      <c r="C608">
        <v>0</v>
      </c>
      <c r="D608">
        <v>1</v>
      </c>
      <c r="E608" t="str">
        <f t="shared" si="18"/>
        <v>['Bolivia','Peru',0,1],</v>
      </c>
      <c r="F608" t="str">
        <f t="shared" si="19"/>
        <v>['Peru','Bolivia',1,0],</v>
      </c>
    </row>
    <row r="609" spans="1:6" x14ac:dyDescent="0.25">
      <c r="A609" t="s">
        <v>43</v>
      </c>
      <c r="B609" t="s">
        <v>327</v>
      </c>
      <c r="C609">
        <v>4</v>
      </c>
      <c r="D609">
        <v>0</v>
      </c>
      <c r="E609" t="str">
        <f t="shared" si="18"/>
        <v>['Paraguay','Japan',4,0],</v>
      </c>
      <c r="F609" t="str">
        <f t="shared" si="19"/>
        <v>['Japan','Paraguay',0,4],</v>
      </c>
    </row>
    <row r="610" spans="1:6" x14ac:dyDescent="0.25">
      <c r="A610" t="s">
        <v>19</v>
      </c>
      <c r="B610" t="s">
        <v>482</v>
      </c>
      <c r="C610">
        <v>2</v>
      </c>
      <c r="D610">
        <v>1</v>
      </c>
      <c r="E610" t="str">
        <f t="shared" si="18"/>
        <v>['Brazil','Mexico',2,1],</v>
      </c>
      <c r="F610" t="str">
        <f t="shared" si="19"/>
        <v>['Mexico','Brazil',1,2],</v>
      </c>
    </row>
    <row r="611" spans="1:6" x14ac:dyDescent="0.25">
      <c r="A611" t="s">
        <v>10</v>
      </c>
      <c r="B611" t="s">
        <v>211</v>
      </c>
      <c r="C611">
        <v>3</v>
      </c>
      <c r="D611">
        <v>0</v>
      </c>
      <c r="E611" t="str">
        <f t="shared" si="18"/>
        <v>['Chile','Venezuela',3,0],</v>
      </c>
      <c r="F611" t="str">
        <f t="shared" si="19"/>
        <v>['Venezuela','Chile',0,3],</v>
      </c>
    </row>
    <row r="612" spans="1:6" x14ac:dyDescent="0.25">
      <c r="A612" t="s">
        <v>99</v>
      </c>
      <c r="B612" t="s">
        <v>11</v>
      </c>
      <c r="C612">
        <v>1</v>
      </c>
      <c r="D612">
        <v>2</v>
      </c>
      <c r="E612" t="str">
        <f t="shared" si="18"/>
        <v>['Ecuador','Uruguay',1,2],</v>
      </c>
      <c r="F612" t="str">
        <f t="shared" si="19"/>
        <v>['Uruguay','Ecuador',2,1],</v>
      </c>
    </row>
    <row r="613" spans="1:6" x14ac:dyDescent="0.25">
      <c r="A613" t="s">
        <v>16</v>
      </c>
      <c r="B613" t="s">
        <v>125</v>
      </c>
      <c r="C613">
        <v>0</v>
      </c>
      <c r="D613">
        <v>3</v>
      </c>
      <c r="E613" t="str">
        <f t="shared" si="18"/>
        <v>['Argentina','Colombia',0,3],</v>
      </c>
      <c r="F613" t="str">
        <f t="shared" si="19"/>
        <v>['Colombia','Argentina',3,0],</v>
      </c>
    </row>
    <row r="614" spans="1:6" x14ac:dyDescent="0.25">
      <c r="A614" t="s">
        <v>43</v>
      </c>
      <c r="B614" t="s">
        <v>66</v>
      </c>
      <c r="C614">
        <v>1</v>
      </c>
      <c r="D614">
        <v>0</v>
      </c>
      <c r="E614" t="str">
        <f t="shared" si="18"/>
        <v>['Paraguay','Peru',1,0],</v>
      </c>
      <c r="F614" t="str">
        <f t="shared" si="19"/>
        <v>['Peru','Paraguay',0,1],</v>
      </c>
    </row>
    <row r="615" spans="1:6" x14ac:dyDescent="0.25">
      <c r="A615" t="s">
        <v>56</v>
      </c>
      <c r="B615" t="s">
        <v>327</v>
      </c>
      <c r="C615">
        <v>1</v>
      </c>
      <c r="D615">
        <v>1</v>
      </c>
      <c r="E615" t="str">
        <f t="shared" si="18"/>
        <v>['Bolivia','Japan',1,1],</v>
      </c>
      <c r="F615" t="str">
        <f t="shared" si="19"/>
        <v>['Japan','Bolivia',1,1],</v>
      </c>
    </row>
    <row r="616" spans="1:6" x14ac:dyDescent="0.25">
      <c r="A616" t="s">
        <v>211</v>
      </c>
      <c r="B616" t="s">
        <v>482</v>
      </c>
      <c r="C616">
        <v>1</v>
      </c>
      <c r="D616">
        <v>3</v>
      </c>
      <c r="E616" t="str">
        <f t="shared" si="18"/>
        <v>['Venezuela','Mexico',1,3],</v>
      </c>
      <c r="F616" t="str">
        <f t="shared" si="19"/>
        <v>['Mexico','Venezuela',3,1],</v>
      </c>
    </row>
    <row r="617" spans="1:6" x14ac:dyDescent="0.25">
      <c r="A617" t="s">
        <v>10</v>
      </c>
      <c r="B617" t="s">
        <v>19</v>
      </c>
      <c r="C617">
        <v>0</v>
      </c>
      <c r="D617">
        <v>1</v>
      </c>
      <c r="E617" t="str">
        <f t="shared" si="18"/>
        <v>['Chile','Brazil',0,1],</v>
      </c>
      <c r="F617" t="str">
        <f t="shared" si="19"/>
        <v>['Brazil','Chile',1,0],</v>
      </c>
    </row>
    <row r="618" spans="1:6" x14ac:dyDescent="0.25">
      <c r="A618" t="s">
        <v>125</v>
      </c>
      <c r="B618" t="s">
        <v>99</v>
      </c>
      <c r="C618">
        <v>2</v>
      </c>
      <c r="D618">
        <v>1</v>
      </c>
      <c r="E618" t="str">
        <f t="shared" si="18"/>
        <v>['Colombia','Ecuador',2,1],</v>
      </c>
      <c r="F618" t="str">
        <f t="shared" si="19"/>
        <v>['Ecuador','Colombia',1,2],</v>
      </c>
    </row>
    <row r="619" spans="1:6" x14ac:dyDescent="0.25">
      <c r="A619" t="s">
        <v>16</v>
      </c>
      <c r="B619" t="s">
        <v>11</v>
      </c>
      <c r="C619">
        <v>2</v>
      </c>
      <c r="D619">
        <v>0</v>
      </c>
      <c r="E619" t="str">
        <f t="shared" si="18"/>
        <v>['Argentina','Uruguay',2,0],</v>
      </c>
      <c r="F619" t="str">
        <f t="shared" si="19"/>
        <v>['Uruguay','Argentina',0,2],</v>
      </c>
    </row>
    <row r="620" spans="1:6" x14ac:dyDescent="0.25">
      <c r="A620" t="s">
        <v>66</v>
      </c>
      <c r="B620" t="s">
        <v>482</v>
      </c>
      <c r="C620">
        <v>3</v>
      </c>
      <c r="D620">
        <v>3</v>
      </c>
      <c r="E620" t="str">
        <f t="shared" si="18"/>
        <v>['Peru','Mexico',3,3],</v>
      </c>
      <c r="F620" t="str">
        <f t="shared" si="19"/>
        <v>['Mexico','Peru',3,3],</v>
      </c>
    </row>
    <row r="621" spans="1:6" x14ac:dyDescent="0.25">
      <c r="A621" t="s">
        <v>43</v>
      </c>
      <c r="B621" t="s">
        <v>11</v>
      </c>
      <c r="C621">
        <v>1</v>
      </c>
      <c r="D621">
        <v>1</v>
      </c>
      <c r="E621" t="str">
        <f t="shared" si="18"/>
        <v>['Paraguay','Uruguay',1,1],</v>
      </c>
      <c r="F621" t="str">
        <f t="shared" si="19"/>
        <v>['Uruguay','Paraguay',1,1],</v>
      </c>
    </row>
    <row r="622" spans="1:6" x14ac:dyDescent="0.25">
      <c r="A622" t="s">
        <v>10</v>
      </c>
      <c r="B622" t="s">
        <v>125</v>
      </c>
      <c r="C622">
        <v>3</v>
      </c>
      <c r="D622">
        <v>2</v>
      </c>
      <c r="E622" t="str">
        <f t="shared" si="18"/>
        <v>['Chile','Colombia',3,2],</v>
      </c>
      <c r="F622" t="str">
        <f t="shared" si="19"/>
        <v>['Colombia','Chile',2,3],</v>
      </c>
    </row>
    <row r="623" spans="1:6" x14ac:dyDescent="0.25">
      <c r="A623" t="s">
        <v>16</v>
      </c>
      <c r="B623" t="s">
        <v>19</v>
      </c>
      <c r="C623">
        <v>1</v>
      </c>
      <c r="D623">
        <v>2</v>
      </c>
      <c r="E623" t="str">
        <f t="shared" si="18"/>
        <v>['Argentina','Brazil',1,2],</v>
      </c>
      <c r="F623" t="str">
        <f t="shared" si="19"/>
        <v>['Brazil','Argentina',2,1],</v>
      </c>
    </row>
    <row r="624" spans="1:6" x14ac:dyDescent="0.25">
      <c r="A624" t="s">
        <v>10</v>
      </c>
      <c r="B624" t="s">
        <v>11</v>
      </c>
      <c r="C624">
        <v>1</v>
      </c>
      <c r="D624">
        <v>1</v>
      </c>
      <c r="E624" t="str">
        <f t="shared" si="18"/>
        <v>['Chile','Uruguay',1,1],</v>
      </c>
      <c r="F624" t="str">
        <f t="shared" si="19"/>
        <v>['Uruguay','Chile',1,1],</v>
      </c>
    </row>
    <row r="625" spans="1:6" x14ac:dyDescent="0.25">
      <c r="A625" t="s">
        <v>19</v>
      </c>
      <c r="B625" t="s">
        <v>482</v>
      </c>
      <c r="C625">
        <v>2</v>
      </c>
      <c r="D625">
        <v>0</v>
      </c>
      <c r="E625" t="str">
        <f t="shared" si="18"/>
        <v>['Brazil','Mexico',2,0],</v>
      </c>
      <c r="F625" t="str">
        <f t="shared" si="19"/>
        <v>['Mexico','Brazil',0,2],</v>
      </c>
    </row>
    <row r="626" spans="1:6" x14ac:dyDescent="0.25">
      <c r="A626" t="s">
        <v>10</v>
      </c>
      <c r="B626" t="s">
        <v>482</v>
      </c>
      <c r="C626">
        <v>1</v>
      </c>
      <c r="D626">
        <v>2</v>
      </c>
      <c r="E626" t="str">
        <f t="shared" si="18"/>
        <v>['Chile','Mexico',1,2],</v>
      </c>
      <c r="F626" t="str">
        <f t="shared" si="19"/>
        <v>['Mexico','Chile',2,1],</v>
      </c>
    </row>
    <row r="627" spans="1:6" x14ac:dyDescent="0.25">
      <c r="A627" t="s">
        <v>11</v>
      </c>
      <c r="B627" t="s">
        <v>19</v>
      </c>
      <c r="C627">
        <v>0</v>
      </c>
      <c r="D627">
        <v>3</v>
      </c>
      <c r="E627" t="str">
        <f t="shared" si="18"/>
        <v>['Uruguay','Brazil',0,3],</v>
      </c>
      <c r="F627" t="str">
        <f t="shared" si="19"/>
        <v>['Brazil','Uruguay',3,0],</v>
      </c>
    </row>
    <row r="628" spans="1:6" x14ac:dyDescent="0.25">
      <c r="A628" t="s">
        <v>125</v>
      </c>
      <c r="B628" t="s">
        <v>211</v>
      </c>
      <c r="C628">
        <v>2</v>
      </c>
      <c r="D628">
        <v>0</v>
      </c>
      <c r="E628" t="str">
        <f t="shared" si="18"/>
        <v>['Colombia','Venezuela',2,0],</v>
      </c>
      <c r="F628" t="str">
        <f t="shared" si="19"/>
        <v>['Venezuela','Colombia',0,2],</v>
      </c>
    </row>
    <row r="629" spans="1:6" x14ac:dyDescent="0.25">
      <c r="A629" t="s">
        <v>10</v>
      </c>
      <c r="B629" t="s">
        <v>99</v>
      </c>
      <c r="C629">
        <v>4</v>
      </c>
      <c r="D629">
        <v>1</v>
      </c>
      <c r="E629" t="str">
        <f t="shared" si="18"/>
        <v>['Chile','Ecuador',4,1],</v>
      </c>
      <c r="F629" t="str">
        <f t="shared" si="19"/>
        <v>['Ecuador','Chile',1,4],</v>
      </c>
    </row>
    <row r="630" spans="1:6" x14ac:dyDescent="0.25">
      <c r="A630" t="s">
        <v>19</v>
      </c>
      <c r="B630" t="s">
        <v>482</v>
      </c>
      <c r="C630">
        <v>0</v>
      </c>
      <c r="D630">
        <v>1</v>
      </c>
      <c r="E630" t="str">
        <f t="shared" si="18"/>
        <v>['Brazil','Mexico',0,1],</v>
      </c>
      <c r="F630" t="str">
        <f t="shared" si="19"/>
        <v>['Mexico','Brazil',1,0],</v>
      </c>
    </row>
    <row r="631" spans="1:6" x14ac:dyDescent="0.25">
      <c r="A631" t="s">
        <v>43</v>
      </c>
      <c r="B631" t="s">
        <v>66</v>
      </c>
      <c r="C631">
        <v>3</v>
      </c>
      <c r="D631">
        <v>3</v>
      </c>
      <c r="E631" t="str">
        <f t="shared" si="18"/>
        <v>['Paraguay','Peru',3,3],</v>
      </c>
      <c r="F631" t="str">
        <f t="shared" si="19"/>
        <v>['Peru','Paraguay',3,3],</v>
      </c>
    </row>
    <row r="632" spans="1:6" x14ac:dyDescent="0.25">
      <c r="A632" t="s">
        <v>319</v>
      </c>
      <c r="B632" t="s">
        <v>342</v>
      </c>
      <c r="C632">
        <v>1</v>
      </c>
      <c r="D632">
        <v>0</v>
      </c>
      <c r="E632" t="str">
        <f t="shared" si="18"/>
        <v>['Costa Rica','Honduras',1,0],</v>
      </c>
      <c r="F632" t="str">
        <f t="shared" si="19"/>
        <v>['Honduras','Costa Rica',0,1],</v>
      </c>
    </row>
    <row r="633" spans="1:6" x14ac:dyDescent="0.25">
      <c r="A633" t="s">
        <v>56</v>
      </c>
      <c r="B633" t="s">
        <v>11</v>
      </c>
      <c r="C633">
        <v>0</v>
      </c>
      <c r="D633">
        <v>1</v>
      </c>
      <c r="E633" t="str">
        <f t="shared" si="18"/>
        <v>['Bolivia','Uruguay',0,1],</v>
      </c>
      <c r="F633" t="str">
        <f t="shared" si="19"/>
        <v>['Uruguay','Bolivia',1,0],</v>
      </c>
    </row>
    <row r="634" spans="1:6" x14ac:dyDescent="0.25">
      <c r="A634" t="s">
        <v>10</v>
      </c>
      <c r="B634" t="s">
        <v>211</v>
      </c>
      <c r="C634">
        <v>1</v>
      </c>
      <c r="D634">
        <v>0</v>
      </c>
      <c r="E634" t="str">
        <f t="shared" si="18"/>
        <v>['Chile','Venezuela',1,0],</v>
      </c>
      <c r="F634" t="str">
        <f t="shared" si="19"/>
        <v>['Venezuela','Chile',0,1],</v>
      </c>
    </row>
    <row r="635" spans="1:6" x14ac:dyDescent="0.25">
      <c r="A635" t="s">
        <v>125</v>
      </c>
      <c r="B635" t="s">
        <v>99</v>
      </c>
      <c r="C635">
        <v>1</v>
      </c>
      <c r="D635">
        <v>0</v>
      </c>
      <c r="E635" t="str">
        <f t="shared" si="18"/>
        <v>['Colombia','Ecuador',1,0],</v>
      </c>
      <c r="F635" t="str">
        <f t="shared" si="19"/>
        <v>['Ecuador','Colombia',0,1],</v>
      </c>
    </row>
    <row r="636" spans="1:6" x14ac:dyDescent="0.25">
      <c r="A636" t="s">
        <v>43</v>
      </c>
      <c r="B636" t="s">
        <v>482</v>
      </c>
      <c r="C636">
        <v>0</v>
      </c>
      <c r="D636">
        <v>0</v>
      </c>
      <c r="E636" t="str">
        <f t="shared" si="18"/>
        <v>['Paraguay','Mexico',0,0],</v>
      </c>
      <c r="F636" t="str">
        <f t="shared" si="19"/>
        <v>['Mexico','Paraguay',0,0],</v>
      </c>
    </row>
    <row r="637" spans="1:6" x14ac:dyDescent="0.25">
      <c r="A637" t="s">
        <v>66</v>
      </c>
      <c r="B637" t="s">
        <v>19</v>
      </c>
      <c r="C637">
        <v>0</v>
      </c>
      <c r="D637">
        <v>2</v>
      </c>
      <c r="E637" t="str">
        <f t="shared" si="18"/>
        <v>['Peru','Brazil',0,2],</v>
      </c>
      <c r="F637" t="str">
        <f t="shared" si="19"/>
        <v>['Brazil','Peru',2,0],</v>
      </c>
    </row>
    <row r="638" spans="1:6" x14ac:dyDescent="0.25">
      <c r="A638" t="s">
        <v>11</v>
      </c>
      <c r="B638" t="s">
        <v>319</v>
      </c>
      <c r="C638">
        <v>1</v>
      </c>
      <c r="D638">
        <v>1</v>
      </c>
      <c r="E638" t="str">
        <f t="shared" si="18"/>
        <v>['Uruguay','Costa Rica',1,1],</v>
      </c>
      <c r="F638" t="str">
        <f t="shared" si="19"/>
        <v>['Costa Rica','Uruguay',1,1],</v>
      </c>
    </row>
    <row r="639" spans="1:6" x14ac:dyDescent="0.25">
      <c r="A639" t="s">
        <v>56</v>
      </c>
      <c r="B639" t="s">
        <v>342</v>
      </c>
      <c r="C639">
        <v>0</v>
      </c>
      <c r="D639">
        <v>2</v>
      </c>
      <c r="E639" t="str">
        <f t="shared" si="18"/>
        <v>['Bolivia','Honduras',0,2],</v>
      </c>
      <c r="F639" t="str">
        <f t="shared" si="19"/>
        <v>['Honduras','Bolivia',2,0],</v>
      </c>
    </row>
    <row r="640" spans="1:6" x14ac:dyDescent="0.25">
      <c r="A640" t="s">
        <v>10</v>
      </c>
      <c r="B640" t="s">
        <v>125</v>
      </c>
      <c r="C640">
        <v>0</v>
      </c>
      <c r="D640">
        <v>2</v>
      </c>
      <c r="E640" t="str">
        <f t="shared" si="18"/>
        <v>['Chile','Colombia',0,2],</v>
      </c>
      <c r="F640" t="str">
        <f t="shared" si="19"/>
        <v>['Colombia','Chile',2,0],</v>
      </c>
    </row>
    <row r="641" spans="1:6" x14ac:dyDescent="0.25">
      <c r="A641" t="s">
        <v>99</v>
      </c>
      <c r="B641" t="s">
        <v>211</v>
      </c>
      <c r="C641">
        <v>4</v>
      </c>
      <c r="D641">
        <v>0</v>
      </c>
      <c r="E641" t="str">
        <f t="shared" si="18"/>
        <v>['Ecuador','Venezuela',4,0],</v>
      </c>
      <c r="F641" t="str">
        <f t="shared" si="19"/>
        <v>['Venezuela','Ecuador',0,4],</v>
      </c>
    </row>
    <row r="642" spans="1:6" x14ac:dyDescent="0.25">
      <c r="A642" t="s">
        <v>43</v>
      </c>
      <c r="B642" t="s">
        <v>19</v>
      </c>
      <c r="C642">
        <v>1</v>
      </c>
      <c r="D642">
        <v>3</v>
      </c>
      <c r="E642" t="str">
        <f t="shared" si="18"/>
        <v>['Paraguay','Brazil',1,3],</v>
      </c>
      <c r="F642" t="str">
        <f t="shared" si="19"/>
        <v>['Brazil','Paraguay',3,1],</v>
      </c>
    </row>
    <row r="643" spans="1:6" x14ac:dyDescent="0.25">
      <c r="A643" t="s">
        <v>66</v>
      </c>
      <c r="B643" t="s">
        <v>482</v>
      </c>
      <c r="C643">
        <v>1</v>
      </c>
      <c r="D643">
        <v>0</v>
      </c>
      <c r="E643" t="str">
        <f t="shared" ref="E643:E706" si="20">"['"&amp;A643&amp;"','"&amp;B643&amp;"',"&amp;C643&amp;","&amp;D643&amp;"],"</f>
        <v>['Peru','Mexico',1,0],</v>
      </c>
      <c r="F643" t="str">
        <f t="shared" ref="F643:F706" si="21">"['"&amp;B643&amp;"','"&amp;A643&amp;"',"&amp;D643&amp;","&amp;C643&amp;"],"</f>
        <v>['Mexico','Peru',0,1],</v>
      </c>
    </row>
    <row r="644" spans="1:6" x14ac:dyDescent="0.25">
      <c r="A644" t="s">
        <v>11</v>
      </c>
      <c r="B644" t="s">
        <v>342</v>
      </c>
      <c r="C644">
        <v>0</v>
      </c>
      <c r="D644">
        <v>1</v>
      </c>
      <c r="E644" t="str">
        <f t="shared" si="20"/>
        <v>['Uruguay','Honduras',0,1],</v>
      </c>
      <c r="F644" t="str">
        <f t="shared" si="21"/>
        <v>['Honduras','Uruguay',1,0],</v>
      </c>
    </row>
    <row r="645" spans="1:6" x14ac:dyDescent="0.25">
      <c r="A645" t="s">
        <v>56</v>
      </c>
      <c r="B645" t="s">
        <v>319</v>
      </c>
      <c r="C645">
        <v>0</v>
      </c>
      <c r="D645">
        <v>4</v>
      </c>
      <c r="E645" t="str">
        <f t="shared" si="20"/>
        <v>['Bolivia','Costa Rica',0,4],</v>
      </c>
      <c r="F645" t="str">
        <f t="shared" si="21"/>
        <v>['Costa Rica','Bolivia',4,0],</v>
      </c>
    </row>
    <row r="646" spans="1:6" x14ac:dyDescent="0.25">
      <c r="A646" t="s">
        <v>10</v>
      </c>
      <c r="B646" t="s">
        <v>482</v>
      </c>
      <c r="C646">
        <v>0</v>
      </c>
      <c r="D646">
        <v>2</v>
      </c>
      <c r="E646" t="str">
        <f t="shared" si="20"/>
        <v>['Chile','Mexico',0,2],</v>
      </c>
      <c r="F646" t="str">
        <f t="shared" si="21"/>
        <v>['Mexico','Chile',2,0],</v>
      </c>
    </row>
    <row r="647" spans="1:6" x14ac:dyDescent="0.25">
      <c r="A647" t="s">
        <v>11</v>
      </c>
      <c r="B647" t="s">
        <v>319</v>
      </c>
      <c r="C647">
        <v>2</v>
      </c>
      <c r="D647">
        <v>1</v>
      </c>
      <c r="E647" t="str">
        <f t="shared" si="20"/>
        <v>['Uruguay','Costa Rica',2,1],</v>
      </c>
      <c r="F647" t="str">
        <f t="shared" si="21"/>
        <v>['Costa Rica','Uruguay',1,2],</v>
      </c>
    </row>
    <row r="648" spans="1:6" x14ac:dyDescent="0.25">
      <c r="A648" t="s">
        <v>125</v>
      </c>
      <c r="B648" t="s">
        <v>66</v>
      </c>
      <c r="C648">
        <v>3</v>
      </c>
      <c r="D648">
        <v>0</v>
      </c>
      <c r="E648" t="str">
        <f t="shared" si="20"/>
        <v>['Colombia','Peru',3,0],</v>
      </c>
      <c r="F648" t="str">
        <f t="shared" si="21"/>
        <v>['Peru','Colombia',0,3],</v>
      </c>
    </row>
    <row r="649" spans="1:6" x14ac:dyDescent="0.25">
      <c r="A649" t="s">
        <v>19</v>
      </c>
      <c r="B649" t="s">
        <v>342</v>
      </c>
      <c r="C649">
        <v>0</v>
      </c>
      <c r="D649">
        <v>2</v>
      </c>
      <c r="E649" t="str">
        <f t="shared" si="20"/>
        <v>['Brazil','Honduras',0,2],</v>
      </c>
      <c r="F649" t="str">
        <f t="shared" si="21"/>
        <v>['Honduras','Brazil',2,0],</v>
      </c>
    </row>
    <row r="650" spans="1:6" x14ac:dyDescent="0.25">
      <c r="A650" t="s">
        <v>11</v>
      </c>
      <c r="B650" t="s">
        <v>482</v>
      </c>
      <c r="C650">
        <v>1</v>
      </c>
      <c r="D650">
        <v>2</v>
      </c>
      <c r="E650" t="str">
        <f t="shared" si="20"/>
        <v>['Uruguay','Mexico',1,2],</v>
      </c>
      <c r="F650" t="str">
        <f t="shared" si="21"/>
        <v>['Mexico','Uruguay',2,1],</v>
      </c>
    </row>
    <row r="651" spans="1:6" x14ac:dyDescent="0.25">
      <c r="A651" t="s">
        <v>125</v>
      </c>
      <c r="B651" t="s">
        <v>342</v>
      </c>
      <c r="C651">
        <v>2</v>
      </c>
      <c r="D651">
        <v>0</v>
      </c>
      <c r="E651" t="str">
        <f t="shared" si="20"/>
        <v>['Colombia','Honduras',2,0],</v>
      </c>
      <c r="F651" t="str">
        <f t="shared" si="21"/>
        <v>['Honduras','Colombia',0,2],</v>
      </c>
    </row>
    <row r="652" spans="1:6" x14ac:dyDescent="0.25">
      <c r="A652" t="s">
        <v>125</v>
      </c>
      <c r="B652" t="s">
        <v>482</v>
      </c>
      <c r="C652">
        <v>1</v>
      </c>
      <c r="D652">
        <v>0</v>
      </c>
      <c r="E652" t="str">
        <f t="shared" si="20"/>
        <v>['Colombia','Mexico',1,0],</v>
      </c>
      <c r="F652" t="str">
        <f t="shared" si="21"/>
        <v>['Mexico','Colombia',0,1],</v>
      </c>
    </row>
    <row r="653" spans="1:6" x14ac:dyDescent="0.25">
      <c r="A653" t="s">
        <v>11</v>
      </c>
      <c r="B653" t="s">
        <v>342</v>
      </c>
      <c r="C653">
        <v>2</v>
      </c>
      <c r="D653">
        <v>2</v>
      </c>
      <c r="E653" t="str">
        <f t="shared" si="20"/>
        <v>['Uruguay','Honduras',2,2],</v>
      </c>
      <c r="F653" t="str">
        <f t="shared" si="21"/>
        <v>['Honduras','Uruguay',2,2],</v>
      </c>
    </row>
    <row r="654" spans="1:6" x14ac:dyDescent="0.25">
      <c r="A654" t="s">
        <v>125</v>
      </c>
      <c r="B654" t="s">
        <v>211</v>
      </c>
      <c r="C654">
        <v>1</v>
      </c>
      <c r="D654">
        <v>0</v>
      </c>
      <c r="E654" t="str">
        <f t="shared" si="20"/>
        <v>['Colombia','Venezuela',1,0],</v>
      </c>
      <c r="F654" t="str">
        <f t="shared" si="21"/>
        <v>['Venezuela','Colombia',0,1],</v>
      </c>
    </row>
    <row r="655" spans="1:6" x14ac:dyDescent="0.25">
      <c r="A655" t="s">
        <v>56</v>
      </c>
      <c r="B655" t="s">
        <v>66</v>
      </c>
      <c r="C655">
        <v>2</v>
      </c>
      <c r="D655">
        <v>2</v>
      </c>
      <c r="E655" t="str">
        <f t="shared" si="20"/>
        <v>['Bolivia','Peru',2,2],</v>
      </c>
      <c r="F655" t="str">
        <f t="shared" si="21"/>
        <v>['Peru','Bolivia',2,2],</v>
      </c>
    </row>
    <row r="656" spans="1:6" x14ac:dyDescent="0.25">
      <c r="A656" t="s">
        <v>16</v>
      </c>
      <c r="B656" t="s">
        <v>99</v>
      </c>
      <c r="C656">
        <v>6</v>
      </c>
      <c r="D656">
        <v>1</v>
      </c>
      <c r="E656" t="str">
        <f t="shared" si="20"/>
        <v>['Argentina','Ecuador',6,1],</v>
      </c>
      <c r="F656" t="str">
        <f t="shared" si="21"/>
        <v>['Ecuador','Argentina',1,6],</v>
      </c>
    </row>
    <row r="657" spans="1:6" x14ac:dyDescent="0.25">
      <c r="A657" t="s">
        <v>11</v>
      </c>
      <c r="B657" t="s">
        <v>482</v>
      </c>
      <c r="C657">
        <v>2</v>
      </c>
      <c r="D657">
        <v>2</v>
      </c>
      <c r="E657" t="str">
        <f t="shared" si="20"/>
        <v>['Uruguay','Mexico',2,2],</v>
      </c>
      <c r="F657" t="str">
        <f t="shared" si="21"/>
        <v>['Mexico','Uruguay',2,2],</v>
      </c>
    </row>
    <row r="658" spans="1:6" x14ac:dyDescent="0.25">
      <c r="A658" t="s">
        <v>10</v>
      </c>
      <c r="B658" t="s">
        <v>19</v>
      </c>
      <c r="C658">
        <v>0</v>
      </c>
      <c r="D658">
        <v>1</v>
      </c>
      <c r="E658" t="str">
        <f t="shared" si="20"/>
        <v>['Chile','Brazil',0,1],</v>
      </c>
      <c r="F658" t="str">
        <f t="shared" si="21"/>
        <v>['Brazil','Chile',1,0],</v>
      </c>
    </row>
    <row r="659" spans="1:6" x14ac:dyDescent="0.25">
      <c r="A659" t="s">
        <v>43</v>
      </c>
      <c r="B659" t="s">
        <v>319</v>
      </c>
      <c r="C659">
        <v>1</v>
      </c>
      <c r="D659">
        <v>0</v>
      </c>
      <c r="E659" t="str">
        <f t="shared" si="20"/>
        <v>['Paraguay','Costa Rica',1,0],</v>
      </c>
      <c r="F659" t="str">
        <f t="shared" si="21"/>
        <v>['Costa Rica','Paraguay',0,1],</v>
      </c>
    </row>
    <row r="660" spans="1:6" x14ac:dyDescent="0.25">
      <c r="A660" t="s">
        <v>66</v>
      </c>
      <c r="B660" t="s">
        <v>211</v>
      </c>
      <c r="C660">
        <v>3</v>
      </c>
      <c r="D660">
        <v>1</v>
      </c>
      <c r="E660" t="str">
        <f t="shared" si="20"/>
        <v>['Peru','Venezuela',3,1],</v>
      </c>
      <c r="F660" t="str">
        <f t="shared" si="21"/>
        <v>['Venezuela','Peru',1,3],</v>
      </c>
    </row>
    <row r="661" spans="1:6" x14ac:dyDescent="0.25">
      <c r="A661" t="s">
        <v>56</v>
      </c>
      <c r="B661" t="s">
        <v>125</v>
      </c>
      <c r="C661">
        <v>0</v>
      </c>
      <c r="D661">
        <v>1</v>
      </c>
      <c r="E661" t="str">
        <f t="shared" si="20"/>
        <v>['Bolivia','Colombia',0,1],</v>
      </c>
      <c r="F661" t="str">
        <f t="shared" si="21"/>
        <v>['Colombia','Bolivia',1,0],</v>
      </c>
    </row>
    <row r="662" spans="1:6" x14ac:dyDescent="0.25">
      <c r="A662" t="s">
        <v>16</v>
      </c>
      <c r="B662" t="s">
        <v>482</v>
      </c>
      <c r="C662">
        <v>0</v>
      </c>
      <c r="D662">
        <v>1</v>
      </c>
      <c r="E662" t="str">
        <f t="shared" si="20"/>
        <v>['Argentina','Mexico',0,1],</v>
      </c>
      <c r="F662" t="str">
        <f t="shared" si="21"/>
        <v>['Mexico','Argentina',1,0],</v>
      </c>
    </row>
    <row r="663" spans="1:6" x14ac:dyDescent="0.25">
      <c r="A663" t="s">
        <v>99</v>
      </c>
      <c r="B663" t="s">
        <v>11</v>
      </c>
      <c r="C663">
        <v>1</v>
      </c>
      <c r="D663">
        <v>2</v>
      </c>
      <c r="E663" t="str">
        <f t="shared" si="20"/>
        <v>['Ecuador','Uruguay',1,2],</v>
      </c>
      <c r="F663" t="str">
        <f t="shared" si="21"/>
        <v>['Uruguay','Ecuador',2,1],</v>
      </c>
    </row>
    <row r="664" spans="1:6" x14ac:dyDescent="0.25">
      <c r="A664" t="s">
        <v>19</v>
      </c>
      <c r="B664" t="s">
        <v>319</v>
      </c>
      <c r="C664">
        <v>4</v>
      </c>
      <c r="D664">
        <v>1</v>
      </c>
      <c r="E664" t="str">
        <f t="shared" si="20"/>
        <v>['Brazil','Costa Rica',4,1],</v>
      </c>
      <c r="F664" t="str">
        <f t="shared" si="21"/>
        <v>['Costa Rica','Brazil',1,4],</v>
      </c>
    </row>
    <row r="665" spans="1:6" x14ac:dyDescent="0.25">
      <c r="A665" t="s">
        <v>10</v>
      </c>
      <c r="B665" t="s">
        <v>43</v>
      </c>
      <c r="C665">
        <v>1</v>
      </c>
      <c r="D665">
        <v>1</v>
      </c>
      <c r="E665" t="str">
        <f t="shared" si="20"/>
        <v>['Chile','Paraguay',1,1],</v>
      </c>
      <c r="F665" t="str">
        <f t="shared" si="21"/>
        <v>['Paraguay','Chile',1,1],</v>
      </c>
    </row>
    <row r="666" spans="1:6" x14ac:dyDescent="0.25">
      <c r="A666" t="s">
        <v>56</v>
      </c>
      <c r="B666" t="s">
        <v>211</v>
      </c>
      <c r="C666">
        <v>1</v>
      </c>
      <c r="D666">
        <v>1</v>
      </c>
      <c r="E666" t="str">
        <f t="shared" si="20"/>
        <v>['Bolivia','Venezuela',1,1],</v>
      </c>
      <c r="F666" t="str">
        <f t="shared" si="21"/>
        <v>['Venezuela','Bolivia',1,1],</v>
      </c>
    </row>
    <row r="667" spans="1:6" x14ac:dyDescent="0.25">
      <c r="A667" t="s">
        <v>125</v>
      </c>
      <c r="B667" t="s">
        <v>66</v>
      </c>
      <c r="C667">
        <v>2</v>
      </c>
      <c r="D667">
        <v>2</v>
      </c>
      <c r="E667" t="str">
        <f t="shared" si="20"/>
        <v>['Colombia','Peru',2,2],</v>
      </c>
      <c r="F667" t="str">
        <f t="shared" si="21"/>
        <v>['Peru','Colombia',2,2],</v>
      </c>
    </row>
    <row r="668" spans="1:6" x14ac:dyDescent="0.25">
      <c r="A668" t="s">
        <v>16</v>
      </c>
      <c r="B668" t="s">
        <v>11</v>
      </c>
      <c r="C668">
        <v>4</v>
      </c>
      <c r="D668">
        <v>2</v>
      </c>
      <c r="E668" t="str">
        <f t="shared" si="20"/>
        <v>['Argentina','Uruguay',4,2],</v>
      </c>
      <c r="F668" t="str">
        <f t="shared" si="21"/>
        <v>['Uruguay','Argentina',2,4],</v>
      </c>
    </row>
    <row r="669" spans="1:6" x14ac:dyDescent="0.25">
      <c r="A669" t="s">
        <v>99</v>
      </c>
      <c r="B669" t="s">
        <v>482</v>
      </c>
      <c r="C669">
        <v>1</v>
      </c>
      <c r="D669">
        <v>2</v>
      </c>
      <c r="E669" t="str">
        <f t="shared" si="20"/>
        <v>['Ecuador','Mexico',1,2],</v>
      </c>
      <c r="F669" t="str">
        <f t="shared" si="21"/>
        <v>['Mexico','Ecuador',2,1],</v>
      </c>
    </row>
    <row r="670" spans="1:6" x14ac:dyDescent="0.25">
      <c r="A670" t="s">
        <v>43</v>
      </c>
      <c r="B670" t="s">
        <v>19</v>
      </c>
      <c r="C670">
        <v>2</v>
      </c>
      <c r="D670">
        <v>1</v>
      </c>
      <c r="E670" t="str">
        <f t="shared" si="20"/>
        <v>['Paraguay','Brazil',2,1],</v>
      </c>
      <c r="F670" t="str">
        <f t="shared" si="21"/>
        <v>['Brazil','Paraguay',1,2],</v>
      </c>
    </row>
    <row r="671" spans="1:6" x14ac:dyDescent="0.25">
      <c r="A671" t="s">
        <v>10</v>
      </c>
      <c r="B671" t="s">
        <v>319</v>
      </c>
      <c r="C671">
        <v>1</v>
      </c>
      <c r="D671">
        <v>2</v>
      </c>
      <c r="E671" t="str">
        <f t="shared" si="20"/>
        <v>['Chile','Costa Rica',1,2],</v>
      </c>
      <c r="F671" t="str">
        <f t="shared" si="21"/>
        <v>['Costa Rica','Chile',2,1],</v>
      </c>
    </row>
    <row r="672" spans="1:6" x14ac:dyDescent="0.25">
      <c r="A672" t="s">
        <v>16</v>
      </c>
      <c r="B672" t="s">
        <v>66</v>
      </c>
      <c r="C672">
        <v>1</v>
      </c>
      <c r="D672">
        <v>0</v>
      </c>
      <c r="E672" t="str">
        <f t="shared" si="20"/>
        <v>['Argentina','Peru',1,0],</v>
      </c>
      <c r="F672" t="str">
        <f t="shared" si="21"/>
        <v>['Peru','Argentina',0,1],</v>
      </c>
    </row>
    <row r="673" spans="1:6" x14ac:dyDescent="0.25">
      <c r="A673" t="s">
        <v>125</v>
      </c>
      <c r="B673" t="s">
        <v>319</v>
      </c>
      <c r="C673">
        <v>2</v>
      </c>
      <c r="D673">
        <v>0</v>
      </c>
      <c r="E673" t="str">
        <f t="shared" si="20"/>
        <v>['Colombia','Costa Rica',2,0],</v>
      </c>
      <c r="F673" t="str">
        <f t="shared" si="21"/>
        <v>['Costa Rica','Colombia',0,2],</v>
      </c>
    </row>
    <row r="674" spans="1:6" x14ac:dyDescent="0.25">
      <c r="A674" t="s">
        <v>43</v>
      </c>
      <c r="B674" t="s">
        <v>11</v>
      </c>
      <c r="C674">
        <v>1</v>
      </c>
      <c r="D674">
        <v>3</v>
      </c>
      <c r="E674" t="str">
        <f t="shared" si="20"/>
        <v>['Paraguay','Uruguay',1,3],</v>
      </c>
      <c r="F674" t="str">
        <f t="shared" si="21"/>
        <v>['Uruguay','Paraguay',3,1],</v>
      </c>
    </row>
    <row r="675" spans="1:6" x14ac:dyDescent="0.25">
      <c r="A675" t="s">
        <v>19</v>
      </c>
      <c r="B675" t="s">
        <v>482</v>
      </c>
      <c r="C675">
        <v>4</v>
      </c>
      <c r="D675">
        <v>0</v>
      </c>
      <c r="E675" t="str">
        <f t="shared" si="20"/>
        <v>['Brazil','Mexico',4,0],</v>
      </c>
      <c r="F675" t="str">
        <f t="shared" si="21"/>
        <v>['Mexico','Brazil',0,4],</v>
      </c>
    </row>
    <row r="676" spans="1:6" x14ac:dyDescent="0.25">
      <c r="A676" t="s">
        <v>16</v>
      </c>
      <c r="B676" t="s">
        <v>125</v>
      </c>
      <c r="C676">
        <v>3</v>
      </c>
      <c r="D676">
        <v>0</v>
      </c>
      <c r="E676" t="str">
        <f t="shared" si="20"/>
        <v>['Argentina','Colombia',3,0],</v>
      </c>
      <c r="F676" t="str">
        <f t="shared" si="21"/>
        <v>['Colombia','Argentina',0,3],</v>
      </c>
    </row>
    <row r="677" spans="1:6" x14ac:dyDescent="0.25">
      <c r="A677" t="s">
        <v>11</v>
      </c>
      <c r="B677" t="s">
        <v>19</v>
      </c>
      <c r="C677">
        <v>1</v>
      </c>
      <c r="D677">
        <v>1</v>
      </c>
      <c r="E677" t="str">
        <f t="shared" si="20"/>
        <v>['Uruguay','Brazil',1,1],</v>
      </c>
      <c r="F677" t="str">
        <f t="shared" si="21"/>
        <v>['Brazil','Uruguay',1,1],</v>
      </c>
    </row>
    <row r="678" spans="1:6" x14ac:dyDescent="0.25">
      <c r="A678" t="s">
        <v>125</v>
      </c>
      <c r="B678" t="s">
        <v>11</v>
      </c>
      <c r="C678">
        <v>1</v>
      </c>
      <c r="D678">
        <v>2</v>
      </c>
      <c r="E678" t="str">
        <f t="shared" si="20"/>
        <v>['Colombia','Uruguay',1,2],</v>
      </c>
      <c r="F678" t="str">
        <f t="shared" si="21"/>
        <v>['Uruguay','Colombia',2,1],</v>
      </c>
    </row>
    <row r="679" spans="1:6" x14ac:dyDescent="0.25">
      <c r="A679" t="s">
        <v>16</v>
      </c>
      <c r="B679" t="s">
        <v>19</v>
      </c>
      <c r="C679">
        <v>2</v>
      </c>
      <c r="D679">
        <v>2</v>
      </c>
      <c r="E679" t="str">
        <f t="shared" si="20"/>
        <v>['Argentina','Brazil',2,2],</v>
      </c>
      <c r="F679" t="str">
        <f t="shared" si="21"/>
        <v>['Brazil','Argentina',2,2],</v>
      </c>
    </row>
    <row r="680" spans="1:6" x14ac:dyDescent="0.25">
      <c r="A680" t="s">
        <v>56</v>
      </c>
      <c r="B680" t="s">
        <v>211</v>
      </c>
      <c r="C680">
        <v>2</v>
      </c>
      <c r="D680">
        <v>2</v>
      </c>
      <c r="E680" t="str">
        <f t="shared" si="20"/>
        <v>['Bolivia','Venezuela',2,2],</v>
      </c>
      <c r="F680" t="str">
        <f t="shared" si="21"/>
        <v>['Venezuela','Bolivia',2,2],</v>
      </c>
    </row>
    <row r="681" spans="1:6" x14ac:dyDescent="0.25">
      <c r="A681" t="s">
        <v>66</v>
      </c>
      <c r="B681" t="s">
        <v>11</v>
      </c>
      <c r="C681">
        <v>3</v>
      </c>
      <c r="D681">
        <v>0</v>
      </c>
      <c r="E681" t="str">
        <f t="shared" si="20"/>
        <v>['Peru','Uruguay',3,0],</v>
      </c>
      <c r="F681" t="str">
        <f t="shared" si="21"/>
        <v>['Uruguay','Peru',0,3],</v>
      </c>
    </row>
    <row r="682" spans="1:6" x14ac:dyDescent="0.25">
      <c r="A682" t="s">
        <v>19</v>
      </c>
      <c r="B682" t="s">
        <v>482</v>
      </c>
      <c r="C682">
        <v>0</v>
      </c>
      <c r="D682">
        <v>2</v>
      </c>
      <c r="E682" t="str">
        <f t="shared" si="20"/>
        <v>['Brazil','Mexico',0,2],</v>
      </c>
      <c r="F682" t="str">
        <f t="shared" si="21"/>
        <v>['Mexico','Brazil',2,0],</v>
      </c>
    </row>
    <row r="683" spans="1:6" x14ac:dyDescent="0.25">
      <c r="A683" t="s">
        <v>10</v>
      </c>
      <c r="B683" t="s">
        <v>99</v>
      </c>
      <c r="C683">
        <v>3</v>
      </c>
      <c r="D683">
        <v>2</v>
      </c>
      <c r="E683" t="str">
        <f t="shared" si="20"/>
        <v>['Chile','Ecuador',3,2],</v>
      </c>
      <c r="F683" t="str">
        <f t="shared" si="21"/>
        <v>['Ecuador','Chile',2,3],</v>
      </c>
    </row>
    <row r="684" spans="1:6" x14ac:dyDescent="0.25">
      <c r="A684" t="s">
        <v>16</v>
      </c>
      <c r="B684" t="s">
        <v>311</v>
      </c>
      <c r="C684">
        <v>4</v>
      </c>
      <c r="D684">
        <v>1</v>
      </c>
      <c r="E684" t="str">
        <f t="shared" si="20"/>
        <v>['Argentina','United States',4,1],</v>
      </c>
      <c r="F684" t="str">
        <f t="shared" si="21"/>
        <v>['United States','Argentina',1,4],</v>
      </c>
    </row>
    <row r="685" spans="1:6" x14ac:dyDescent="0.25">
      <c r="A685" t="s">
        <v>125</v>
      </c>
      <c r="B685" t="s">
        <v>43</v>
      </c>
      <c r="C685">
        <v>0</v>
      </c>
      <c r="D685">
        <v>5</v>
      </c>
      <c r="E685" t="str">
        <f t="shared" si="20"/>
        <v>['Colombia','Paraguay',0,5],</v>
      </c>
      <c r="F685" t="str">
        <f t="shared" si="21"/>
        <v>['Paraguay','Colombia',5,0],</v>
      </c>
    </row>
    <row r="686" spans="1:6" x14ac:dyDescent="0.25">
      <c r="A686" t="s">
        <v>66</v>
      </c>
      <c r="B686" t="s">
        <v>211</v>
      </c>
      <c r="C686">
        <v>0</v>
      </c>
      <c r="D686">
        <v>2</v>
      </c>
      <c r="E686" t="str">
        <f t="shared" si="20"/>
        <v>['Peru','Venezuela',0,2],</v>
      </c>
      <c r="F686" t="str">
        <f t="shared" si="21"/>
        <v>['Venezuela','Peru',2,0],</v>
      </c>
    </row>
    <row r="687" spans="1:6" x14ac:dyDescent="0.25">
      <c r="A687" t="s">
        <v>56</v>
      </c>
      <c r="B687" t="s">
        <v>11</v>
      </c>
      <c r="C687">
        <v>0</v>
      </c>
      <c r="D687">
        <v>1</v>
      </c>
      <c r="E687" t="str">
        <f t="shared" si="20"/>
        <v>['Bolivia','Uruguay',0,1],</v>
      </c>
      <c r="F687" t="str">
        <f t="shared" si="21"/>
        <v>['Uruguay','Bolivia',1,0],</v>
      </c>
    </row>
    <row r="688" spans="1:6" x14ac:dyDescent="0.25">
      <c r="A688" t="s">
        <v>99</v>
      </c>
      <c r="B688" t="s">
        <v>482</v>
      </c>
      <c r="C688">
        <v>1</v>
      </c>
      <c r="D688">
        <v>2</v>
      </c>
      <c r="E688" t="str">
        <f t="shared" si="20"/>
        <v>['Ecuador','Mexico',1,2],</v>
      </c>
      <c r="F688" t="str">
        <f t="shared" si="21"/>
        <v>['Mexico','Ecuador',2,1],</v>
      </c>
    </row>
    <row r="689" spans="1:6" x14ac:dyDescent="0.25">
      <c r="A689" t="s">
        <v>10</v>
      </c>
      <c r="B689" t="s">
        <v>19</v>
      </c>
      <c r="C689">
        <v>0</v>
      </c>
      <c r="D689">
        <v>3</v>
      </c>
      <c r="E689" t="str">
        <f t="shared" si="20"/>
        <v>['Chile','Brazil',0,3],</v>
      </c>
      <c r="F689" t="str">
        <f t="shared" si="21"/>
        <v>['Brazil','Chile',3,0],</v>
      </c>
    </row>
    <row r="690" spans="1:6" x14ac:dyDescent="0.25">
      <c r="A690" t="s">
        <v>16</v>
      </c>
      <c r="B690" t="s">
        <v>125</v>
      </c>
      <c r="C690">
        <v>4</v>
      </c>
      <c r="D690">
        <v>2</v>
      </c>
      <c r="E690" t="str">
        <f t="shared" si="20"/>
        <v>['Argentina','Colombia',4,2],</v>
      </c>
      <c r="F690" t="str">
        <f t="shared" si="21"/>
        <v>['Colombia','Argentina',2,4],</v>
      </c>
    </row>
    <row r="691" spans="1:6" x14ac:dyDescent="0.25">
      <c r="A691" t="s">
        <v>43</v>
      </c>
      <c r="B691" t="s">
        <v>311</v>
      </c>
      <c r="C691">
        <v>3</v>
      </c>
      <c r="D691">
        <v>1</v>
      </c>
      <c r="E691" t="str">
        <f t="shared" si="20"/>
        <v>['Paraguay','United States',3,1],</v>
      </c>
      <c r="F691" t="str">
        <f t="shared" si="21"/>
        <v>['United States','Paraguay',1,3],</v>
      </c>
    </row>
    <row r="692" spans="1:6" x14ac:dyDescent="0.25">
      <c r="A692" t="s">
        <v>11</v>
      </c>
      <c r="B692" t="s">
        <v>211</v>
      </c>
      <c r="C692">
        <v>0</v>
      </c>
      <c r="D692">
        <v>0</v>
      </c>
      <c r="E692" t="str">
        <f t="shared" si="20"/>
        <v>['Uruguay','Venezuela',0,0],</v>
      </c>
      <c r="F692" t="str">
        <f t="shared" si="21"/>
        <v>['Venezuela','Uruguay',0,0],</v>
      </c>
    </row>
    <row r="693" spans="1:6" x14ac:dyDescent="0.25">
      <c r="A693" t="s">
        <v>56</v>
      </c>
      <c r="B693" t="s">
        <v>66</v>
      </c>
      <c r="C693">
        <v>2</v>
      </c>
      <c r="D693">
        <v>2</v>
      </c>
      <c r="E693" t="str">
        <f t="shared" si="20"/>
        <v>['Bolivia','Peru',2,2],</v>
      </c>
      <c r="F693" t="str">
        <f t="shared" si="21"/>
        <v>['Peru','Bolivia',2,2],</v>
      </c>
    </row>
    <row r="694" spans="1:6" x14ac:dyDescent="0.25">
      <c r="A694" t="s">
        <v>99</v>
      </c>
      <c r="B694" t="s">
        <v>19</v>
      </c>
      <c r="C694">
        <v>0</v>
      </c>
      <c r="D694">
        <v>1</v>
      </c>
      <c r="E694" t="str">
        <f t="shared" si="20"/>
        <v>['Ecuador','Brazil',0,1],</v>
      </c>
      <c r="F694" t="str">
        <f t="shared" si="21"/>
        <v>['Brazil','Ecuador',1,0],</v>
      </c>
    </row>
    <row r="695" spans="1:6" x14ac:dyDescent="0.25">
      <c r="A695" t="s">
        <v>10</v>
      </c>
      <c r="B695" t="s">
        <v>482</v>
      </c>
      <c r="C695">
        <v>0</v>
      </c>
      <c r="D695">
        <v>0</v>
      </c>
      <c r="E695" t="str">
        <f t="shared" si="20"/>
        <v>['Chile','Mexico',0,0],</v>
      </c>
      <c r="F695" t="str">
        <f t="shared" si="21"/>
        <v>['Mexico','Chile',0,0],</v>
      </c>
    </row>
    <row r="696" spans="1:6" x14ac:dyDescent="0.25">
      <c r="A696" t="s">
        <v>16</v>
      </c>
      <c r="B696" t="s">
        <v>43</v>
      </c>
      <c r="C696">
        <v>1</v>
      </c>
      <c r="D696">
        <v>0</v>
      </c>
      <c r="E696" t="str">
        <f t="shared" si="20"/>
        <v>['Argentina','Paraguay',1,0],</v>
      </c>
      <c r="F696" t="str">
        <f t="shared" si="21"/>
        <v>['Paraguay','Argentina',0,1],</v>
      </c>
    </row>
    <row r="697" spans="1:6" x14ac:dyDescent="0.25">
      <c r="A697" t="s">
        <v>125</v>
      </c>
      <c r="B697" t="s">
        <v>311</v>
      </c>
      <c r="C697">
        <v>1</v>
      </c>
      <c r="D697">
        <v>0</v>
      </c>
      <c r="E697" t="str">
        <f t="shared" si="20"/>
        <v>['Colombia','United States',1,0],</v>
      </c>
      <c r="F697" t="str">
        <f t="shared" si="21"/>
        <v>['United States','Colombia',0,1],</v>
      </c>
    </row>
    <row r="698" spans="1:6" x14ac:dyDescent="0.25">
      <c r="A698" t="s">
        <v>10</v>
      </c>
      <c r="B698" t="s">
        <v>19</v>
      </c>
      <c r="C698">
        <v>1</v>
      </c>
      <c r="D698">
        <v>6</v>
      </c>
      <c r="E698" t="str">
        <f t="shared" si="20"/>
        <v>['Chile','Brazil',1,6],</v>
      </c>
      <c r="F698" t="str">
        <f t="shared" si="21"/>
        <v>['Brazil','Chile',6,1],</v>
      </c>
    </row>
    <row r="699" spans="1:6" x14ac:dyDescent="0.25">
      <c r="A699" t="s">
        <v>11</v>
      </c>
      <c r="B699" t="s">
        <v>211</v>
      </c>
      <c r="C699">
        <v>4</v>
      </c>
      <c r="D699">
        <v>1</v>
      </c>
      <c r="E699" t="str">
        <f t="shared" si="20"/>
        <v>['Uruguay','Venezuela',4,1],</v>
      </c>
      <c r="F699" t="str">
        <f t="shared" si="21"/>
        <v>['Venezuela','Uruguay',1,4],</v>
      </c>
    </row>
    <row r="700" spans="1:6" x14ac:dyDescent="0.25">
      <c r="A700" t="s">
        <v>16</v>
      </c>
      <c r="B700" t="s">
        <v>66</v>
      </c>
      <c r="C700">
        <v>4</v>
      </c>
      <c r="D700">
        <v>0</v>
      </c>
      <c r="E700" t="str">
        <f t="shared" si="20"/>
        <v>['Argentina','Peru',4,0],</v>
      </c>
      <c r="F700" t="str">
        <f t="shared" si="21"/>
        <v>['Peru','Argentina',0,4],</v>
      </c>
    </row>
    <row r="701" spans="1:6" x14ac:dyDescent="0.25">
      <c r="A701" t="s">
        <v>43</v>
      </c>
      <c r="B701" t="s">
        <v>482</v>
      </c>
      <c r="C701">
        <v>0</v>
      </c>
      <c r="D701">
        <v>6</v>
      </c>
      <c r="E701" t="str">
        <f t="shared" si="20"/>
        <v>['Paraguay','Mexico',0,6],</v>
      </c>
      <c r="F701" t="str">
        <f t="shared" si="21"/>
        <v>['Mexico','Paraguay',6,0],</v>
      </c>
    </row>
    <row r="702" spans="1:6" x14ac:dyDescent="0.25">
      <c r="A702" t="s">
        <v>11</v>
      </c>
      <c r="B702" t="s">
        <v>19</v>
      </c>
      <c r="C702">
        <v>2</v>
      </c>
      <c r="D702">
        <v>2</v>
      </c>
      <c r="E702" t="str">
        <f t="shared" si="20"/>
        <v>['Uruguay','Brazil',2,2],</v>
      </c>
      <c r="F702" t="str">
        <f t="shared" si="21"/>
        <v>['Brazil','Uruguay',2,2],</v>
      </c>
    </row>
    <row r="703" spans="1:6" x14ac:dyDescent="0.25">
      <c r="A703" t="s">
        <v>16</v>
      </c>
      <c r="B703" t="s">
        <v>482</v>
      </c>
      <c r="C703">
        <v>3</v>
      </c>
      <c r="D703">
        <v>0</v>
      </c>
      <c r="E703" t="str">
        <f t="shared" si="20"/>
        <v>['Argentina','Mexico',3,0],</v>
      </c>
      <c r="F703" t="str">
        <f t="shared" si="21"/>
        <v>['Mexico','Argentina',0,3],</v>
      </c>
    </row>
    <row r="704" spans="1:6" x14ac:dyDescent="0.25">
      <c r="A704" t="s">
        <v>11</v>
      </c>
      <c r="B704" t="s">
        <v>482</v>
      </c>
      <c r="C704">
        <v>1</v>
      </c>
      <c r="D704">
        <v>3</v>
      </c>
      <c r="E704" t="str">
        <f t="shared" si="20"/>
        <v>['Uruguay','Mexico',1,3],</v>
      </c>
      <c r="F704" t="str">
        <f t="shared" si="21"/>
        <v>['Mexico','Uruguay',3,1],</v>
      </c>
    </row>
    <row r="705" spans="1:6" x14ac:dyDescent="0.25">
      <c r="A705" t="s">
        <v>16</v>
      </c>
      <c r="B705" t="s">
        <v>19</v>
      </c>
      <c r="C705">
        <v>0</v>
      </c>
      <c r="D705">
        <v>3</v>
      </c>
      <c r="E705" t="str">
        <f t="shared" si="20"/>
        <v>['Argentina','Brazil',0,3],</v>
      </c>
      <c r="F705" t="str">
        <f t="shared" si="21"/>
        <v>['Brazil','Argentina',3,0],</v>
      </c>
    </row>
    <row r="706" spans="1:6" x14ac:dyDescent="0.25">
      <c r="A706" t="s">
        <v>16</v>
      </c>
      <c r="B706" t="s">
        <v>56</v>
      </c>
      <c r="C706">
        <v>1</v>
      </c>
      <c r="D706">
        <v>1</v>
      </c>
      <c r="E706" t="str">
        <f t="shared" si="20"/>
        <v>['Argentina','Bolivia',1,1],</v>
      </c>
      <c r="F706" t="str">
        <f t="shared" si="21"/>
        <v>['Bolivia','Argentina',1,1],</v>
      </c>
    </row>
    <row r="707" spans="1:6" x14ac:dyDescent="0.25">
      <c r="A707" t="s">
        <v>125</v>
      </c>
      <c r="B707" t="s">
        <v>319</v>
      </c>
      <c r="C707">
        <v>1</v>
      </c>
      <c r="D707">
        <v>0</v>
      </c>
      <c r="E707" t="str">
        <f t="shared" ref="E707:E747" si="22">"['"&amp;A707&amp;"','"&amp;B707&amp;"',"&amp;C707&amp;","&amp;D707&amp;"],"</f>
        <v>['Colombia','Costa Rica',1,0],</v>
      </c>
      <c r="F707" t="str">
        <f t="shared" ref="F707:F747" si="23">"['"&amp;B707&amp;"','"&amp;A707&amp;"',"&amp;D707&amp;","&amp;C707&amp;"],"</f>
        <v>['Costa Rica','Colombia',0,1],</v>
      </c>
    </row>
    <row r="708" spans="1:6" x14ac:dyDescent="0.25">
      <c r="A708" t="s">
        <v>211</v>
      </c>
      <c r="B708" t="s">
        <v>19</v>
      </c>
      <c r="C708">
        <v>0</v>
      </c>
      <c r="D708">
        <v>0</v>
      </c>
      <c r="E708" t="str">
        <f t="shared" si="22"/>
        <v>['Venezuela','Brazil',0,0],</v>
      </c>
      <c r="F708" t="str">
        <f t="shared" si="23"/>
        <v>['Brazil','Venezuela',0,0],</v>
      </c>
    </row>
    <row r="709" spans="1:6" x14ac:dyDescent="0.25">
      <c r="A709" t="s">
        <v>99</v>
      </c>
      <c r="B709" t="s">
        <v>43</v>
      </c>
      <c r="C709">
        <v>0</v>
      </c>
      <c r="D709">
        <v>0</v>
      </c>
      <c r="E709" t="str">
        <f t="shared" si="22"/>
        <v>['Ecuador','Paraguay',0,0],</v>
      </c>
      <c r="F709" t="str">
        <f t="shared" si="23"/>
        <v>['Paraguay','Ecuador',0,0],</v>
      </c>
    </row>
    <row r="710" spans="1:6" x14ac:dyDescent="0.25">
      <c r="A710" t="s">
        <v>10</v>
      </c>
      <c r="B710" t="s">
        <v>482</v>
      </c>
      <c r="C710">
        <v>2</v>
      </c>
      <c r="D710">
        <v>1</v>
      </c>
      <c r="E710" t="str">
        <f t="shared" si="22"/>
        <v>['Chile','Mexico',2,1],</v>
      </c>
      <c r="F710" t="str">
        <f t="shared" si="23"/>
        <v>['Mexico','Chile',1,2],</v>
      </c>
    </row>
    <row r="711" spans="1:6" x14ac:dyDescent="0.25">
      <c r="A711" t="s">
        <v>66</v>
      </c>
      <c r="B711" t="s">
        <v>11</v>
      </c>
      <c r="C711">
        <v>1</v>
      </c>
      <c r="D711">
        <v>1</v>
      </c>
      <c r="E711" t="str">
        <f t="shared" si="22"/>
        <v>['Peru','Uruguay',1,1],</v>
      </c>
      <c r="F711" t="str">
        <f t="shared" si="23"/>
        <v>['Uruguay','Peru',1,1],</v>
      </c>
    </row>
    <row r="712" spans="1:6" x14ac:dyDescent="0.25">
      <c r="A712" t="s">
        <v>16</v>
      </c>
      <c r="B712" t="s">
        <v>125</v>
      </c>
      <c r="C712">
        <v>0</v>
      </c>
      <c r="D712">
        <v>0</v>
      </c>
      <c r="E712" t="str">
        <f t="shared" si="22"/>
        <v>['Argentina','Colombia',0,0],</v>
      </c>
      <c r="F712" t="str">
        <f t="shared" si="23"/>
        <v>['Colombia','Argentina',0,0],</v>
      </c>
    </row>
    <row r="713" spans="1:6" x14ac:dyDescent="0.25">
      <c r="A713" t="s">
        <v>56</v>
      </c>
      <c r="B713" t="s">
        <v>319</v>
      </c>
      <c r="C713">
        <v>0</v>
      </c>
      <c r="D713">
        <v>2</v>
      </c>
      <c r="E713" t="str">
        <f t="shared" si="22"/>
        <v>['Bolivia','Costa Rica',0,2],</v>
      </c>
      <c r="F713" t="str">
        <f t="shared" si="23"/>
        <v>['Costa Rica','Bolivia',2,0],</v>
      </c>
    </row>
    <row r="714" spans="1:6" x14ac:dyDescent="0.25">
      <c r="A714" t="s">
        <v>10</v>
      </c>
      <c r="B714" t="s">
        <v>11</v>
      </c>
      <c r="C714">
        <v>1</v>
      </c>
      <c r="D714">
        <v>1</v>
      </c>
      <c r="E714" t="str">
        <f t="shared" si="22"/>
        <v>['Chile','Uruguay',1,1],</v>
      </c>
      <c r="F714" t="str">
        <f t="shared" si="23"/>
        <v>['Uruguay','Chile',1,1],</v>
      </c>
    </row>
    <row r="715" spans="1:6" x14ac:dyDescent="0.25">
      <c r="A715" t="s">
        <v>66</v>
      </c>
      <c r="B715" t="s">
        <v>482</v>
      </c>
      <c r="C715">
        <v>1</v>
      </c>
      <c r="D715">
        <v>0</v>
      </c>
      <c r="E715" t="str">
        <f t="shared" si="22"/>
        <v>['Peru','Mexico',1,0],</v>
      </c>
      <c r="F715" t="str">
        <f t="shared" si="23"/>
        <v>['Mexico','Peru',0,1],</v>
      </c>
    </row>
    <row r="716" spans="1:6" x14ac:dyDescent="0.25">
      <c r="A716" t="s">
        <v>99</v>
      </c>
      <c r="B716" t="s">
        <v>211</v>
      </c>
      <c r="C716">
        <v>0</v>
      </c>
      <c r="D716">
        <v>1</v>
      </c>
      <c r="E716" t="str">
        <f t="shared" si="22"/>
        <v>['Ecuador','Venezuela',0,1],</v>
      </c>
      <c r="F716" t="str">
        <f t="shared" si="23"/>
        <v>['Venezuela','Ecuador',1,0],</v>
      </c>
    </row>
    <row r="717" spans="1:6" x14ac:dyDescent="0.25">
      <c r="A717" t="s">
        <v>43</v>
      </c>
      <c r="B717" t="s">
        <v>19</v>
      </c>
      <c r="C717">
        <v>2</v>
      </c>
      <c r="D717">
        <v>2</v>
      </c>
      <c r="E717" t="str">
        <f t="shared" si="22"/>
        <v>['Paraguay','Brazil',2,2],</v>
      </c>
      <c r="F717" t="str">
        <f t="shared" si="23"/>
        <v>['Brazil','Paraguay',2,2],</v>
      </c>
    </row>
    <row r="718" spans="1:6" x14ac:dyDescent="0.25">
      <c r="A718" t="s">
        <v>56</v>
      </c>
      <c r="B718" t="s">
        <v>125</v>
      </c>
      <c r="C718">
        <v>0</v>
      </c>
      <c r="D718">
        <v>2</v>
      </c>
      <c r="E718" t="str">
        <f t="shared" si="22"/>
        <v>['Bolivia','Colombia',0,2],</v>
      </c>
      <c r="F718" t="str">
        <f t="shared" si="23"/>
        <v>['Colombia','Bolivia',2,0],</v>
      </c>
    </row>
    <row r="719" spans="1:6" x14ac:dyDescent="0.25">
      <c r="A719" t="s">
        <v>16</v>
      </c>
      <c r="B719" t="s">
        <v>319</v>
      </c>
      <c r="C719">
        <v>3</v>
      </c>
      <c r="D719">
        <v>0</v>
      </c>
      <c r="E719" t="str">
        <f t="shared" si="22"/>
        <v>['Argentina','Costa Rica',3,0],</v>
      </c>
      <c r="F719" t="str">
        <f t="shared" si="23"/>
        <v>['Costa Rica','Argentina',0,3],</v>
      </c>
    </row>
    <row r="720" spans="1:6" x14ac:dyDescent="0.25">
      <c r="A720" t="s">
        <v>10</v>
      </c>
      <c r="B720" t="s">
        <v>66</v>
      </c>
      <c r="C720">
        <v>1</v>
      </c>
      <c r="D720">
        <v>0</v>
      </c>
      <c r="E720" t="str">
        <f t="shared" si="22"/>
        <v>['Chile','Peru',1,0],</v>
      </c>
      <c r="F720" t="str">
        <f t="shared" si="23"/>
        <v>['Peru','Chile',0,1],</v>
      </c>
    </row>
    <row r="721" spans="1:6" x14ac:dyDescent="0.25">
      <c r="A721" t="s">
        <v>11</v>
      </c>
      <c r="B721" t="s">
        <v>482</v>
      </c>
      <c r="C721">
        <v>1</v>
      </c>
      <c r="D721">
        <v>0</v>
      </c>
      <c r="E721" t="str">
        <f t="shared" si="22"/>
        <v>['Uruguay','Mexico',1,0],</v>
      </c>
      <c r="F721" t="str">
        <f t="shared" si="23"/>
        <v>['Mexico','Uruguay',0,1],</v>
      </c>
    </row>
    <row r="722" spans="1:6" x14ac:dyDescent="0.25">
      <c r="A722" t="s">
        <v>43</v>
      </c>
      <c r="B722" t="s">
        <v>211</v>
      </c>
      <c r="C722">
        <v>3</v>
      </c>
      <c r="D722">
        <v>3</v>
      </c>
      <c r="E722" t="str">
        <f t="shared" si="22"/>
        <v>['Paraguay','Venezuela',3,3],</v>
      </c>
      <c r="F722" t="str">
        <f t="shared" si="23"/>
        <v>['Venezuela','Paraguay',3,3],</v>
      </c>
    </row>
    <row r="723" spans="1:6" x14ac:dyDescent="0.25">
      <c r="A723" t="s">
        <v>99</v>
      </c>
      <c r="B723" t="s">
        <v>19</v>
      </c>
      <c r="C723">
        <v>2</v>
      </c>
      <c r="D723">
        <v>4</v>
      </c>
      <c r="E723" t="str">
        <f t="shared" si="22"/>
        <v>['Ecuador','Brazil',2,4],</v>
      </c>
      <c r="F723" t="str">
        <f t="shared" si="23"/>
        <v>['Brazil','Ecuador',4,2],</v>
      </c>
    </row>
    <row r="724" spans="1:6" x14ac:dyDescent="0.25">
      <c r="A724" t="s">
        <v>125</v>
      </c>
      <c r="B724" t="s">
        <v>66</v>
      </c>
      <c r="C724">
        <v>0</v>
      </c>
      <c r="D724">
        <v>2</v>
      </c>
      <c r="E724" t="str">
        <f t="shared" si="22"/>
        <v>['Colombia','Peru',0,2],</v>
      </c>
      <c r="F724" t="str">
        <f t="shared" si="23"/>
        <v>['Peru','Colombia',2,0],</v>
      </c>
    </row>
    <row r="725" spans="1:6" x14ac:dyDescent="0.25">
      <c r="A725" t="s">
        <v>16</v>
      </c>
      <c r="B725" t="s">
        <v>11</v>
      </c>
      <c r="C725">
        <v>1</v>
      </c>
      <c r="D725">
        <v>1</v>
      </c>
      <c r="E725" t="str">
        <f t="shared" si="22"/>
        <v>['Argentina','Uruguay',1,1],</v>
      </c>
      <c r="F725" t="str">
        <f t="shared" si="23"/>
        <v>['Uruguay','Argentina',1,1],</v>
      </c>
    </row>
    <row r="726" spans="1:6" x14ac:dyDescent="0.25">
      <c r="A726" t="s">
        <v>43</v>
      </c>
      <c r="B726" t="s">
        <v>19</v>
      </c>
      <c r="C726">
        <v>0</v>
      </c>
      <c r="D726">
        <v>0</v>
      </c>
      <c r="E726" t="str">
        <f t="shared" si="22"/>
        <v>['Paraguay','Brazil',0,0],</v>
      </c>
      <c r="F726" t="str">
        <f t="shared" si="23"/>
        <v>['Brazil','Paraguay',0,0],</v>
      </c>
    </row>
    <row r="727" spans="1:6" x14ac:dyDescent="0.25">
      <c r="A727" t="s">
        <v>10</v>
      </c>
      <c r="B727" t="s">
        <v>211</v>
      </c>
      <c r="C727">
        <v>1</v>
      </c>
      <c r="D727">
        <v>2</v>
      </c>
      <c r="E727" t="str">
        <f t="shared" si="22"/>
        <v>['Chile','Venezuela',1,2],</v>
      </c>
      <c r="F727" t="str">
        <f t="shared" si="23"/>
        <v>['Venezuela','Chile',2,1],</v>
      </c>
    </row>
    <row r="728" spans="1:6" x14ac:dyDescent="0.25">
      <c r="A728" t="s">
        <v>66</v>
      </c>
      <c r="B728" t="s">
        <v>11</v>
      </c>
      <c r="C728">
        <v>0</v>
      </c>
      <c r="D728">
        <v>2</v>
      </c>
      <c r="E728" t="str">
        <f t="shared" si="22"/>
        <v>['Peru','Uruguay',0,2],</v>
      </c>
      <c r="F728" t="str">
        <f t="shared" si="23"/>
        <v>['Uruguay','Peru',2,0],</v>
      </c>
    </row>
    <row r="729" spans="1:6" x14ac:dyDescent="0.25">
      <c r="A729" t="s">
        <v>43</v>
      </c>
      <c r="B729" t="s">
        <v>211</v>
      </c>
      <c r="C729">
        <v>0</v>
      </c>
      <c r="D729">
        <v>0</v>
      </c>
      <c r="E729" t="str">
        <f t="shared" si="22"/>
        <v>['Paraguay','Venezuela',0,0],</v>
      </c>
      <c r="F729" t="str">
        <f t="shared" si="23"/>
        <v>['Venezuela','Paraguay',0,0],</v>
      </c>
    </row>
    <row r="730" spans="1:6" x14ac:dyDescent="0.25">
      <c r="A730" t="s">
        <v>66</v>
      </c>
      <c r="B730" t="s">
        <v>211</v>
      </c>
      <c r="C730">
        <v>4</v>
      </c>
      <c r="D730">
        <v>1</v>
      </c>
      <c r="E730" t="str">
        <f t="shared" si="22"/>
        <v>['Peru','Venezuela',4,1],</v>
      </c>
      <c r="F730" t="str">
        <f t="shared" si="23"/>
        <v>['Venezuela','Peru',1,4],</v>
      </c>
    </row>
    <row r="731" spans="1:6" x14ac:dyDescent="0.25">
      <c r="A731" t="s">
        <v>43</v>
      </c>
      <c r="B731" t="s">
        <v>11</v>
      </c>
      <c r="C731">
        <v>0</v>
      </c>
      <c r="D731">
        <v>3</v>
      </c>
      <c r="E731" t="str">
        <f t="shared" si="22"/>
        <v>['Paraguay','Uruguay',0,3],</v>
      </c>
      <c r="F731" t="str">
        <f t="shared" si="23"/>
        <v>['Uruguay','Paraguay',3,0],</v>
      </c>
    </row>
    <row r="732" spans="1:6" x14ac:dyDescent="0.25">
      <c r="A732" t="s">
        <v>10</v>
      </c>
      <c r="B732" t="s">
        <v>99</v>
      </c>
      <c r="C732">
        <v>2</v>
      </c>
      <c r="D732">
        <v>0</v>
      </c>
      <c r="E732" t="str">
        <f t="shared" si="22"/>
        <v>['Chile','Ecuador',2,0],</v>
      </c>
      <c r="F732" t="str">
        <f t="shared" si="23"/>
        <v>['Ecuador','Chile',0,2],</v>
      </c>
    </row>
    <row r="733" spans="1:6" x14ac:dyDescent="0.25">
      <c r="A733" t="s">
        <v>56</v>
      </c>
      <c r="B733" t="s">
        <v>482</v>
      </c>
      <c r="C733">
        <v>0</v>
      </c>
      <c r="D733">
        <v>0</v>
      </c>
      <c r="E733" t="str">
        <f t="shared" si="22"/>
        <v>['Bolivia','Mexico',0,0],</v>
      </c>
      <c r="F733" t="str">
        <f t="shared" si="23"/>
        <v>['Mexico','Bolivia',0,0],</v>
      </c>
    </row>
    <row r="734" spans="1:6" x14ac:dyDescent="0.25">
      <c r="A734" t="s">
        <v>11</v>
      </c>
      <c r="B734" t="s">
        <v>396</v>
      </c>
      <c r="C734">
        <v>1</v>
      </c>
      <c r="D734">
        <v>0</v>
      </c>
      <c r="E734" t="str">
        <f t="shared" si="22"/>
        <v>['Uruguay','Jamaica',1,0],</v>
      </c>
      <c r="F734" t="str">
        <f t="shared" si="23"/>
        <v>['Jamaica','Uruguay',0,1],</v>
      </c>
    </row>
    <row r="735" spans="1:6" x14ac:dyDescent="0.25">
      <c r="A735" t="s">
        <v>16</v>
      </c>
      <c r="B735" t="s">
        <v>43</v>
      </c>
      <c r="C735">
        <v>2</v>
      </c>
      <c r="D735">
        <v>2</v>
      </c>
      <c r="E735" t="str">
        <f t="shared" si="22"/>
        <v>['Argentina','Paraguay',2,2],</v>
      </c>
      <c r="F735" t="str">
        <f t="shared" si="23"/>
        <v>['Paraguay','Argentina',2,2],</v>
      </c>
    </row>
    <row r="736" spans="1:6" x14ac:dyDescent="0.25">
      <c r="A736" t="s">
        <v>66</v>
      </c>
      <c r="B736" t="s">
        <v>19</v>
      </c>
      <c r="C736">
        <v>1</v>
      </c>
      <c r="D736">
        <v>2</v>
      </c>
      <c r="E736" t="str">
        <f t="shared" si="22"/>
        <v>['Peru','Brazil',1,2],</v>
      </c>
      <c r="F736" t="str">
        <f t="shared" si="23"/>
        <v>['Brazil','Peru',2,1],</v>
      </c>
    </row>
    <row r="737" spans="1:6" x14ac:dyDescent="0.25">
      <c r="A737" t="s">
        <v>125</v>
      </c>
      <c r="B737" t="s">
        <v>211</v>
      </c>
      <c r="C737">
        <v>0</v>
      </c>
      <c r="D737">
        <v>1</v>
      </c>
      <c r="E737" t="str">
        <f t="shared" si="22"/>
        <v>['Colombia','Venezuela',0,1],</v>
      </c>
      <c r="F737" t="str">
        <f t="shared" si="23"/>
        <v>['Venezuela','Colombia',1,0],</v>
      </c>
    </row>
    <row r="738" spans="1:6" x14ac:dyDescent="0.25">
      <c r="A738" t="s">
        <v>10</v>
      </c>
      <c r="B738" t="s">
        <v>482</v>
      </c>
      <c r="C738">
        <v>3</v>
      </c>
      <c r="D738">
        <v>3</v>
      </c>
      <c r="E738" t="str">
        <f t="shared" si="22"/>
        <v>['Chile','Mexico',3,3],</v>
      </c>
      <c r="F738" t="str">
        <f t="shared" si="23"/>
        <v>['Mexico','Chile',3,3],</v>
      </c>
    </row>
    <row r="739" spans="1:6" x14ac:dyDescent="0.25">
      <c r="A739" t="s">
        <v>56</v>
      </c>
      <c r="B739" t="s">
        <v>99</v>
      </c>
      <c r="C739">
        <v>3</v>
      </c>
      <c r="D739">
        <v>2</v>
      </c>
      <c r="E739" t="str">
        <f t="shared" si="22"/>
        <v>['Bolivia','Ecuador',3,2],</v>
      </c>
      <c r="F739" t="str">
        <f t="shared" si="23"/>
        <v>['Ecuador','Bolivia',2,3],</v>
      </c>
    </row>
    <row r="740" spans="1:6" x14ac:dyDescent="0.25">
      <c r="A740" t="s">
        <v>16</v>
      </c>
      <c r="B740" t="s">
        <v>11</v>
      </c>
      <c r="C740">
        <v>1</v>
      </c>
      <c r="D740">
        <v>0</v>
      </c>
      <c r="E740" t="str">
        <f t="shared" si="22"/>
        <v>['Argentina','Uruguay',1,0],</v>
      </c>
      <c r="F740" t="str">
        <f t="shared" si="23"/>
        <v>['Uruguay','Argentina',0,1],</v>
      </c>
    </row>
    <row r="741" spans="1:6" x14ac:dyDescent="0.25">
      <c r="A741" t="s">
        <v>43</v>
      </c>
      <c r="B741" t="s">
        <v>396</v>
      </c>
      <c r="C741">
        <v>1</v>
      </c>
      <c r="D741">
        <v>0</v>
      </c>
      <c r="E741" t="str">
        <f t="shared" si="22"/>
        <v>['Paraguay','Jamaica',1,0],</v>
      </c>
      <c r="F741" t="str">
        <f t="shared" si="23"/>
        <v>['Jamaica','Paraguay',0,1],</v>
      </c>
    </row>
    <row r="742" spans="1:6" x14ac:dyDescent="0.25">
      <c r="A742" t="s">
        <v>125</v>
      </c>
      <c r="B742" t="s">
        <v>19</v>
      </c>
      <c r="C742">
        <v>1</v>
      </c>
      <c r="D742">
        <v>0</v>
      </c>
      <c r="E742" t="str">
        <f t="shared" si="22"/>
        <v>['Colombia','Brazil',1,0],</v>
      </c>
      <c r="F742" t="str">
        <f t="shared" si="23"/>
        <v>['Brazil','Colombia',0,1],</v>
      </c>
    </row>
    <row r="743" spans="1:6" x14ac:dyDescent="0.25">
      <c r="A743" t="s">
        <v>66</v>
      </c>
      <c r="B743" t="s">
        <v>211</v>
      </c>
      <c r="C743">
        <v>1</v>
      </c>
      <c r="D743">
        <v>0</v>
      </c>
      <c r="E743" t="str">
        <f t="shared" si="22"/>
        <v>['Peru','Venezuela',1,0],</v>
      </c>
      <c r="F743" t="str">
        <f t="shared" si="23"/>
        <v>['Venezuela','Peru',0,1],</v>
      </c>
    </row>
    <row r="744" spans="1:6" x14ac:dyDescent="0.25">
      <c r="A744" t="s">
        <v>56</v>
      </c>
      <c r="B744" t="s">
        <v>10</v>
      </c>
      <c r="C744">
        <v>0</v>
      </c>
      <c r="D744">
        <v>5</v>
      </c>
      <c r="E744" t="str">
        <f t="shared" si="22"/>
        <v>['Bolivia','Chile',0,5],</v>
      </c>
      <c r="F744" t="str">
        <f t="shared" si="23"/>
        <v>['Chile','Bolivia',5,0],</v>
      </c>
    </row>
    <row r="745" spans="1:6" x14ac:dyDescent="0.25">
      <c r="A745" t="s">
        <v>99</v>
      </c>
      <c r="B745" t="s">
        <v>482</v>
      </c>
      <c r="C745">
        <v>1</v>
      </c>
      <c r="D745">
        <v>2</v>
      </c>
      <c r="E745" t="str">
        <f t="shared" si="22"/>
        <v>['Ecuador','Mexico',1,2],</v>
      </c>
      <c r="F745" t="str">
        <f t="shared" si="23"/>
        <v>['Mexico','Ecuador',2,1],</v>
      </c>
    </row>
    <row r="746" spans="1:6" x14ac:dyDescent="0.25">
      <c r="A746" t="s">
        <v>16</v>
      </c>
      <c r="B746" t="s">
        <v>396</v>
      </c>
      <c r="C746">
        <v>1</v>
      </c>
      <c r="D746">
        <v>0</v>
      </c>
      <c r="E746" t="str">
        <f t="shared" si="22"/>
        <v>['Argentina','Jamaica',1,0],</v>
      </c>
      <c r="F746" t="str">
        <f t="shared" si="23"/>
        <v>['Jamaica','Argentina',0,1],</v>
      </c>
    </row>
    <row r="747" spans="1:6" x14ac:dyDescent="0.25">
      <c r="A747" t="s">
        <v>43</v>
      </c>
      <c r="B747" t="s">
        <v>11</v>
      </c>
      <c r="C747">
        <v>1</v>
      </c>
      <c r="D747">
        <v>1</v>
      </c>
      <c r="E747" t="str">
        <f>"['"&amp;A747&amp;"','"&amp;B747&amp;"',"&amp;C747&amp;","&amp;D747&amp;"]"</f>
        <v>['Paraguay','Uruguay',1,1]</v>
      </c>
      <c r="F747" t="str">
        <f>"['"&amp;B747&amp;"','"&amp;A747&amp;"',"&amp;D747&amp;","&amp;C747&amp;"]"</f>
        <v>['Uruguay','Paraguay',1,1]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Hoja4</vt:lpstr>
      <vt:lpstr>Hoja1</vt:lpstr>
      <vt:lpstr>Hoja2</vt:lpstr>
      <vt:lpstr>Paises</vt:lpstr>
      <vt:lpstr>Matriz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Mauricio Clavijo Abril</dc:creator>
  <cp:lastModifiedBy>Orlando Andres Saavedra Cuenca</cp:lastModifiedBy>
  <dcterms:created xsi:type="dcterms:W3CDTF">2015-07-17T16:03:08Z</dcterms:created>
  <dcterms:modified xsi:type="dcterms:W3CDTF">2015-07-21T21:26:19Z</dcterms:modified>
</cp:coreProperties>
</file>