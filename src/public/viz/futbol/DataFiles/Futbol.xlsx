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1"/>
  </bookViews>
  <sheets>
    <sheet name="Hoja6" sheetId="1" state="visible" r:id="rId2"/>
    <sheet name="Dataset" sheetId="2" state="visible" r:id="rId3"/>
    <sheet name="Argentina" sheetId="3" state="visible" r:id="rId4"/>
    <sheet name="Bolivia" sheetId="4" state="visible" r:id="rId5"/>
    <sheet name="Brazil" sheetId="5" state="visible" r:id="rId6"/>
    <sheet name="Chile" sheetId="6" state="visible" r:id="rId7"/>
    <sheet name="Colombia" sheetId="7" state="visible" r:id="rId8"/>
    <sheet name="CostaRica" sheetId="8" state="visible" r:id="rId9"/>
    <sheet name="Ecuador" sheetId="9" state="visible" r:id="rId10"/>
    <sheet name="Honduras" sheetId="10" state="visible" r:id="rId11"/>
    <sheet name="Jamaica" sheetId="11" state="visible" r:id="rId12"/>
    <sheet name="Japon" sheetId="12" state="visible" r:id="rId13"/>
    <sheet name="Mexico" sheetId="13" state="visible" r:id="rId14"/>
    <sheet name="Paraguay" sheetId="14" state="visible" r:id="rId15"/>
    <sheet name="Peru" sheetId="15" state="visible" r:id="rId16"/>
    <sheet name="USA" sheetId="16" state="visible" r:id="rId17"/>
    <sheet name="Uruguay" sheetId="17" state="visible" r:id="rId18"/>
    <sheet name="Venezuela" sheetId="18" state="visible" r:id="rId19"/>
  </sheets>
  <definedNames>
    <definedName function="false" hidden="true" localSheetId="1" name="_xlnm._FilterDatabase" vbProcedure="false">Dataset!$A$1:$H$747</definedName>
    <definedName function="false" hidden="false" localSheetId="1" name="_xlnm._FilterDatabase" vbProcedure="false">Dataset!$A$1:$H$747</definedName>
    <definedName function="false" hidden="false" localSheetId="1" name="_xlnm._FilterDatabase_0" vbProcedure="false">Dataset!$A$1:$H$747</definedName>
  </definedNames>
  <calcPr iterateCount="100" refMode="A1" iterate="false" iterateDelta="0.0001"/>
  <pivotCaches>
    <pivotCache cacheId="1" r:id="rId21"/>
  </pivotCaches>
</workbook>
</file>

<file path=xl/sharedStrings.xml><?xml version="1.0" encoding="utf-8"?>
<sst xmlns="http://schemas.openxmlformats.org/spreadsheetml/2006/main" count="3263" uniqueCount="165">
  <si>
    <t>Equipo2</t>
  </si>
  <si>
    <t>(empty)</t>
  </si>
  <si>
    <t>Argentina</t>
  </si>
  <si>
    <t>Bolivia</t>
  </si>
  <si>
    <t>Brazil</t>
  </si>
  <si>
    <t>Chile</t>
  </si>
  <si>
    <t>Colombia</t>
  </si>
  <si>
    <t>Costa Rica</t>
  </si>
  <si>
    <t>Ecuador</t>
  </si>
  <si>
    <t>Honduras</t>
  </si>
  <si>
    <t>Jamaica</t>
  </si>
  <si>
    <t>Japan</t>
  </si>
  <si>
    <t>México</t>
  </si>
  <si>
    <t>Paraguay</t>
  </si>
  <si>
    <t>Peru</t>
  </si>
  <si>
    <t>U.S.A.</t>
  </si>
  <si>
    <t>Uruguay</t>
  </si>
  <si>
    <t>USA</t>
  </si>
  <si>
    <t>Venezuela</t>
  </si>
  <si>
    <t>Total Result</t>
  </si>
  <si>
    <t>Fecha</t>
  </si>
  <si>
    <t>Equipo1</t>
  </si>
  <si>
    <t>GolE1</t>
  </si>
  <si>
    <t>GolE2</t>
  </si>
  <si>
    <t>Copa_América</t>
  </si>
  <si>
    <t>Winner </t>
  </si>
  <si>
    <t>Loser</t>
  </si>
  <si>
    <t>Ganados</t>
  </si>
  <si>
    <t>02dec1923</t>
  </si>
  <si>
    <t>06dec1925</t>
  </si>
  <si>
    <t>13dec1925</t>
  </si>
  <si>
    <t>17dec1925</t>
  </si>
  <si>
    <t>20dec1925</t>
  </si>
  <si>
    <t>25dec1925</t>
  </si>
  <si>
    <t>06jan1935</t>
  </si>
  <si>
    <t>13jan1935</t>
  </si>
  <si>
    <t>18jan1935</t>
  </si>
  <si>
    <t>20jan1935</t>
  </si>
  <si>
    <t>26jan1935</t>
  </si>
  <si>
    <t>27jan1935</t>
  </si>
  <si>
    <t>27dec1936</t>
  </si>
  <si>
    <t>30dec1936</t>
  </si>
  <si>
    <t>02jan1937</t>
  </si>
  <si>
    <t>03jan1937</t>
  </si>
  <si>
    <t>06jan1937</t>
  </si>
  <si>
    <t>09jan1937</t>
  </si>
  <si>
    <t>10jan1937</t>
  </si>
  <si>
    <t>13jan1937</t>
  </si>
  <si>
    <t>16jan1937</t>
  </si>
  <si>
    <t>17jan1937</t>
  </si>
  <si>
    <t>19jan1937</t>
  </si>
  <si>
    <t>21jan1937</t>
  </si>
  <si>
    <t>23jan1937</t>
  </si>
  <si>
    <t>24jan1937</t>
  </si>
  <si>
    <t>30jan1937</t>
  </si>
  <si>
    <t>15jan1939</t>
  </si>
  <si>
    <t>22jan1939</t>
  </si>
  <si>
    <t>29jan1939</t>
  </si>
  <si>
    <t>10jan1942</t>
  </si>
  <si>
    <t>11jan1942</t>
  </si>
  <si>
    <t>14jan1942</t>
  </si>
  <si>
    <t>17jan1942</t>
  </si>
  <si>
    <t>18jan1942</t>
  </si>
  <si>
    <t>21jan1942</t>
  </si>
  <si>
    <t>22jan1942</t>
  </si>
  <si>
    <t>24jan1942</t>
  </si>
  <si>
    <t>25jan1942</t>
  </si>
  <si>
    <t>28jan1942</t>
  </si>
  <si>
    <t>31jan1942</t>
  </si>
  <si>
    <t>14jan1945</t>
  </si>
  <si>
    <t>18jan1945</t>
  </si>
  <si>
    <t>21jan1945</t>
  </si>
  <si>
    <t>24jan1945</t>
  </si>
  <si>
    <t>28jan1945</t>
  </si>
  <si>
    <t>31jan1945</t>
  </si>
  <si>
    <t>12jan1946</t>
  </si>
  <si>
    <t>16jan1946</t>
  </si>
  <si>
    <t>19jan1946</t>
  </si>
  <si>
    <t>23jan1946</t>
  </si>
  <si>
    <t>26jan1946</t>
  </si>
  <si>
    <t>29jan1946</t>
  </si>
  <si>
    <t>02dec1947</t>
  </si>
  <si>
    <t>04dec1947</t>
  </si>
  <si>
    <t>06dec1947</t>
  </si>
  <si>
    <t>09dec1947</t>
  </si>
  <si>
    <t>11dec1947</t>
  </si>
  <si>
    <t>13dec1947</t>
  </si>
  <si>
    <t>16dec1947</t>
  </si>
  <si>
    <t>18dec1947</t>
  </si>
  <si>
    <t>20dec1947</t>
  </si>
  <si>
    <t>23dec1947</t>
  </si>
  <si>
    <t>25dec1947</t>
  </si>
  <si>
    <t>26dec1947</t>
  </si>
  <si>
    <t>27dec1947</t>
  </si>
  <si>
    <t>28dec1947</t>
  </si>
  <si>
    <t>29dec1947</t>
  </si>
  <si>
    <t>31dec1947</t>
  </si>
  <si>
    <t>03apr1949</t>
  </si>
  <si>
    <t>06apr1949</t>
  </si>
  <si>
    <t>10apr1949</t>
  </si>
  <si>
    <t>13apr1949</t>
  </si>
  <si>
    <t>17apr1949</t>
  </si>
  <si>
    <t>20apr1949</t>
  </si>
  <si>
    <t>24apr1949</t>
  </si>
  <si>
    <t>27apr1949</t>
  </si>
  <si>
    <t>30apr1949</t>
  </si>
  <si>
    <t>01apr1953</t>
  </si>
  <si>
    <t>21jan1956</t>
  </si>
  <si>
    <t>22jan1956</t>
  </si>
  <si>
    <t>24jan1956</t>
  </si>
  <si>
    <t>28jan1956</t>
  </si>
  <si>
    <t>29jan1956</t>
  </si>
  <si>
    <t>01apr1957</t>
  </si>
  <si>
    <t>03apr1957</t>
  </si>
  <si>
    <t>06apr1957</t>
  </si>
  <si>
    <t>02apr1959</t>
  </si>
  <si>
    <t>04apr1959</t>
  </si>
  <si>
    <t>05dec1959</t>
  </si>
  <si>
    <t>06dec1959</t>
  </si>
  <si>
    <t>09dec1959</t>
  </si>
  <si>
    <t>12dec1959</t>
  </si>
  <si>
    <t>16dec1959</t>
  </si>
  <si>
    <t>19dec1959</t>
  </si>
  <si>
    <t>22dec1959</t>
  </si>
  <si>
    <t>25dec1959</t>
  </si>
  <si>
    <t>11dec1966</t>
  </si>
  <si>
    <t>21dec1966</t>
  </si>
  <si>
    <t>28dec1966</t>
  </si>
  <si>
    <t>13jan1967</t>
  </si>
  <si>
    <t>18jan1967</t>
  </si>
  <si>
    <t>21jan1967</t>
  </si>
  <si>
    <t>22jan1967</t>
  </si>
  <si>
    <t>25jan1967</t>
  </si>
  <si>
    <t>26jan1967</t>
  </si>
  <si>
    <t>28jan1967</t>
  </si>
  <si>
    <t>29jan1967</t>
  </si>
  <si>
    <t>03aug1975</t>
  </si>
  <si>
    <t>06aug1975</t>
  </si>
  <si>
    <t>07aug1975</t>
  </si>
  <si>
    <t>10aug1975</t>
  </si>
  <si>
    <t>13aug1975</t>
  </si>
  <si>
    <t>16aug1975</t>
  </si>
  <si>
    <t>20aug1975</t>
  </si>
  <si>
    <t>01aug1979</t>
  </si>
  <si>
    <t>02aug1979</t>
  </si>
  <si>
    <t>08aug1979</t>
  </si>
  <si>
    <t>15aug1979</t>
  </si>
  <si>
    <t>16aug1979</t>
  </si>
  <si>
    <t>22aug1979</t>
  </si>
  <si>
    <t>23aug1979</t>
  </si>
  <si>
    <t>29aug1979</t>
  </si>
  <si>
    <t>05dec1979</t>
  </si>
  <si>
    <t>11dec1979</t>
  </si>
  <si>
    <t>10aug1983</t>
  </si>
  <si>
    <t>14aug1983</t>
  </si>
  <si>
    <t>17aug1983</t>
  </si>
  <si>
    <t>21aug1983</t>
  </si>
  <si>
    <t>24aug1983</t>
  </si>
  <si>
    <t>28aug1983</t>
  </si>
  <si>
    <t>31aug1983</t>
  </si>
  <si>
    <t>Win</t>
  </si>
  <si>
    <t>Lose</t>
  </si>
  <si>
    <t>Target</t>
  </si>
  <si>
    <t>Source</t>
  </si>
  <si>
    <t>United States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</si>
</sst>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ivot Table Corner" xfId="20" builtinId="53" customBuiltin="true"/>
    <cellStyle name="Pivot Table Value" xfId="21" builtinId="53" customBuiltin="true"/>
    <cellStyle name="Pivot Table Field" xfId="22" builtinId="53" customBuiltin="true"/>
    <cellStyle name="Pivot Table Category" xfId="23" builtinId="53" customBuiltin="true"/>
    <cellStyle name="Pivot Table Title" xfId="24" builtinId="53" customBuiltin="true"/>
    <cellStyle name="Pivot Table Result" xfId="25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46">
  <cacheSource type="worksheet">
    <worksheetSource ref="A1:H747" sheet="Dataset"/>
  </cacheSource>
  <cacheFields count="8">
    <cacheField name="Fecha" numFmtId="0">
      <sharedItems count="514">
        <n v="6028"/>
        <n v="6032"/>
        <n v="6034"/>
        <n v="6036"/>
        <n v="6038"/>
        <n v="6043"/>
        <n v="6483"/>
        <n v="6486"/>
        <n v="6489"/>
        <n v="6490"/>
        <n v="6495"/>
        <n v="6497"/>
        <n v="7071"/>
        <n v="7073"/>
        <n v="7077"/>
        <n v="7078"/>
        <n v="7082"/>
        <n v="7085"/>
        <n v="7089"/>
        <n v="7560"/>
        <n v="7561"/>
        <n v="7567"/>
        <n v="7569"/>
        <n v="7574"/>
        <n v="7575"/>
        <n v="7946"/>
        <n v="7953"/>
        <n v="7956"/>
        <n v="7960"/>
        <n v="7967"/>
        <n v="7974"/>
        <n v="8296"/>
        <n v="8302"/>
        <n v="8303"/>
        <n v="8307"/>
        <n v="8310"/>
        <n v="8314"/>
        <n v="8317"/>
        <n v="8321"/>
        <n v="8324"/>
        <n v="8327"/>
        <n v="8331"/>
        <n v="8702"/>
        <n v="8709"/>
        <n v="8716"/>
        <n v="8723"/>
        <n v="8730"/>
        <n v="9052"/>
        <n v="9059"/>
        <n v="9065"/>
        <n v="9066"/>
        <n v="9072"/>
        <n v="9073"/>
        <n v="9465"/>
        <n v="9782"/>
        <n v="9786"/>
        <n v="9787"/>
        <n v="9790"/>
        <n v="9793"/>
        <n v="9794"/>
        <n v="9798"/>
        <n v="9801"/>
        <n v="9802"/>
        <n v="9804"/>
        <n v="10165"/>
        <n v="10167"/>
        <n v="10172"/>
        <n v="10175"/>
        <n v="10179"/>
        <n v="10186"/>
        <n v="10193"/>
        <n v="10898"/>
        <n v="10900"/>
        <n v="10907"/>
        <n v="10908"/>
        <n v="10913"/>
        <n v="10914"/>
        <n v="13547"/>
        <n v="14281"/>
        <n v="14288"/>
        <n v="15009"/>
        <n v="15016"/>
        <n v="15019"/>
        <n v="15023"/>
        <n v="15030"/>
        <n v="15033"/>
        <n v="15039"/>
        <n v="15373"/>
        <n v="15377"/>
        <n v="15379"/>
        <n v="16475"/>
        <n v="16479"/>
        <n v="16483"/>
        <n v="16486"/>
        <n v="16489"/>
        <n v="16493"/>
        <n v="16496"/>
        <n v="16835"/>
        <n v="16836"/>
        <n v="16841"/>
        <n v="16843"/>
        <n v="17501"/>
        <n v="18021"/>
        <n v="18022"/>
        <n v="18024"/>
        <n v="18026"/>
        <n v="18029"/>
        <n v="19412"/>
        <n v="19415"/>
        <n v="19418"/>
        <n v="19419"/>
        <n v="19422"/>
        <n v="19426"/>
        <n v="19430"/>
        <n v="19433"/>
        <n v="19434"/>
        <n v="19437"/>
        <n v="19441"/>
        <n v="19445"/>
        <n v="19446"/>
        <n v="20147"/>
        <n v="20150"/>
        <n v="20154"/>
        <n v="20157"/>
        <n v="20161"/>
        <n v="20164"/>
        <n v="20168"/>
        <n v="20171"/>
        <n v="20175"/>
        <n v="20178"/>
        <n v="20486"/>
        <n v="20490"/>
        <n v="20491"/>
        <n v="20494"/>
        <n v="20495"/>
        <n v="20497"/>
        <n v="20500"/>
        <n v="20886"/>
        <n v="20889"/>
        <n v="20892"/>
        <n v="20895"/>
        <n v="20896"/>
        <n v="20899"/>
        <n v="20900"/>
        <n v="20902"/>
        <n v="20903"/>
        <n v="20906"/>
        <n v="20907"/>
        <n v="20910"/>
        <n v="21616"/>
        <n v="21617"/>
        <n v="21619"/>
        <n v="21620"/>
        <n v="21623"/>
        <n v="21624"/>
        <n v="21627"/>
        <n v="21630"/>
        <n v="21631"/>
        <n v="21635"/>
        <n v="21638"/>
        <n v="21639"/>
        <n v="23080"/>
        <n v="23083"/>
        <n v="23084"/>
        <n v="23087"/>
        <n v="23090"/>
        <n v="23091"/>
        <n v="23094"/>
        <n v="23097"/>
        <n v="23098"/>
        <n v="23101"/>
        <n v="24441"/>
        <n v="24504"/>
        <n v="24505"/>
        <n v="27592"/>
        <n v="27595"/>
        <n v="27599"/>
        <n v="27602"/>
        <n v="27605"/>
        <n v="27606"/>
        <n v="27658"/>
        <n v="27667"/>
        <n v="27668"/>
        <n v="27671"/>
        <n v="27683"/>
        <n v="27689"/>
        <n v="27695"/>
        <n v="29054"/>
        <n v="29062"/>
        <n v="29103"/>
        <n v="29111"/>
        <n v="29114"/>
        <n v="29118"/>
        <n v="29124"/>
        <n v="29145"/>
        <n v="29152"/>
        <n v="29159"/>
        <n v="29187"/>
        <n v="30560"/>
        <n v="30563"/>
        <n v="30566"/>
        <n v="30567"/>
        <n v="30570"/>
        <n v="30573"/>
        <n v="30577"/>
        <n v="30580"/>
        <n v="30602"/>
        <n v="30609"/>
        <n v="30616"/>
        <n v="30624"/>
        <n v="31955"/>
        <n v="31956"/>
        <n v="31958"/>
        <n v="31959"/>
        <n v="31960"/>
        <n v="31961"/>
        <n v="31962"/>
        <n v="31963"/>
        <n v="31966"/>
        <n v="31967"/>
        <n v="31969"/>
        <n v="31970"/>
        <n v="32690"/>
        <n v="32691"/>
        <n v="32692"/>
        <n v="32693"/>
        <n v="32694"/>
        <n v="32695"/>
        <n v="32696"/>
        <n v="32697"/>
        <n v="32698"/>
        <n v="32699"/>
        <n v="32701"/>
        <n v="32703"/>
        <n v="32705"/>
        <n v="33425"/>
        <n v="33426"/>
        <n v="33427"/>
        <n v="33428"/>
        <n v="33429"/>
        <n v="33430"/>
        <n v="33431"/>
        <n v="33432"/>
        <n v="33433"/>
        <n v="33434"/>
        <n v="33436"/>
        <n v="33438"/>
        <n v="33440"/>
        <n v="34135"/>
        <n v="34136"/>
        <n v="34137"/>
        <n v="34138"/>
        <n v="34139"/>
        <n v="34140"/>
        <n v="34141"/>
        <n v="34142"/>
        <n v="34143"/>
        <n v="34144"/>
        <n v="34146"/>
        <n v="34147"/>
        <n v="34150"/>
        <n v="34151"/>
        <n v="34153"/>
        <n v="34154"/>
        <n v="34885"/>
        <n v="34886"/>
        <n v="34887"/>
        <n v="34888"/>
        <n v="34889"/>
        <n v="34890"/>
        <n v="34891"/>
        <n v="34892"/>
        <n v="34893"/>
        <n v="34894"/>
        <n v="34896"/>
        <n v="34897"/>
        <n v="34899"/>
        <n v="34900"/>
        <n v="34902"/>
        <n v="34903"/>
        <n v="35592"/>
        <n v="35593"/>
        <n v="35594"/>
        <n v="35595"/>
        <n v="35596"/>
        <n v="35597"/>
        <n v="35598"/>
        <n v="35599"/>
        <n v="35600"/>
        <n v="35602"/>
        <n v="35603"/>
        <n v="35606"/>
        <n v="35607"/>
        <n v="35609"/>
        <n v="35610"/>
        <n v="36340"/>
        <n v="36341"/>
        <n v="36342"/>
        <n v="36343"/>
        <n v="36344"/>
        <n v="36345"/>
        <n v="36346"/>
        <n v="36347"/>
        <n v="36348"/>
        <n v="36351"/>
        <n v="36352"/>
        <n v="36354"/>
        <n v="36355"/>
        <n v="36358"/>
        <n v="36359"/>
        <n v="37083"/>
        <n v="37084"/>
        <n v="37085"/>
        <n v="37086"/>
        <n v="37087"/>
        <n v="37088"/>
        <n v="37089"/>
        <n v="37090"/>
        <n v="37091"/>
        <n v="37094"/>
        <n v="37095"/>
        <n v="37097"/>
        <n v="37098"/>
        <n v="37101"/>
        <n v="38174"/>
        <n v="38175"/>
        <n v="38176"/>
        <n v="38177"/>
        <n v="38178"/>
        <n v="38179"/>
        <n v="38180"/>
        <n v="38181"/>
        <n v="38182"/>
        <n v="38185"/>
        <n v="38186"/>
        <n v="38188"/>
        <n v="38189"/>
        <n v="38192"/>
        <n v="38193"/>
        <n v="39259"/>
        <n v="39260"/>
        <n v="39261"/>
        <n v="39263"/>
        <n v="39264"/>
        <n v="39265"/>
        <n v="39266"/>
        <n v="39267"/>
        <n v="39268"/>
        <n v="39270"/>
        <n v="39271"/>
        <n v="39273"/>
        <n v="39274"/>
        <n v="39277"/>
        <n v="39278"/>
        <n v="40725"/>
        <n v="40726"/>
        <n v="40727"/>
        <n v="40728"/>
        <n v="40730"/>
        <n v="40731"/>
        <n v="40732"/>
        <n v="40733"/>
        <n v="40734"/>
        <n v="40735"/>
        <n v="40736"/>
        <n v="40737"/>
        <n v="40740"/>
        <n v="40741"/>
        <n v="40743"/>
        <n v="40744"/>
        <n v="40747"/>
        <n v="40748"/>
        <n v="42166"/>
        <n v="42167"/>
        <n v="42168"/>
        <n v="42169"/>
        <n v="42170"/>
        <n v="42171"/>
        <n v="42172"/>
        <n v="42173"/>
        <n v="42174"/>
        <n v="42175"/>
        <s v="01apr1953"/>
        <s v="01apr1957"/>
        <s v="01aug1979"/>
        <s v="02apr1959"/>
        <s v="02aug1979"/>
        <s v="02dec1923"/>
        <s v="02dec1947"/>
        <s v="02jan1937"/>
        <s v="03apr1949"/>
        <s v="03apr1957"/>
        <s v="03aug1975"/>
        <s v="03jan1937"/>
        <s v="04apr1959"/>
        <s v="04dec1947"/>
        <s v="05dec1959"/>
        <s v="05dec1979"/>
        <s v="06apr1949"/>
        <s v="06apr1957"/>
        <s v="06aug1975"/>
        <s v="06dec1925"/>
        <s v="06dec1947"/>
        <s v="06dec1959"/>
        <s v="06jan1935"/>
        <s v="06jan1937"/>
        <s v="07aug1975"/>
        <s v="08aug1979"/>
        <s v="09dec1947"/>
        <s v="09dec1959"/>
        <s v="09jan1937"/>
        <s v="10apr1949"/>
        <s v="10aug1975"/>
        <s v="10aug1983"/>
        <s v="10jan1937"/>
        <s v="10jan1942"/>
        <s v="11dec1947"/>
        <s v="11dec1966"/>
        <s v="11dec1979"/>
        <s v="11jan1942"/>
        <s v="12dec1959"/>
        <s v="12jan1946"/>
        <s v="13apr1949"/>
        <s v="13aug1975"/>
        <s v="13dec1925"/>
        <s v="13dec1947"/>
        <s v="13jan1935"/>
        <s v="13jan1937"/>
        <s v="13jan1967"/>
        <s v="14aug1983"/>
        <s v="14jan1942"/>
        <s v="14jan1945"/>
        <s v="15aug1979"/>
        <s v="15jan1939"/>
        <s v="16aug1975"/>
        <s v="16aug1979"/>
        <s v="16dec1947"/>
        <s v="16dec1959"/>
        <s v="16jan1937"/>
        <s v="16jan1946"/>
        <s v="17apr1949"/>
        <s v="17aug1983"/>
        <s v="17dec1925"/>
        <s v="17jan1937"/>
        <s v="17jan1942"/>
        <s v="18dec1947"/>
        <s v="18jan1935"/>
        <s v="18jan1942"/>
        <s v="18jan1945"/>
        <s v="18jan1967"/>
        <s v="19dec1959"/>
        <s v="19jan1937"/>
        <s v="19jan1946"/>
        <s v="20apr1949"/>
        <s v="20aug1975"/>
        <s v="20dec1925"/>
        <s v="20dec1947"/>
        <s v="20jan1935"/>
        <s v="21aug1983"/>
        <s v="21dec1966"/>
        <s v="21jan1937"/>
        <s v="21jan1942"/>
        <s v="21jan1945"/>
        <s v="21jan1956"/>
        <s v="21jan1967"/>
        <s v="22aug1979"/>
        <s v="22dec1959"/>
        <s v="22jan1939"/>
        <s v="22jan1942"/>
        <s v="22jan1956"/>
        <s v="22jan1967"/>
        <s v="23aug1979"/>
        <s v="23dec1947"/>
        <s v="23jan1937"/>
        <s v="23jan1946"/>
        <s v="24apr1949"/>
        <s v="24aug1983"/>
        <s v="24jan1937"/>
        <s v="24jan1942"/>
        <s v="24jan1945"/>
        <s v="24jan1956"/>
        <s v="25dec1925"/>
        <s v="25dec1947"/>
        <s v="25dec1959"/>
        <s v="25jan1942"/>
        <s v="25jan1967"/>
        <s v="26dec1947"/>
        <s v="26jan1935"/>
        <s v="26jan1946"/>
        <s v="26jan1967"/>
        <s v="27apr1949"/>
        <s v="27dec1936"/>
        <s v="27dec1947"/>
        <s v="27jan1935"/>
        <s v="28aug1983"/>
        <s v="28dec1947"/>
        <s v="28dec1966"/>
        <s v="28jan1942"/>
        <s v="28jan1945"/>
        <s v="28jan1956"/>
        <s v="28jan1967"/>
        <s v="29aug1979"/>
        <s v="29dec1947"/>
        <s v="29jan1939"/>
        <s v="29jan1946"/>
        <s v="29jan1956"/>
        <s v="29jan1967"/>
        <s v="30apr1949"/>
        <s v="30dec1936"/>
        <s v="30jan1937"/>
        <s v="31aug1983"/>
        <s v="31dec1947"/>
        <s v="31jan1942"/>
        <s v="31jan1945"/>
      </sharedItems>
    </cacheField>
    <cacheField name="Equipo1" numFmtId="0">
      <sharedItems count="12">
        <s v="Argentina"/>
        <s v="Bolivia"/>
        <s v="Brazil"/>
        <s v="Chile"/>
        <s v="Colombia"/>
        <s v="Costa Rica"/>
        <s v="Ecuador"/>
        <s v="México"/>
        <s v="Paraguay"/>
        <s v="Peru"/>
        <s v="Uruguay"/>
        <s v="Venezuela"/>
      </sharedItems>
    </cacheField>
    <cacheField name="Equipo2" numFmtId="0">
      <sharedItems count="17">
        <s v="Argentina"/>
        <s v="Bolivia"/>
        <s v="Brazil"/>
        <s v="Chile"/>
        <s v="Colombia"/>
        <s v="Costa Rica"/>
        <s v="Ecuador"/>
        <s v="Honduras"/>
        <s v="Jamaica"/>
        <s v="Japan"/>
        <s v="México"/>
        <s v="Paraguay"/>
        <s v="Peru"/>
        <s v="U.S.A."/>
        <s v="Uruguay"/>
        <s v="USA"/>
        <s v="Venezuela"/>
      </sharedItems>
    </cacheField>
    <cacheField name="GolE1" numFmtId="0">
      <sharedItems count="12">
        <n v="0"/>
        <n v="1"/>
        <n v="2"/>
        <n v="3"/>
        <n v="4"/>
        <n v="5"/>
        <n v="6"/>
        <n v="7"/>
        <n v="8"/>
        <n v="9"/>
        <n v="11"/>
        <n v="12"/>
      </sharedItems>
    </cacheField>
    <cacheField name="GolE2" numFmtId="0">
      <sharedItems count="11">
        <n v="0"/>
        <n v="1"/>
        <n v="2"/>
        <n v="3"/>
        <n v="4"/>
        <n v="5"/>
        <n v="6"/>
        <n v="7"/>
        <n v="8"/>
        <n v="9"/>
        <n v="10"/>
      </sharedItems>
    </cacheField>
    <cacheField name="Copa_América" numFmtId="0">
      <sharedItems count="4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</sharedItems>
    </cacheField>
    <cacheField name="Winner " numFmtId="0">
      <sharedItems count="15">
        <s v="-"/>
        <s v="Argentina"/>
        <s v="Bolivia"/>
        <s v="Brazil"/>
        <s v="Chile"/>
        <s v="Colombia"/>
        <s v="Costa Rica"/>
        <s v="Ecuador"/>
        <s v="Honduras"/>
        <s v="México"/>
        <s v="Paraguay"/>
        <s v="Peru"/>
        <s v="U.S.A."/>
        <s v="Uruguay"/>
        <s v="Venezuela"/>
      </sharedItems>
    </cacheField>
    <cacheField name="Loser" numFmtId="0">
      <sharedItems count="18">
        <s v="-"/>
        <s v="Argentina"/>
        <s v="Bolivia"/>
        <s v="Brazil"/>
        <s v="Chile"/>
        <s v="Colombia"/>
        <s v="Costa Rica"/>
        <s v="Ecuador"/>
        <s v="Honduras"/>
        <s v="Jamaica"/>
        <s v="Japan"/>
        <s v="México"/>
        <s v="Paraguay"/>
        <s v="Peru"/>
        <s v="U.S.A."/>
        <s v="Uruguay"/>
        <s v="USA"/>
        <s v="Venezuel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6">
  <r>
    <x v="0"/>
    <x v="3"/>
    <x v="14"/>
    <x v="0"/>
    <x v="4"/>
    <x v="0"/>
    <x v="13"/>
    <x v="4"/>
  </r>
  <r>
    <x v="1"/>
    <x v="3"/>
    <x v="0"/>
    <x v="1"/>
    <x v="6"/>
    <x v="0"/>
    <x v="1"/>
    <x v="4"/>
  </r>
  <r>
    <x v="2"/>
    <x v="3"/>
    <x v="2"/>
    <x v="1"/>
    <x v="1"/>
    <x v="0"/>
    <x v="0"/>
    <x v="0"/>
  </r>
  <r>
    <x v="3"/>
    <x v="0"/>
    <x v="2"/>
    <x v="1"/>
    <x v="1"/>
    <x v="0"/>
    <x v="0"/>
    <x v="0"/>
  </r>
  <r>
    <x v="4"/>
    <x v="10"/>
    <x v="2"/>
    <x v="2"/>
    <x v="1"/>
    <x v="0"/>
    <x v="13"/>
    <x v="3"/>
  </r>
  <r>
    <x v="5"/>
    <x v="0"/>
    <x v="14"/>
    <x v="0"/>
    <x v="0"/>
    <x v="0"/>
    <x v="0"/>
    <x v="0"/>
  </r>
  <r>
    <x v="6"/>
    <x v="3"/>
    <x v="14"/>
    <x v="0"/>
    <x v="4"/>
    <x v="1"/>
    <x v="13"/>
    <x v="4"/>
  </r>
  <r>
    <x v="7"/>
    <x v="0"/>
    <x v="2"/>
    <x v="4"/>
    <x v="2"/>
    <x v="1"/>
    <x v="1"/>
    <x v="3"/>
  </r>
  <r>
    <x v="8"/>
    <x v="0"/>
    <x v="3"/>
    <x v="1"/>
    <x v="0"/>
    <x v="1"/>
    <x v="1"/>
    <x v="4"/>
  </r>
  <r>
    <x v="9"/>
    <x v="10"/>
    <x v="2"/>
    <x v="4"/>
    <x v="0"/>
    <x v="1"/>
    <x v="13"/>
    <x v="3"/>
  </r>
  <r>
    <x v="10"/>
    <x v="3"/>
    <x v="2"/>
    <x v="0"/>
    <x v="5"/>
    <x v="1"/>
    <x v="3"/>
    <x v="4"/>
  </r>
  <r>
    <x v="11"/>
    <x v="0"/>
    <x v="14"/>
    <x v="0"/>
    <x v="1"/>
    <x v="1"/>
    <x v="13"/>
    <x v="1"/>
  </r>
  <r>
    <x v="12"/>
    <x v="3"/>
    <x v="2"/>
    <x v="0"/>
    <x v="6"/>
    <x v="2"/>
    <x v="3"/>
    <x v="4"/>
  </r>
  <r>
    <x v="13"/>
    <x v="0"/>
    <x v="14"/>
    <x v="2"/>
    <x v="3"/>
    <x v="2"/>
    <x v="13"/>
    <x v="1"/>
  </r>
  <r>
    <x v="14"/>
    <x v="3"/>
    <x v="14"/>
    <x v="0"/>
    <x v="2"/>
    <x v="2"/>
    <x v="13"/>
    <x v="4"/>
  </r>
  <r>
    <x v="15"/>
    <x v="0"/>
    <x v="2"/>
    <x v="1"/>
    <x v="3"/>
    <x v="2"/>
    <x v="3"/>
    <x v="1"/>
  </r>
  <r>
    <x v="16"/>
    <x v="0"/>
    <x v="3"/>
    <x v="4"/>
    <x v="1"/>
    <x v="2"/>
    <x v="1"/>
    <x v="4"/>
  </r>
  <r>
    <x v="17"/>
    <x v="10"/>
    <x v="2"/>
    <x v="2"/>
    <x v="2"/>
    <x v="2"/>
    <x v="0"/>
    <x v="0"/>
  </r>
  <r>
    <x v="18"/>
    <x v="10"/>
    <x v="2"/>
    <x v="0"/>
    <x v="1"/>
    <x v="2"/>
    <x v="3"/>
    <x v="15"/>
  </r>
  <r>
    <x v="19"/>
    <x v="3"/>
    <x v="2"/>
    <x v="0"/>
    <x v="1"/>
    <x v="3"/>
    <x v="3"/>
    <x v="4"/>
  </r>
  <r>
    <x v="20"/>
    <x v="0"/>
    <x v="14"/>
    <x v="1"/>
    <x v="1"/>
    <x v="3"/>
    <x v="0"/>
    <x v="0"/>
  </r>
  <r>
    <x v="21"/>
    <x v="10"/>
    <x v="2"/>
    <x v="6"/>
    <x v="0"/>
    <x v="3"/>
    <x v="13"/>
    <x v="3"/>
  </r>
  <r>
    <x v="22"/>
    <x v="0"/>
    <x v="3"/>
    <x v="1"/>
    <x v="1"/>
    <x v="3"/>
    <x v="0"/>
    <x v="0"/>
  </r>
  <r>
    <x v="23"/>
    <x v="0"/>
    <x v="2"/>
    <x v="2"/>
    <x v="0"/>
    <x v="3"/>
    <x v="1"/>
    <x v="3"/>
  </r>
  <r>
    <x v="24"/>
    <x v="3"/>
    <x v="14"/>
    <x v="1"/>
    <x v="2"/>
    <x v="3"/>
    <x v="13"/>
    <x v="4"/>
  </r>
  <r>
    <x v="25"/>
    <x v="0"/>
    <x v="2"/>
    <x v="1"/>
    <x v="0"/>
    <x v="4"/>
    <x v="1"/>
    <x v="3"/>
  </r>
  <r>
    <x v="26"/>
    <x v="8"/>
    <x v="14"/>
    <x v="2"/>
    <x v="1"/>
    <x v="4"/>
    <x v="10"/>
    <x v="15"/>
  </r>
  <r>
    <x v="27"/>
    <x v="8"/>
    <x v="2"/>
    <x v="0"/>
    <x v="3"/>
    <x v="4"/>
    <x v="3"/>
    <x v="12"/>
  </r>
  <r>
    <x v="28"/>
    <x v="0"/>
    <x v="11"/>
    <x v="3"/>
    <x v="0"/>
    <x v="4"/>
    <x v="1"/>
    <x v="12"/>
  </r>
  <r>
    <x v="29"/>
    <x v="10"/>
    <x v="2"/>
    <x v="2"/>
    <x v="1"/>
    <x v="4"/>
    <x v="13"/>
    <x v="3"/>
  </r>
  <r>
    <x v="30"/>
    <x v="0"/>
    <x v="14"/>
    <x v="1"/>
    <x v="0"/>
    <x v="4"/>
    <x v="1"/>
    <x v="15"/>
  </r>
  <r>
    <x v="31"/>
    <x v="3"/>
    <x v="2"/>
    <x v="1"/>
    <x v="1"/>
    <x v="5"/>
    <x v="0"/>
    <x v="0"/>
  </r>
  <r>
    <x v="32"/>
    <x v="3"/>
    <x v="14"/>
    <x v="0"/>
    <x v="2"/>
    <x v="5"/>
    <x v="13"/>
    <x v="4"/>
  </r>
  <r>
    <x v="33"/>
    <x v="8"/>
    <x v="2"/>
    <x v="1"/>
    <x v="1"/>
    <x v="5"/>
    <x v="0"/>
    <x v="0"/>
  </r>
  <r>
    <x v="34"/>
    <x v="0"/>
    <x v="3"/>
    <x v="4"/>
    <x v="0"/>
    <x v="5"/>
    <x v="1"/>
    <x v="4"/>
  </r>
  <r>
    <x v="35"/>
    <x v="10"/>
    <x v="2"/>
    <x v="0"/>
    <x v="0"/>
    <x v="5"/>
    <x v="0"/>
    <x v="0"/>
  </r>
  <r>
    <x v="36"/>
    <x v="3"/>
    <x v="11"/>
    <x v="0"/>
    <x v="3"/>
    <x v="5"/>
    <x v="10"/>
    <x v="4"/>
  </r>
  <r>
    <x v="37"/>
    <x v="0"/>
    <x v="14"/>
    <x v="0"/>
    <x v="1"/>
    <x v="5"/>
    <x v="13"/>
    <x v="1"/>
  </r>
  <r>
    <x v="38"/>
    <x v="8"/>
    <x v="14"/>
    <x v="1"/>
    <x v="0"/>
    <x v="5"/>
    <x v="10"/>
    <x v="15"/>
  </r>
  <r>
    <x v="39"/>
    <x v="0"/>
    <x v="2"/>
    <x v="0"/>
    <x v="2"/>
    <x v="5"/>
    <x v="3"/>
    <x v="1"/>
  </r>
  <r>
    <x v="40"/>
    <x v="0"/>
    <x v="11"/>
    <x v="2"/>
    <x v="0"/>
    <x v="5"/>
    <x v="1"/>
    <x v="12"/>
  </r>
  <r>
    <x v="41"/>
    <x v="8"/>
    <x v="2"/>
    <x v="0"/>
    <x v="3"/>
    <x v="5"/>
    <x v="3"/>
    <x v="12"/>
  </r>
  <r>
    <x v="42"/>
    <x v="0"/>
    <x v="11"/>
    <x v="4"/>
    <x v="3"/>
    <x v="6"/>
    <x v="1"/>
    <x v="12"/>
  </r>
  <r>
    <x v="43"/>
    <x v="8"/>
    <x v="14"/>
    <x v="0"/>
    <x v="2"/>
    <x v="6"/>
    <x v="13"/>
    <x v="12"/>
  </r>
  <r>
    <x v="44"/>
    <x v="8"/>
    <x v="2"/>
    <x v="1"/>
    <x v="0"/>
    <x v="6"/>
    <x v="10"/>
    <x v="3"/>
  </r>
  <r>
    <x v="45"/>
    <x v="0"/>
    <x v="2"/>
    <x v="2"/>
    <x v="1"/>
    <x v="6"/>
    <x v="1"/>
    <x v="3"/>
  </r>
  <r>
    <x v="46"/>
    <x v="10"/>
    <x v="2"/>
    <x v="2"/>
    <x v="1"/>
    <x v="6"/>
    <x v="13"/>
    <x v="3"/>
  </r>
  <r>
    <x v="387"/>
    <x v="0"/>
    <x v="14"/>
    <x v="0"/>
    <x v="2"/>
    <x v="6"/>
    <x v="13"/>
    <x v="1"/>
  </r>
  <r>
    <x v="47"/>
    <x v="0"/>
    <x v="11"/>
    <x v="0"/>
    <x v="0"/>
    <x v="7"/>
    <x v="0"/>
    <x v="0"/>
  </r>
  <r>
    <x v="48"/>
    <x v="3"/>
    <x v="14"/>
    <x v="0"/>
    <x v="5"/>
    <x v="7"/>
    <x v="13"/>
    <x v="4"/>
  </r>
  <r>
    <x v="49"/>
    <x v="0"/>
    <x v="3"/>
    <x v="2"/>
    <x v="0"/>
    <x v="7"/>
    <x v="1"/>
    <x v="4"/>
  </r>
  <r>
    <x v="50"/>
    <x v="8"/>
    <x v="14"/>
    <x v="1"/>
    <x v="3"/>
    <x v="7"/>
    <x v="13"/>
    <x v="12"/>
  </r>
  <r>
    <x v="51"/>
    <x v="3"/>
    <x v="11"/>
    <x v="1"/>
    <x v="3"/>
    <x v="7"/>
    <x v="10"/>
    <x v="4"/>
  </r>
  <r>
    <x v="52"/>
    <x v="0"/>
    <x v="14"/>
    <x v="0"/>
    <x v="0"/>
    <x v="7"/>
    <x v="0"/>
    <x v="0"/>
  </r>
  <r>
    <x v="53"/>
    <x v="0"/>
    <x v="11"/>
    <x v="2"/>
    <x v="0"/>
    <x v="8"/>
    <x v="1"/>
    <x v="12"/>
  </r>
  <r>
    <x v="401"/>
    <x v="8"/>
    <x v="2"/>
    <x v="2"/>
    <x v="5"/>
    <x v="8"/>
    <x v="3"/>
    <x v="12"/>
  </r>
  <r>
    <x v="424"/>
    <x v="0"/>
    <x v="2"/>
    <x v="4"/>
    <x v="1"/>
    <x v="8"/>
    <x v="1"/>
    <x v="3"/>
  </r>
  <r>
    <x v="442"/>
    <x v="8"/>
    <x v="2"/>
    <x v="1"/>
    <x v="3"/>
    <x v="8"/>
    <x v="3"/>
    <x v="12"/>
  </r>
  <r>
    <x v="455"/>
    <x v="0"/>
    <x v="11"/>
    <x v="3"/>
    <x v="1"/>
    <x v="8"/>
    <x v="1"/>
    <x v="12"/>
  </r>
  <r>
    <x v="481"/>
    <x v="0"/>
    <x v="2"/>
    <x v="2"/>
    <x v="2"/>
    <x v="8"/>
    <x v="0"/>
    <x v="0"/>
  </r>
  <r>
    <x v="54"/>
    <x v="1"/>
    <x v="3"/>
    <x v="1"/>
    <x v="7"/>
    <x v="9"/>
    <x v="4"/>
    <x v="2"/>
  </r>
  <r>
    <x v="55"/>
    <x v="0"/>
    <x v="1"/>
    <x v="5"/>
    <x v="0"/>
    <x v="9"/>
    <x v="1"/>
    <x v="2"/>
  </r>
  <r>
    <x v="56"/>
    <x v="3"/>
    <x v="14"/>
    <x v="1"/>
    <x v="3"/>
    <x v="9"/>
    <x v="13"/>
    <x v="4"/>
  </r>
  <r>
    <x v="57"/>
    <x v="0"/>
    <x v="11"/>
    <x v="8"/>
    <x v="0"/>
    <x v="9"/>
    <x v="1"/>
    <x v="12"/>
  </r>
  <r>
    <x v="58"/>
    <x v="1"/>
    <x v="11"/>
    <x v="1"/>
    <x v="6"/>
    <x v="9"/>
    <x v="10"/>
    <x v="2"/>
  </r>
  <r>
    <x v="59"/>
    <x v="0"/>
    <x v="14"/>
    <x v="0"/>
    <x v="2"/>
    <x v="9"/>
    <x v="13"/>
    <x v="1"/>
  </r>
  <r>
    <x v="60"/>
    <x v="1"/>
    <x v="14"/>
    <x v="0"/>
    <x v="6"/>
    <x v="9"/>
    <x v="13"/>
    <x v="2"/>
  </r>
  <r>
    <x v="61"/>
    <x v="0"/>
    <x v="3"/>
    <x v="1"/>
    <x v="1"/>
    <x v="9"/>
    <x v="0"/>
    <x v="0"/>
  </r>
  <r>
    <x v="62"/>
    <x v="8"/>
    <x v="14"/>
    <x v="1"/>
    <x v="6"/>
    <x v="9"/>
    <x v="13"/>
    <x v="12"/>
  </r>
  <r>
    <x v="63"/>
    <x v="3"/>
    <x v="11"/>
    <x v="5"/>
    <x v="1"/>
    <x v="9"/>
    <x v="4"/>
    <x v="12"/>
  </r>
  <r>
    <x v="64"/>
    <x v="0"/>
    <x v="1"/>
    <x v="7"/>
    <x v="1"/>
    <x v="10"/>
    <x v="1"/>
    <x v="2"/>
  </r>
  <r>
    <x v="65"/>
    <x v="9"/>
    <x v="14"/>
    <x v="0"/>
    <x v="4"/>
    <x v="10"/>
    <x v="13"/>
    <x v="13"/>
  </r>
  <r>
    <x v="66"/>
    <x v="1"/>
    <x v="14"/>
    <x v="0"/>
    <x v="9"/>
    <x v="10"/>
    <x v="13"/>
    <x v="2"/>
  </r>
  <r>
    <x v="67"/>
    <x v="1"/>
    <x v="14"/>
    <x v="0"/>
    <x v="9"/>
    <x v="10"/>
    <x v="13"/>
    <x v="2"/>
  </r>
  <r>
    <x v="68"/>
    <x v="1"/>
    <x v="12"/>
    <x v="2"/>
    <x v="3"/>
    <x v="10"/>
    <x v="11"/>
    <x v="2"/>
  </r>
  <r>
    <x v="69"/>
    <x v="0"/>
    <x v="14"/>
    <x v="3"/>
    <x v="2"/>
    <x v="10"/>
    <x v="1"/>
    <x v="15"/>
  </r>
  <r>
    <x v="70"/>
    <x v="0"/>
    <x v="12"/>
    <x v="5"/>
    <x v="1"/>
    <x v="10"/>
    <x v="1"/>
    <x v="13"/>
  </r>
  <r>
    <x v="71"/>
    <x v="8"/>
    <x v="14"/>
    <x v="3"/>
    <x v="0"/>
    <x v="11"/>
    <x v="10"/>
    <x v="15"/>
  </r>
  <r>
    <x v="72"/>
    <x v="0"/>
    <x v="12"/>
    <x v="3"/>
    <x v="0"/>
    <x v="11"/>
    <x v="1"/>
    <x v="13"/>
  </r>
  <r>
    <x v="73"/>
    <x v="0"/>
    <x v="11"/>
    <x v="4"/>
    <x v="1"/>
    <x v="11"/>
    <x v="1"/>
    <x v="12"/>
  </r>
  <r>
    <x v="74"/>
    <x v="9"/>
    <x v="14"/>
    <x v="1"/>
    <x v="4"/>
    <x v="11"/>
    <x v="13"/>
    <x v="13"/>
  </r>
  <r>
    <x v="75"/>
    <x v="8"/>
    <x v="12"/>
    <x v="5"/>
    <x v="0"/>
    <x v="11"/>
    <x v="10"/>
    <x v="13"/>
  </r>
  <r>
    <x v="76"/>
    <x v="0"/>
    <x v="14"/>
    <x v="2"/>
    <x v="0"/>
    <x v="11"/>
    <x v="1"/>
    <x v="15"/>
  </r>
  <r>
    <x v="404"/>
    <x v="0"/>
    <x v="3"/>
    <x v="4"/>
    <x v="1"/>
    <x v="12"/>
    <x v="1"/>
    <x v="4"/>
  </r>
  <r>
    <x v="426"/>
    <x v="9"/>
    <x v="14"/>
    <x v="0"/>
    <x v="1"/>
    <x v="12"/>
    <x v="13"/>
    <x v="13"/>
  </r>
  <r>
    <x v="446"/>
    <x v="3"/>
    <x v="14"/>
    <x v="1"/>
    <x v="2"/>
    <x v="12"/>
    <x v="13"/>
    <x v="4"/>
  </r>
  <r>
    <x v="457"/>
    <x v="0"/>
    <x v="12"/>
    <x v="4"/>
    <x v="1"/>
    <x v="12"/>
    <x v="1"/>
    <x v="13"/>
  </r>
  <r>
    <x v="487"/>
    <x v="3"/>
    <x v="12"/>
    <x v="0"/>
    <x v="1"/>
    <x v="12"/>
    <x v="11"/>
    <x v="4"/>
  </r>
  <r>
    <x v="493"/>
    <x v="0"/>
    <x v="14"/>
    <x v="0"/>
    <x v="3"/>
    <x v="12"/>
    <x v="13"/>
    <x v="1"/>
  </r>
  <r>
    <x v="491"/>
    <x v="9"/>
    <x v="2"/>
    <x v="2"/>
    <x v="3"/>
    <x v="13"/>
    <x v="3"/>
    <x v="13"/>
  </r>
  <r>
    <x v="508"/>
    <x v="0"/>
    <x v="3"/>
    <x v="2"/>
    <x v="1"/>
    <x v="13"/>
    <x v="1"/>
    <x v="4"/>
  </r>
  <r>
    <x v="389"/>
    <x v="8"/>
    <x v="14"/>
    <x v="4"/>
    <x v="2"/>
    <x v="13"/>
    <x v="10"/>
    <x v="15"/>
  </r>
  <r>
    <x v="393"/>
    <x v="3"/>
    <x v="2"/>
    <x v="4"/>
    <x v="6"/>
    <x v="13"/>
    <x v="3"/>
    <x v="4"/>
  </r>
  <r>
    <x v="405"/>
    <x v="9"/>
    <x v="14"/>
    <x v="2"/>
    <x v="4"/>
    <x v="13"/>
    <x v="13"/>
    <x v="13"/>
  </r>
  <r>
    <x v="410"/>
    <x v="0"/>
    <x v="11"/>
    <x v="6"/>
    <x v="1"/>
    <x v="13"/>
    <x v="1"/>
    <x v="12"/>
  </r>
  <r>
    <x v="414"/>
    <x v="3"/>
    <x v="14"/>
    <x v="3"/>
    <x v="0"/>
    <x v="13"/>
    <x v="4"/>
    <x v="15"/>
  </r>
  <r>
    <x v="427"/>
    <x v="8"/>
    <x v="2"/>
    <x v="0"/>
    <x v="5"/>
    <x v="13"/>
    <x v="3"/>
    <x v="12"/>
  </r>
  <r>
    <x v="438"/>
    <x v="0"/>
    <x v="12"/>
    <x v="1"/>
    <x v="0"/>
    <x v="13"/>
    <x v="1"/>
    <x v="13"/>
  </r>
  <r>
    <x v="443"/>
    <x v="3"/>
    <x v="11"/>
    <x v="2"/>
    <x v="3"/>
    <x v="13"/>
    <x v="10"/>
    <x v="4"/>
  </r>
  <r>
    <x v="451"/>
    <x v="10"/>
    <x v="2"/>
    <x v="2"/>
    <x v="3"/>
    <x v="13"/>
    <x v="3"/>
    <x v="15"/>
  </r>
  <r>
    <x v="460"/>
    <x v="3"/>
    <x v="12"/>
    <x v="2"/>
    <x v="2"/>
    <x v="13"/>
    <x v="0"/>
    <x v="0"/>
  </r>
  <r>
    <x v="473"/>
    <x v="0"/>
    <x v="14"/>
    <x v="2"/>
    <x v="3"/>
    <x v="13"/>
    <x v="13"/>
    <x v="1"/>
  </r>
  <r>
    <x v="477"/>
    <x v="8"/>
    <x v="12"/>
    <x v="0"/>
    <x v="1"/>
    <x v="13"/>
    <x v="11"/>
    <x v="12"/>
  </r>
  <r>
    <x v="509"/>
    <x v="0"/>
    <x v="2"/>
    <x v="1"/>
    <x v="0"/>
    <x v="13"/>
    <x v="1"/>
    <x v="3"/>
  </r>
  <r>
    <x v="77"/>
    <x v="0"/>
    <x v="2"/>
    <x v="2"/>
    <x v="0"/>
    <x v="13"/>
    <x v="1"/>
    <x v="3"/>
  </r>
  <r>
    <x v="433"/>
    <x v="6"/>
    <x v="12"/>
    <x v="2"/>
    <x v="5"/>
    <x v="14"/>
    <x v="11"/>
    <x v="7"/>
  </r>
  <r>
    <x v="433"/>
    <x v="3"/>
    <x v="11"/>
    <x v="1"/>
    <x v="5"/>
    <x v="14"/>
    <x v="10"/>
    <x v="4"/>
  </r>
  <r>
    <x v="467"/>
    <x v="3"/>
    <x v="12"/>
    <x v="1"/>
    <x v="3"/>
    <x v="14"/>
    <x v="11"/>
    <x v="4"/>
  </r>
  <r>
    <x v="467"/>
    <x v="6"/>
    <x v="14"/>
    <x v="0"/>
    <x v="6"/>
    <x v="14"/>
    <x v="13"/>
    <x v="7"/>
  </r>
  <r>
    <x v="503"/>
    <x v="3"/>
    <x v="14"/>
    <x v="2"/>
    <x v="3"/>
    <x v="14"/>
    <x v="13"/>
    <x v="4"/>
  </r>
  <r>
    <x v="503"/>
    <x v="8"/>
    <x v="12"/>
    <x v="0"/>
    <x v="3"/>
    <x v="14"/>
    <x v="11"/>
    <x v="12"/>
  </r>
  <r>
    <x v="78"/>
    <x v="3"/>
    <x v="6"/>
    <x v="4"/>
    <x v="1"/>
    <x v="14"/>
    <x v="4"/>
    <x v="7"/>
  </r>
  <r>
    <x v="78"/>
    <x v="8"/>
    <x v="14"/>
    <x v="1"/>
    <x v="3"/>
    <x v="14"/>
    <x v="13"/>
    <x v="12"/>
  </r>
  <r>
    <x v="79"/>
    <x v="9"/>
    <x v="14"/>
    <x v="2"/>
    <x v="1"/>
    <x v="14"/>
    <x v="11"/>
    <x v="15"/>
  </r>
  <r>
    <x v="79"/>
    <x v="6"/>
    <x v="11"/>
    <x v="1"/>
    <x v="3"/>
    <x v="14"/>
    <x v="10"/>
    <x v="7"/>
  </r>
  <r>
    <x v="80"/>
    <x v="3"/>
    <x v="6"/>
    <x v="5"/>
    <x v="0"/>
    <x v="15"/>
    <x v="4"/>
    <x v="7"/>
  </r>
  <r>
    <x v="81"/>
    <x v="6"/>
    <x v="14"/>
    <x v="0"/>
    <x v="6"/>
    <x v="15"/>
    <x v="13"/>
    <x v="7"/>
  </r>
  <r>
    <x v="81"/>
    <x v="3"/>
    <x v="12"/>
    <x v="1"/>
    <x v="0"/>
    <x v="15"/>
    <x v="4"/>
    <x v="13"/>
  </r>
  <r>
    <x v="82"/>
    <x v="0"/>
    <x v="12"/>
    <x v="2"/>
    <x v="1"/>
    <x v="15"/>
    <x v="1"/>
    <x v="13"/>
  </r>
  <r>
    <x v="83"/>
    <x v="0"/>
    <x v="6"/>
    <x v="6"/>
    <x v="1"/>
    <x v="15"/>
    <x v="1"/>
    <x v="7"/>
  </r>
  <r>
    <x v="83"/>
    <x v="3"/>
    <x v="14"/>
    <x v="0"/>
    <x v="2"/>
    <x v="15"/>
    <x v="13"/>
    <x v="4"/>
  </r>
  <r>
    <x v="84"/>
    <x v="6"/>
    <x v="12"/>
    <x v="0"/>
    <x v="4"/>
    <x v="15"/>
    <x v="11"/>
    <x v="7"/>
  </r>
  <r>
    <x v="84"/>
    <x v="0"/>
    <x v="14"/>
    <x v="1"/>
    <x v="0"/>
    <x v="15"/>
    <x v="1"/>
    <x v="15"/>
  </r>
  <r>
    <x v="85"/>
    <x v="9"/>
    <x v="14"/>
    <x v="0"/>
    <x v="2"/>
    <x v="15"/>
    <x v="13"/>
    <x v="13"/>
  </r>
  <r>
    <x v="86"/>
    <x v="0"/>
    <x v="3"/>
    <x v="1"/>
    <x v="0"/>
    <x v="15"/>
    <x v="1"/>
    <x v="4"/>
  </r>
  <r>
    <x v="415"/>
    <x v="3"/>
    <x v="14"/>
    <x v="1"/>
    <x v="6"/>
    <x v="16"/>
    <x v="13"/>
    <x v="4"/>
  </r>
  <r>
    <x v="419"/>
    <x v="0"/>
    <x v="11"/>
    <x v="4"/>
    <x v="3"/>
    <x v="16"/>
    <x v="1"/>
    <x v="12"/>
  </r>
  <r>
    <x v="430"/>
    <x v="3"/>
    <x v="2"/>
    <x v="1"/>
    <x v="6"/>
    <x v="16"/>
    <x v="3"/>
    <x v="4"/>
  </r>
  <r>
    <x v="444"/>
    <x v="0"/>
    <x v="2"/>
    <x v="2"/>
    <x v="1"/>
    <x v="16"/>
    <x v="1"/>
    <x v="3"/>
  </r>
  <r>
    <x v="447"/>
    <x v="8"/>
    <x v="12"/>
    <x v="1"/>
    <x v="1"/>
    <x v="16"/>
    <x v="0"/>
    <x v="0"/>
  </r>
  <r>
    <x v="447"/>
    <x v="6"/>
    <x v="14"/>
    <x v="0"/>
    <x v="7"/>
    <x v="16"/>
    <x v="13"/>
    <x v="7"/>
  </r>
  <r>
    <x v="461"/>
    <x v="9"/>
    <x v="2"/>
    <x v="1"/>
    <x v="2"/>
    <x v="16"/>
    <x v="3"/>
    <x v="13"/>
  </r>
  <r>
    <x v="468"/>
    <x v="3"/>
    <x v="11"/>
    <x v="0"/>
    <x v="2"/>
    <x v="16"/>
    <x v="10"/>
    <x v="4"/>
  </r>
  <r>
    <x v="468"/>
    <x v="0"/>
    <x v="6"/>
    <x v="11"/>
    <x v="0"/>
    <x v="16"/>
    <x v="1"/>
    <x v="7"/>
  </r>
  <r>
    <x v="478"/>
    <x v="10"/>
    <x v="2"/>
    <x v="1"/>
    <x v="0"/>
    <x v="16"/>
    <x v="13"/>
    <x v="3"/>
  </r>
  <r>
    <x v="484"/>
    <x v="6"/>
    <x v="11"/>
    <x v="1"/>
    <x v="3"/>
    <x v="16"/>
    <x v="10"/>
    <x v="7"/>
  </r>
  <r>
    <x v="484"/>
    <x v="0"/>
    <x v="12"/>
    <x v="3"/>
    <x v="1"/>
    <x v="16"/>
    <x v="1"/>
    <x v="13"/>
  </r>
  <r>
    <x v="497"/>
    <x v="8"/>
    <x v="14"/>
    <x v="1"/>
    <x v="3"/>
    <x v="16"/>
    <x v="13"/>
    <x v="12"/>
  </r>
  <r>
    <x v="497"/>
    <x v="6"/>
    <x v="12"/>
    <x v="1"/>
    <x v="2"/>
    <x v="16"/>
    <x v="11"/>
    <x v="7"/>
  </r>
  <r>
    <x v="512"/>
    <x v="0"/>
    <x v="3"/>
    <x v="0"/>
    <x v="0"/>
    <x v="16"/>
    <x v="0"/>
    <x v="0"/>
  </r>
  <r>
    <x v="87"/>
    <x v="6"/>
    <x v="2"/>
    <x v="1"/>
    <x v="5"/>
    <x v="16"/>
    <x v="3"/>
    <x v="7"/>
  </r>
  <r>
    <x v="87"/>
    <x v="9"/>
    <x v="14"/>
    <x v="0"/>
    <x v="3"/>
    <x v="16"/>
    <x v="13"/>
    <x v="13"/>
  </r>
  <r>
    <x v="88"/>
    <x v="8"/>
    <x v="2"/>
    <x v="1"/>
    <x v="1"/>
    <x v="16"/>
    <x v="0"/>
    <x v="0"/>
  </r>
  <r>
    <x v="88"/>
    <x v="3"/>
    <x v="6"/>
    <x v="2"/>
    <x v="1"/>
    <x v="16"/>
    <x v="4"/>
    <x v="7"/>
  </r>
  <r>
    <x v="89"/>
    <x v="0"/>
    <x v="14"/>
    <x v="0"/>
    <x v="1"/>
    <x v="16"/>
    <x v="13"/>
    <x v="1"/>
  </r>
  <r>
    <x v="89"/>
    <x v="3"/>
    <x v="12"/>
    <x v="0"/>
    <x v="0"/>
    <x v="16"/>
    <x v="0"/>
    <x v="0"/>
  </r>
  <r>
    <x v="431"/>
    <x v="3"/>
    <x v="6"/>
    <x v="6"/>
    <x v="3"/>
    <x v="17"/>
    <x v="4"/>
    <x v="7"/>
  </r>
  <r>
    <x v="448"/>
    <x v="0"/>
    <x v="1"/>
    <x v="4"/>
    <x v="0"/>
    <x v="17"/>
    <x v="1"/>
    <x v="2"/>
  </r>
  <r>
    <x v="462"/>
    <x v="4"/>
    <x v="2"/>
    <x v="0"/>
    <x v="3"/>
    <x v="17"/>
    <x v="3"/>
    <x v="5"/>
  </r>
  <r>
    <x v="479"/>
    <x v="6"/>
    <x v="14"/>
    <x v="1"/>
    <x v="5"/>
    <x v="17"/>
    <x v="13"/>
    <x v="7"/>
  </r>
  <r>
    <x v="479"/>
    <x v="1"/>
    <x v="3"/>
    <x v="0"/>
    <x v="5"/>
    <x v="17"/>
    <x v="4"/>
    <x v="2"/>
  </r>
  <r>
    <x v="498"/>
    <x v="4"/>
    <x v="14"/>
    <x v="0"/>
    <x v="7"/>
    <x v="17"/>
    <x v="13"/>
    <x v="5"/>
  </r>
  <r>
    <x v="498"/>
    <x v="1"/>
    <x v="2"/>
    <x v="0"/>
    <x v="2"/>
    <x v="17"/>
    <x v="3"/>
    <x v="2"/>
  </r>
  <r>
    <x v="513"/>
    <x v="0"/>
    <x v="6"/>
    <x v="4"/>
    <x v="2"/>
    <x v="17"/>
    <x v="1"/>
    <x v="7"/>
  </r>
  <r>
    <x v="513"/>
    <x v="3"/>
    <x v="4"/>
    <x v="2"/>
    <x v="0"/>
    <x v="17"/>
    <x v="4"/>
    <x v="5"/>
  </r>
  <r>
    <x v="90"/>
    <x v="0"/>
    <x v="4"/>
    <x v="9"/>
    <x v="1"/>
    <x v="17"/>
    <x v="1"/>
    <x v="5"/>
  </r>
  <r>
    <x v="90"/>
    <x v="10"/>
    <x v="2"/>
    <x v="0"/>
    <x v="3"/>
    <x v="17"/>
    <x v="3"/>
    <x v="15"/>
  </r>
  <r>
    <x v="91"/>
    <x v="1"/>
    <x v="6"/>
    <x v="0"/>
    <x v="0"/>
    <x v="17"/>
    <x v="0"/>
    <x v="0"/>
  </r>
  <r>
    <x v="91"/>
    <x v="0"/>
    <x v="3"/>
    <x v="1"/>
    <x v="1"/>
    <x v="17"/>
    <x v="0"/>
    <x v="0"/>
  </r>
  <r>
    <x v="92"/>
    <x v="0"/>
    <x v="2"/>
    <x v="3"/>
    <x v="1"/>
    <x v="17"/>
    <x v="1"/>
    <x v="3"/>
  </r>
  <r>
    <x v="92"/>
    <x v="1"/>
    <x v="14"/>
    <x v="0"/>
    <x v="2"/>
    <x v="17"/>
    <x v="13"/>
    <x v="2"/>
  </r>
  <r>
    <x v="93"/>
    <x v="4"/>
    <x v="6"/>
    <x v="3"/>
    <x v="1"/>
    <x v="17"/>
    <x v="5"/>
    <x v="7"/>
  </r>
  <r>
    <x v="93"/>
    <x v="3"/>
    <x v="14"/>
    <x v="1"/>
    <x v="0"/>
    <x v="17"/>
    <x v="4"/>
    <x v="15"/>
  </r>
  <r>
    <x v="94"/>
    <x v="1"/>
    <x v="4"/>
    <x v="3"/>
    <x v="3"/>
    <x v="17"/>
    <x v="0"/>
    <x v="0"/>
  </r>
  <r>
    <x v="94"/>
    <x v="6"/>
    <x v="2"/>
    <x v="2"/>
    <x v="9"/>
    <x v="17"/>
    <x v="3"/>
    <x v="7"/>
  </r>
  <r>
    <x v="95"/>
    <x v="0"/>
    <x v="14"/>
    <x v="1"/>
    <x v="0"/>
    <x v="17"/>
    <x v="1"/>
    <x v="15"/>
  </r>
  <r>
    <x v="96"/>
    <x v="3"/>
    <x v="2"/>
    <x v="0"/>
    <x v="1"/>
    <x v="17"/>
    <x v="3"/>
    <x v="4"/>
  </r>
  <r>
    <x v="421"/>
    <x v="0"/>
    <x v="11"/>
    <x v="2"/>
    <x v="0"/>
    <x v="18"/>
    <x v="1"/>
    <x v="12"/>
  </r>
  <r>
    <x v="439"/>
    <x v="1"/>
    <x v="2"/>
    <x v="0"/>
    <x v="3"/>
    <x v="18"/>
    <x v="3"/>
    <x v="2"/>
  </r>
  <r>
    <x v="439"/>
    <x v="3"/>
    <x v="14"/>
    <x v="0"/>
    <x v="1"/>
    <x v="18"/>
    <x v="13"/>
    <x v="4"/>
  </r>
  <r>
    <x v="452"/>
    <x v="0"/>
    <x v="1"/>
    <x v="7"/>
    <x v="1"/>
    <x v="18"/>
    <x v="1"/>
    <x v="2"/>
  </r>
  <r>
    <x v="452"/>
    <x v="3"/>
    <x v="11"/>
    <x v="2"/>
    <x v="1"/>
    <x v="18"/>
    <x v="4"/>
    <x v="12"/>
  </r>
  <r>
    <x v="474"/>
    <x v="10"/>
    <x v="2"/>
    <x v="3"/>
    <x v="4"/>
    <x v="18"/>
    <x v="3"/>
    <x v="15"/>
  </r>
  <r>
    <x v="488"/>
    <x v="0"/>
    <x v="3"/>
    <x v="3"/>
    <x v="1"/>
    <x v="18"/>
    <x v="1"/>
    <x v="4"/>
  </r>
  <r>
    <x v="488"/>
    <x v="1"/>
    <x v="11"/>
    <x v="2"/>
    <x v="4"/>
    <x v="18"/>
    <x v="10"/>
    <x v="2"/>
  </r>
  <r>
    <x v="504"/>
    <x v="1"/>
    <x v="14"/>
    <x v="0"/>
    <x v="5"/>
    <x v="18"/>
    <x v="13"/>
    <x v="2"/>
  </r>
  <r>
    <x v="504"/>
    <x v="8"/>
    <x v="2"/>
    <x v="1"/>
    <x v="1"/>
    <x v="18"/>
    <x v="0"/>
    <x v="0"/>
  </r>
  <r>
    <x v="97"/>
    <x v="0"/>
    <x v="14"/>
    <x v="3"/>
    <x v="1"/>
    <x v="18"/>
    <x v="1"/>
    <x v="15"/>
  </r>
  <r>
    <x v="98"/>
    <x v="3"/>
    <x v="2"/>
    <x v="1"/>
    <x v="5"/>
    <x v="18"/>
    <x v="3"/>
    <x v="4"/>
  </r>
  <r>
    <x v="99"/>
    <x v="1"/>
    <x v="3"/>
    <x v="1"/>
    <x v="4"/>
    <x v="18"/>
    <x v="4"/>
    <x v="2"/>
  </r>
  <r>
    <x v="99"/>
    <x v="8"/>
    <x v="14"/>
    <x v="2"/>
    <x v="1"/>
    <x v="18"/>
    <x v="10"/>
    <x v="15"/>
  </r>
  <r>
    <x v="100"/>
    <x v="0"/>
    <x v="2"/>
    <x v="2"/>
    <x v="0"/>
    <x v="18"/>
    <x v="1"/>
    <x v="3"/>
  </r>
  <r>
    <x v="101"/>
    <x v="1"/>
    <x v="6"/>
    <x v="2"/>
    <x v="2"/>
    <x v="19"/>
    <x v="0"/>
    <x v="0"/>
  </r>
  <r>
    <x v="388"/>
    <x v="0"/>
    <x v="11"/>
    <x v="6"/>
    <x v="0"/>
    <x v="19"/>
    <x v="1"/>
    <x v="12"/>
  </r>
  <r>
    <x v="388"/>
    <x v="4"/>
    <x v="14"/>
    <x v="0"/>
    <x v="2"/>
    <x v="19"/>
    <x v="13"/>
    <x v="5"/>
  </r>
  <r>
    <x v="395"/>
    <x v="4"/>
    <x v="6"/>
    <x v="0"/>
    <x v="0"/>
    <x v="19"/>
    <x v="0"/>
    <x v="0"/>
  </r>
  <r>
    <x v="395"/>
    <x v="0"/>
    <x v="1"/>
    <x v="7"/>
    <x v="0"/>
    <x v="19"/>
    <x v="1"/>
    <x v="2"/>
  </r>
  <r>
    <x v="402"/>
    <x v="3"/>
    <x v="14"/>
    <x v="0"/>
    <x v="6"/>
    <x v="19"/>
    <x v="13"/>
    <x v="4"/>
  </r>
  <r>
    <x v="402"/>
    <x v="8"/>
    <x v="12"/>
    <x v="2"/>
    <x v="2"/>
    <x v="19"/>
    <x v="0"/>
    <x v="0"/>
  </r>
  <r>
    <x v="408"/>
    <x v="3"/>
    <x v="12"/>
    <x v="2"/>
    <x v="1"/>
    <x v="19"/>
    <x v="4"/>
    <x v="13"/>
  </r>
  <r>
    <x v="408"/>
    <x v="1"/>
    <x v="14"/>
    <x v="0"/>
    <x v="3"/>
    <x v="19"/>
    <x v="13"/>
    <x v="2"/>
  </r>
  <r>
    <x v="416"/>
    <x v="3"/>
    <x v="6"/>
    <x v="3"/>
    <x v="0"/>
    <x v="19"/>
    <x v="4"/>
    <x v="7"/>
  </r>
  <r>
    <x v="416"/>
    <x v="0"/>
    <x v="12"/>
    <x v="3"/>
    <x v="2"/>
    <x v="19"/>
    <x v="1"/>
    <x v="13"/>
  </r>
  <r>
    <x v="425"/>
    <x v="1"/>
    <x v="4"/>
    <x v="0"/>
    <x v="0"/>
    <x v="19"/>
    <x v="0"/>
    <x v="0"/>
  </r>
  <r>
    <x v="425"/>
    <x v="8"/>
    <x v="14"/>
    <x v="4"/>
    <x v="2"/>
    <x v="19"/>
    <x v="10"/>
    <x v="15"/>
  </r>
  <r>
    <x v="436"/>
    <x v="0"/>
    <x v="3"/>
    <x v="1"/>
    <x v="1"/>
    <x v="19"/>
    <x v="0"/>
    <x v="0"/>
  </r>
  <r>
    <x v="436"/>
    <x v="6"/>
    <x v="14"/>
    <x v="1"/>
    <x v="6"/>
    <x v="19"/>
    <x v="13"/>
    <x v="7"/>
  </r>
  <r>
    <x v="445"/>
    <x v="1"/>
    <x v="11"/>
    <x v="1"/>
    <x v="3"/>
    <x v="19"/>
    <x v="10"/>
    <x v="2"/>
  </r>
  <r>
    <x v="445"/>
    <x v="0"/>
    <x v="4"/>
    <x v="6"/>
    <x v="0"/>
    <x v="19"/>
    <x v="1"/>
    <x v="5"/>
  </r>
  <r>
    <x v="456"/>
    <x v="4"/>
    <x v="11"/>
    <x v="0"/>
    <x v="2"/>
    <x v="19"/>
    <x v="10"/>
    <x v="5"/>
  </r>
  <r>
    <x v="456"/>
    <x v="6"/>
    <x v="12"/>
    <x v="0"/>
    <x v="0"/>
    <x v="19"/>
    <x v="0"/>
    <x v="0"/>
  </r>
  <r>
    <x v="472"/>
    <x v="3"/>
    <x v="11"/>
    <x v="0"/>
    <x v="1"/>
    <x v="19"/>
    <x v="10"/>
    <x v="4"/>
  </r>
  <r>
    <x v="472"/>
    <x v="4"/>
    <x v="12"/>
    <x v="1"/>
    <x v="5"/>
    <x v="19"/>
    <x v="11"/>
    <x v="5"/>
  </r>
  <r>
    <x v="482"/>
    <x v="0"/>
    <x v="6"/>
    <x v="2"/>
    <x v="0"/>
    <x v="19"/>
    <x v="1"/>
    <x v="7"/>
  </r>
  <r>
    <x v="486"/>
    <x v="9"/>
    <x v="14"/>
    <x v="0"/>
    <x v="1"/>
    <x v="19"/>
    <x v="13"/>
    <x v="13"/>
  </r>
  <r>
    <x v="492"/>
    <x v="1"/>
    <x v="12"/>
    <x v="0"/>
    <x v="2"/>
    <x v="19"/>
    <x v="11"/>
    <x v="2"/>
  </r>
  <r>
    <x v="495"/>
    <x v="0"/>
    <x v="14"/>
    <x v="3"/>
    <x v="1"/>
    <x v="19"/>
    <x v="1"/>
    <x v="15"/>
  </r>
  <r>
    <x v="502"/>
    <x v="3"/>
    <x v="4"/>
    <x v="4"/>
    <x v="1"/>
    <x v="19"/>
    <x v="4"/>
    <x v="5"/>
  </r>
  <r>
    <x v="502"/>
    <x v="6"/>
    <x v="11"/>
    <x v="0"/>
    <x v="4"/>
    <x v="19"/>
    <x v="10"/>
    <x v="7"/>
  </r>
  <r>
    <x v="511"/>
    <x v="1"/>
    <x v="3"/>
    <x v="3"/>
    <x v="4"/>
    <x v="19"/>
    <x v="4"/>
    <x v="2"/>
  </r>
  <r>
    <x v="390"/>
    <x v="6"/>
    <x v="2"/>
    <x v="1"/>
    <x v="9"/>
    <x v="20"/>
    <x v="3"/>
    <x v="7"/>
  </r>
  <r>
    <x v="398"/>
    <x v="1"/>
    <x v="3"/>
    <x v="3"/>
    <x v="2"/>
    <x v="20"/>
    <x v="2"/>
    <x v="4"/>
  </r>
  <r>
    <x v="398"/>
    <x v="4"/>
    <x v="11"/>
    <x v="0"/>
    <x v="3"/>
    <x v="20"/>
    <x v="10"/>
    <x v="5"/>
  </r>
  <r>
    <x v="411"/>
    <x v="1"/>
    <x v="2"/>
    <x v="1"/>
    <x v="10"/>
    <x v="20"/>
    <x v="3"/>
    <x v="2"/>
  </r>
  <r>
    <x v="411"/>
    <x v="4"/>
    <x v="12"/>
    <x v="0"/>
    <x v="4"/>
    <x v="20"/>
    <x v="11"/>
    <x v="5"/>
  </r>
  <r>
    <x v="411"/>
    <x v="6"/>
    <x v="11"/>
    <x v="0"/>
    <x v="1"/>
    <x v="20"/>
    <x v="10"/>
    <x v="7"/>
  </r>
  <r>
    <x v="422"/>
    <x v="8"/>
    <x v="12"/>
    <x v="3"/>
    <x v="1"/>
    <x v="20"/>
    <x v="10"/>
    <x v="13"/>
  </r>
  <r>
    <x v="422"/>
    <x v="3"/>
    <x v="2"/>
    <x v="1"/>
    <x v="2"/>
    <x v="20"/>
    <x v="3"/>
    <x v="4"/>
  </r>
  <r>
    <x v="422"/>
    <x v="6"/>
    <x v="14"/>
    <x v="2"/>
    <x v="3"/>
    <x v="20"/>
    <x v="13"/>
    <x v="7"/>
  </r>
  <r>
    <x v="440"/>
    <x v="3"/>
    <x v="6"/>
    <x v="1"/>
    <x v="0"/>
    <x v="20"/>
    <x v="4"/>
    <x v="7"/>
  </r>
  <r>
    <x v="440"/>
    <x v="4"/>
    <x v="2"/>
    <x v="0"/>
    <x v="5"/>
    <x v="20"/>
    <x v="3"/>
    <x v="5"/>
  </r>
  <r>
    <x v="440"/>
    <x v="1"/>
    <x v="14"/>
    <x v="3"/>
    <x v="2"/>
    <x v="20"/>
    <x v="2"/>
    <x v="15"/>
  </r>
  <r>
    <x v="453"/>
    <x v="3"/>
    <x v="4"/>
    <x v="1"/>
    <x v="1"/>
    <x v="20"/>
    <x v="0"/>
    <x v="0"/>
  </r>
  <r>
    <x v="453"/>
    <x v="6"/>
    <x v="12"/>
    <x v="0"/>
    <x v="4"/>
    <x v="20"/>
    <x v="11"/>
    <x v="7"/>
  </r>
  <r>
    <x v="453"/>
    <x v="8"/>
    <x v="14"/>
    <x v="1"/>
    <x v="2"/>
    <x v="20"/>
    <x v="13"/>
    <x v="12"/>
  </r>
  <r>
    <x v="475"/>
    <x v="1"/>
    <x v="6"/>
    <x v="2"/>
    <x v="0"/>
    <x v="20"/>
    <x v="2"/>
    <x v="7"/>
  </r>
  <r>
    <x v="475"/>
    <x v="4"/>
    <x v="14"/>
    <x v="2"/>
    <x v="2"/>
    <x v="20"/>
    <x v="0"/>
    <x v="0"/>
  </r>
  <r>
    <x v="475"/>
    <x v="9"/>
    <x v="2"/>
    <x v="1"/>
    <x v="7"/>
    <x v="20"/>
    <x v="3"/>
    <x v="13"/>
  </r>
  <r>
    <x v="490"/>
    <x v="3"/>
    <x v="11"/>
    <x v="2"/>
    <x v="4"/>
    <x v="20"/>
    <x v="10"/>
    <x v="4"/>
  </r>
  <r>
    <x v="490"/>
    <x v="1"/>
    <x v="12"/>
    <x v="0"/>
    <x v="3"/>
    <x v="20"/>
    <x v="11"/>
    <x v="2"/>
  </r>
  <r>
    <x v="507"/>
    <x v="10"/>
    <x v="2"/>
    <x v="1"/>
    <x v="5"/>
    <x v="20"/>
    <x v="3"/>
    <x v="15"/>
  </r>
  <r>
    <x v="507"/>
    <x v="1"/>
    <x v="11"/>
    <x v="0"/>
    <x v="7"/>
    <x v="20"/>
    <x v="10"/>
    <x v="2"/>
  </r>
  <r>
    <x v="507"/>
    <x v="3"/>
    <x v="12"/>
    <x v="0"/>
    <x v="3"/>
    <x v="20"/>
    <x v="11"/>
    <x v="4"/>
  </r>
  <r>
    <x v="102"/>
    <x v="4"/>
    <x v="6"/>
    <x v="1"/>
    <x v="4"/>
    <x v="20"/>
    <x v="7"/>
    <x v="5"/>
  </r>
  <r>
    <x v="103"/>
    <x v="9"/>
    <x v="14"/>
    <x v="4"/>
    <x v="3"/>
    <x v="20"/>
    <x v="11"/>
    <x v="15"/>
  </r>
  <r>
    <x v="104"/>
    <x v="1"/>
    <x v="4"/>
    <x v="4"/>
    <x v="0"/>
    <x v="20"/>
    <x v="2"/>
    <x v="5"/>
  </r>
  <r>
    <x v="105"/>
    <x v="3"/>
    <x v="14"/>
    <x v="3"/>
    <x v="1"/>
    <x v="20"/>
    <x v="4"/>
    <x v="15"/>
  </r>
  <r>
    <x v="105"/>
    <x v="8"/>
    <x v="2"/>
    <x v="2"/>
    <x v="1"/>
    <x v="20"/>
    <x v="10"/>
    <x v="3"/>
  </r>
  <r>
    <x v="106"/>
    <x v="8"/>
    <x v="2"/>
    <x v="0"/>
    <x v="7"/>
    <x v="20"/>
    <x v="3"/>
    <x v="12"/>
  </r>
  <r>
    <x v="107"/>
    <x v="1"/>
    <x v="12"/>
    <x v="1"/>
    <x v="0"/>
    <x v="21"/>
    <x v="2"/>
    <x v="13"/>
  </r>
  <r>
    <x v="108"/>
    <x v="1"/>
    <x v="14"/>
    <x v="0"/>
    <x v="2"/>
    <x v="21"/>
    <x v="13"/>
    <x v="2"/>
  </r>
  <r>
    <x v="108"/>
    <x v="3"/>
    <x v="11"/>
    <x v="0"/>
    <x v="3"/>
    <x v="21"/>
    <x v="10"/>
    <x v="4"/>
  </r>
  <r>
    <x v="109"/>
    <x v="6"/>
    <x v="12"/>
    <x v="0"/>
    <x v="1"/>
    <x v="21"/>
    <x v="11"/>
    <x v="7"/>
  </r>
  <r>
    <x v="110"/>
    <x v="3"/>
    <x v="14"/>
    <x v="3"/>
    <x v="2"/>
    <x v="21"/>
    <x v="4"/>
    <x v="15"/>
  </r>
  <r>
    <x v="110"/>
    <x v="1"/>
    <x v="2"/>
    <x v="1"/>
    <x v="8"/>
    <x v="21"/>
    <x v="3"/>
    <x v="2"/>
  </r>
  <r>
    <x v="111"/>
    <x v="6"/>
    <x v="11"/>
    <x v="0"/>
    <x v="0"/>
    <x v="21"/>
    <x v="0"/>
    <x v="0"/>
  </r>
  <r>
    <x v="111"/>
    <x v="3"/>
    <x v="12"/>
    <x v="0"/>
    <x v="0"/>
    <x v="21"/>
    <x v="0"/>
    <x v="0"/>
  </r>
  <r>
    <x v="112"/>
    <x v="8"/>
    <x v="12"/>
    <x v="2"/>
    <x v="2"/>
    <x v="21"/>
    <x v="0"/>
    <x v="0"/>
  </r>
  <r>
    <x v="112"/>
    <x v="1"/>
    <x v="6"/>
    <x v="1"/>
    <x v="1"/>
    <x v="21"/>
    <x v="0"/>
    <x v="0"/>
  </r>
  <r>
    <x v="113"/>
    <x v="8"/>
    <x v="14"/>
    <x v="2"/>
    <x v="2"/>
    <x v="21"/>
    <x v="0"/>
    <x v="0"/>
  </r>
  <r>
    <x v="113"/>
    <x v="6"/>
    <x v="2"/>
    <x v="0"/>
    <x v="2"/>
    <x v="21"/>
    <x v="3"/>
    <x v="7"/>
  </r>
  <r>
    <x v="114"/>
    <x v="10"/>
    <x v="2"/>
    <x v="0"/>
    <x v="1"/>
    <x v="21"/>
    <x v="3"/>
    <x v="15"/>
  </r>
  <r>
    <x v="115"/>
    <x v="1"/>
    <x v="11"/>
    <x v="1"/>
    <x v="2"/>
    <x v="21"/>
    <x v="10"/>
    <x v="2"/>
  </r>
  <r>
    <x v="116"/>
    <x v="3"/>
    <x v="6"/>
    <x v="3"/>
    <x v="0"/>
    <x v="21"/>
    <x v="4"/>
    <x v="7"/>
  </r>
  <r>
    <x v="116"/>
    <x v="9"/>
    <x v="2"/>
    <x v="1"/>
    <x v="0"/>
    <x v="21"/>
    <x v="11"/>
    <x v="3"/>
  </r>
  <r>
    <x v="117"/>
    <x v="3"/>
    <x v="2"/>
    <x v="2"/>
    <x v="3"/>
    <x v="21"/>
    <x v="3"/>
    <x v="4"/>
  </r>
  <r>
    <x v="117"/>
    <x v="6"/>
    <x v="14"/>
    <x v="0"/>
    <x v="6"/>
    <x v="21"/>
    <x v="13"/>
    <x v="7"/>
  </r>
  <r>
    <x v="118"/>
    <x v="8"/>
    <x v="2"/>
    <x v="2"/>
    <x v="1"/>
    <x v="21"/>
    <x v="10"/>
    <x v="3"/>
  </r>
  <r>
    <x v="119"/>
    <x v="9"/>
    <x v="14"/>
    <x v="0"/>
    <x v="3"/>
    <x v="21"/>
    <x v="13"/>
    <x v="13"/>
  </r>
  <r>
    <x v="119"/>
    <x v="1"/>
    <x v="3"/>
    <x v="2"/>
    <x v="2"/>
    <x v="21"/>
    <x v="0"/>
    <x v="0"/>
  </r>
  <r>
    <x v="382"/>
    <x v="8"/>
    <x v="2"/>
    <x v="3"/>
    <x v="2"/>
    <x v="21"/>
    <x v="10"/>
    <x v="3"/>
  </r>
  <r>
    <x v="120"/>
    <x v="3"/>
    <x v="6"/>
    <x v="7"/>
    <x v="1"/>
    <x v="22"/>
    <x v="4"/>
    <x v="7"/>
  </r>
  <r>
    <x v="121"/>
    <x v="0"/>
    <x v="11"/>
    <x v="5"/>
    <x v="3"/>
    <x v="22"/>
    <x v="1"/>
    <x v="12"/>
  </r>
  <r>
    <x v="122"/>
    <x v="3"/>
    <x v="12"/>
    <x v="5"/>
    <x v="4"/>
    <x v="22"/>
    <x v="4"/>
    <x v="13"/>
  </r>
  <r>
    <x v="123"/>
    <x v="8"/>
    <x v="14"/>
    <x v="1"/>
    <x v="3"/>
    <x v="22"/>
    <x v="13"/>
    <x v="12"/>
  </r>
  <r>
    <x v="123"/>
    <x v="0"/>
    <x v="6"/>
    <x v="4"/>
    <x v="0"/>
    <x v="22"/>
    <x v="1"/>
    <x v="7"/>
  </r>
  <r>
    <x v="124"/>
    <x v="3"/>
    <x v="14"/>
    <x v="2"/>
    <x v="2"/>
    <x v="22"/>
    <x v="0"/>
    <x v="0"/>
  </r>
  <r>
    <x v="124"/>
    <x v="6"/>
    <x v="12"/>
    <x v="2"/>
    <x v="4"/>
    <x v="22"/>
    <x v="11"/>
    <x v="7"/>
  </r>
  <r>
    <x v="125"/>
    <x v="6"/>
    <x v="11"/>
    <x v="0"/>
    <x v="2"/>
    <x v="22"/>
    <x v="10"/>
    <x v="7"/>
  </r>
  <r>
    <x v="125"/>
    <x v="0"/>
    <x v="12"/>
    <x v="2"/>
    <x v="2"/>
    <x v="22"/>
    <x v="0"/>
    <x v="0"/>
  </r>
  <r>
    <x v="126"/>
    <x v="3"/>
    <x v="11"/>
    <x v="5"/>
    <x v="0"/>
    <x v="22"/>
    <x v="4"/>
    <x v="12"/>
  </r>
  <r>
    <x v="127"/>
    <x v="6"/>
    <x v="14"/>
    <x v="1"/>
    <x v="5"/>
    <x v="22"/>
    <x v="13"/>
    <x v="7"/>
  </r>
  <r>
    <x v="127"/>
    <x v="8"/>
    <x v="12"/>
    <x v="1"/>
    <x v="1"/>
    <x v="22"/>
    <x v="0"/>
    <x v="0"/>
  </r>
  <r>
    <x v="128"/>
    <x v="0"/>
    <x v="14"/>
    <x v="6"/>
    <x v="1"/>
    <x v="22"/>
    <x v="1"/>
    <x v="15"/>
  </r>
  <r>
    <x v="129"/>
    <x v="0"/>
    <x v="3"/>
    <x v="1"/>
    <x v="0"/>
    <x v="22"/>
    <x v="1"/>
    <x v="4"/>
  </r>
  <r>
    <x v="129"/>
    <x v="9"/>
    <x v="14"/>
    <x v="2"/>
    <x v="1"/>
    <x v="22"/>
    <x v="11"/>
    <x v="15"/>
  </r>
  <r>
    <x v="463"/>
    <x v="8"/>
    <x v="14"/>
    <x v="2"/>
    <x v="4"/>
    <x v="23"/>
    <x v="13"/>
    <x v="12"/>
  </r>
  <r>
    <x v="469"/>
    <x v="0"/>
    <x v="12"/>
    <x v="2"/>
    <x v="1"/>
    <x v="23"/>
    <x v="1"/>
    <x v="13"/>
  </r>
  <r>
    <x v="480"/>
    <x v="3"/>
    <x v="2"/>
    <x v="4"/>
    <x v="1"/>
    <x v="23"/>
    <x v="4"/>
    <x v="3"/>
  </r>
  <r>
    <x v="499"/>
    <x v="9"/>
    <x v="14"/>
    <x v="0"/>
    <x v="2"/>
    <x v="23"/>
    <x v="13"/>
    <x v="13"/>
  </r>
  <r>
    <x v="505"/>
    <x v="8"/>
    <x v="2"/>
    <x v="0"/>
    <x v="0"/>
    <x v="23"/>
    <x v="0"/>
    <x v="0"/>
  </r>
  <r>
    <x v="505"/>
    <x v="0"/>
    <x v="3"/>
    <x v="2"/>
    <x v="0"/>
    <x v="23"/>
    <x v="1"/>
    <x v="4"/>
  </r>
  <r>
    <x v="130"/>
    <x v="9"/>
    <x v="2"/>
    <x v="1"/>
    <x v="2"/>
    <x v="23"/>
    <x v="3"/>
    <x v="13"/>
  </r>
  <r>
    <x v="130"/>
    <x v="0"/>
    <x v="11"/>
    <x v="1"/>
    <x v="0"/>
    <x v="23"/>
    <x v="1"/>
    <x v="12"/>
  </r>
  <r>
    <x v="131"/>
    <x v="0"/>
    <x v="2"/>
    <x v="0"/>
    <x v="1"/>
    <x v="23"/>
    <x v="3"/>
    <x v="1"/>
  </r>
  <r>
    <x v="131"/>
    <x v="8"/>
    <x v="12"/>
    <x v="1"/>
    <x v="1"/>
    <x v="23"/>
    <x v="0"/>
    <x v="0"/>
  </r>
  <r>
    <x v="132"/>
    <x v="3"/>
    <x v="14"/>
    <x v="1"/>
    <x v="2"/>
    <x v="23"/>
    <x v="13"/>
    <x v="4"/>
  </r>
  <r>
    <x v="133"/>
    <x v="3"/>
    <x v="12"/>
    <x v="4"/>
    <x v="3"/>
    <x v="23"/>
    <x v="4"/>
    <x v="13"/>
  </r>
  <r>
    <x v="134"/>
    <x v="10"/>
    <x v="2"/>
    <x v="0"/>
    <x v="0"/>
    <x v="23"/>
    <x v="0"/>
    <x v="0"/>
  </r>
  <r>
    <x v="135"/>
    <x v="3"/>
    <x v="11"/>
    <x v="2"/>
    <x v="0"/>
    <x v="23"/>
    <x v="4"/>
    <x v="12"/>
  </r>
  <r>
    <x v="136"/>
    <x v="0"/>
    <x v="14"/>
    <x v="0"/>
    <x v="1"/>
    <x v="23"/>
    <x v="13"/>
    <x v="1"/>
  </r>
  <r>
    <x v="137"/>
    <x v="6"/>
    <x v="14"/>
    <x v="2"/>
    <x v="5"/>
    <x v="24"/>
    <x v="13"/>
    <x v="7"/>
  </r>
  <r>
    <x v="138"/>
    <x v="6"/>
    <x v="12"/>
    <x v="1"/>
    <x v="2"/>
    <x v="24"/>
    <x v="11"/>
    <x v="7"/>
  </r>
  <r>
    <x v="139"/>
    <x v="3"/>
    <x v="2"/>
    <x v="2"/>
    <x v="4"/>
    <x v="24"/>
    <x v="3"/>
    <x v="4"/>
  </r>
  <r>
    <x v="139"/>
    <x v="0"/>
    <x v="4"/>
    <x v="8"/>
    <x v="2"/>
    <x v="24"/>
    <x v="1"/>
    <x v="5"/>
  </r>
  <r>
    <x v="140"/>
    <x v="3"/>
    <x v="12"/>
    <x v="0"/>
    <x v="1"/>
    <x v="24"/>
    <x v="11"/>
    <x v="4"/>
  </r>
  <r>
    <x v="141"/>
    <x v="0"/>
    <x v="6"/>
    <x v="3"/>
    <x v="0"/>
    <x v="24"/>
    <x v="1"/>
    <x v="7"/>
  </r>
  <r>
    <x v="141"/>
    <x v="4"/>
    <x v="14"/>
    <x v="1"/>
    <x v="0"/>
    <x v="24"/>
    <x v="5"/>
    <x v="15"/>
  </r>
  <r>
    <x v="142"/>
    <x v="0"/>
    <x v="14"/>
    <x v="4"/>
    <x v="0"/>
    <x v="24"/>
    <x v="1"/>
    <x v="15"/>
  </r>
  <r>
    <x v="143"/>
    <x v="6"/>
    <x v="2"/>
    <x v="1"/>
    <x v="7"/>
    <x v="24"/>
    <x v="3"/>
    <x v="7"/>
  </r>
  <r>
    <x v="143"/>
    <x v="3"/>
    <x v="4"/>
    <x v="3"/>
    <x v="2"/>
    <x v="24"/>
    <x v="4"/>
    <x v="5"/>
  </r>
  <r>
    <x v="144"/>
    <x v="9"/>
    <x v="14"/>
    <x v="3"/>
    <x v="5"/>
    <x v="24"/>
    <x v="13"/>
    <x v="13"/>
  </r>
  <r>
    <x v="145"/>
    <x v="4"/>
    <x v="2"/>
    <x v="0"/>
    <x v="9"/>
    <x v="24"/>
    <x v="3"/>
    <x v="5"/>
  </r>
  <r>
    <x v="145"/>
    <x v="3"/>
    <x v="6"/>
    <x v="2"/>
    <x v="2"/>
    <x v="24"/>
    <x v="0"/>
    <x v="0"/>
  </r>
  <r>
    <x v="146"/>
    <x v="4"/>
    <x v="12"/>
    <x v="1"/>
    <x v="4"/>
    <x v="24"/>
    <x v="11"/>
    <x v="5"/>
  </r>
  <r>
    <x v="147"/>
    <x v="0"/>
    <x v="3"/>
    <x v="6"/>
    <x v="2"/>
    <x v="24"/>
    <x v="1"/>
    <x v="4"/>
  </r>
  <r>
    <x v="147"/>
    <x v="10"/>
    <x v="2"/>
    <x v="3"/>
    <x v="2"/>
    <x v="24"/>
    <x v="13"/>
    <x v="3"/>
  </r>
  <r>
    <x v="148"/>
    <x v="9"/>
    <x v="2"/>
    <x v="0"/>
    <x v="1"/>
    <x v="24"/>
    <x v="3"/>
    <x v="13"/>
  </r>
  <r>
    <x v="383"/>
    <x v="3"/>
    <x v="14"/>
    <x v="0"/>
    <x v="2"/>
    <x v="24"/>
    <x v="13"/>
    <x v="4"/>
  </r>
  <r>
    <x v="383"/>
    <x v="4"/>
    <x v="6"/>
    <x v="4"/>
    <x v="1"/>
    <x v="24"/>
    <x v="5"/>
    <x v="7"/>
  </r>
  <r>
    <x v="391"/>
    <x v="0"/>
    <x v="2"/>
    <x v="3"/>
    <x v="0"/>
    <x v="24"/>
    <x v="1"/>
    <x v="3"/>
  </r>
  <r>
    <x v="399"/>
    <x v="0"/>
    <x v="12"/>
    <x v="1"/>
    <x v="2"/>
    <x v="24"/>
    <x v="11"/>
    <x v="1"/>
  </r>
  <r>
    <x v="149"/>
    <x v="0"/>
    <x v="3"/>
    <x v="6"/>
    <x v="1"/>
    <x v="25"/>
    <x v="1"/>
    <x v="4"/>
  </r>
  <r>
    <x v="150"/>
    <x v="1"/>
    <x v="14"/>
    <x v="0"/>
    <x v="7"/>
    <x v="25"/>
    <x v="13"/>
    <x v="2"/>
  </r>
  <r>
    <x v="151"/>
    <x v="9"/>
    <x v="2"/>
    <x v="2"/>
    <x v="2"/>
    <x v="25"/>
    <x v="0"/>
    <x v="0"/>
  </r>
  <r>
    <x v="152"/>
    <x v="3"/>
    <x v="11"/>
    <x v="1"/>
    <x v="2"/>
    <x v="25"/>
    <x v="10"/>
    <x v="4"/>
  </r>
  <r>
    <x v="152"/>
    <x v="0"/>
    <x v="1"/>
    <x v="2"/>
    <x v="0"/>
    <x v="25"/>
    <x v="1"/>
    <x v="2"/>
  </r>
  <r>
    <x v="153"/>
    <x v="9"/>
    <x v="14"/>
    <x v="5"/>
    <x v="3"/>
    <x v="25"/>
    <x v="11"/>
    <x v="15"/>
  </r>
  <r>
    <x v="154"/>
    <x v="1"/>
    <x v="11"/>
    <x v="0"/>
    <x v="5"/>
    <x v="25"/>
    <x v="10"/>
    <x v="2"/>
  </r>
  <r>
    <x v="154"/>
    <x v="3"/>
    <x v="2"/>
    <x v="0"/>
    <x v="3"/>
    <x v="25"/>
    <x v="3"/>
    <x v="4"/>
  </r>
  <r>
    <x v="155"/>
    <x v="0"/>
    <x v="12"/>
    <x v="3"/>
    <x v="1"/>
    <x v="25"/>
    <x v="1"/>
    <x v="13"/>
  </r>
  <r>
    <x v="155"/>
    <x v="8"/>
    <x v="14"/>
    <x v="1"/>
    <x v="3"/>
    <x v="25"/>
    <x v="13"/>
    <x v="12"/>
  </r>
  <r>
    <x v="156"/>
    <x v="3"/>
    <x v="12"/>
    <x v="1"/>
    <x v="1"/>
    <x v="25"/>
    <x v="0"/>
    <x v="0"/>
  </r>
  <r>
    <x v="156"/>
    <x v="1"/>
    <x v="2"/>
    <x v="2"/>
    <x v="4"/>
    <x v="25"/>
    <x v="3"/>
    <x v="2"/>
  </r>
  <r>
    <x v="157"/>
    <x v="0"/>
    <x v="11"/>
    <x v="3"/>
    <x v="1"/>
    <x v="25"/>
    <x v="1"/>
    <x v="12"/>
  </r>
  <r>
    <x v="158"/>
    <x v="10"/>
    <x v="2"/>
    <x v="1"/>
    <x v="3"/>
    <x v="25"/>
    <x v="3"/>
    <x v="15"/>
  </r>
  <r>
    <x v="158"/>
    <x v="1"/>
    <x v="3"/>
    <x v="2"/>
    <x v="5"/>
    <x v="25"/>
    <x v="4"/>
    <x v="2"/>
  </r>
  <r>
    <x v="159"/>
    <x v="1"/>
    <x v="12"/>
    <x v="0"/>
    <x v="0"/>
    <x v="25"/>
    <x v="0"/>
    <x v="0"/>
  </r>
  <r>
    <x v="159"/>
    <x v="8"/>
    <x v="2"/>
    <x v="1"/>
    <x v="4"/>
    <x v="25"/>
    <x v="3"/>
    <x v="12"/>
  </r>
  <r>
    <x v="160"/>
    <x v="0"/>
    <x v="14"/>
    <x v="4"/>
    <x v="1"/>
    <x v="25"/>
    <x v="1"/>
    <x v="15"/>
  </r>
  <r>
    <x v="385"/>
    <x v="3"/>
    <x v="14"/>
    <x v="1"/>
    <x v="0"/>
    <x v="25"/>
    <x v="4"/>
    <x v="15"/>
  </r>
  <r>
    <x v="385"/>
    <x v="8"/>
    <x v="12"/>
    <x v="2"/>
    <x v="1"/>
    <x v="25"/>
    <x v="10"/>
    <x v="13"/>
  </r>
  <r>
    <x v="394"/>
    <x v="0"/>
    <x v="2"/>
    <x v="1"/>
    <x v="1"/>
    <x v="25"/>
    <x v="0"/>
    <x v="0"/>
  </r>
  <r>
    <x v="396"/>
    <x v="8"/>
    <x v="2"/>
    <x v="2"/>
    <x v="3"/>
    <x v="26"/>
    <x v="3"/>
    <x v="12"/>
  </r>
  <r>
    <x v="403"/>
    <x v="6"/>
    <x v="14"/>
    <x v="0"/>
    <x v="4"/>
    <x v="26"/>
    <x v="13"/>
    <x v="7"/>
  </r>
  <r>
    <x v="409"/>
    <x v="0"/>
    <x v="11"/>
    <x v="4"/>
    <x v="2"/>
    <x v="26"/>
    <x v="1"/>
    <x v="12"/>
  </r>
  <r>
    <x v="420"/>
    <x v="0"/>
    <x v="6"/>
    <x v="1"/>
    <x v="1"/>
    <x v="26"/>
    <x v="0"/>
    <x v="0"/>
  </r>
  <r>
    <x v="420"/>
    <x v="10"/>
    <x v="2"/>
    <x v="3"/>
    <x v="0"/>
    <x v="26"/>
    <x v="13"/>
    <x v="3"/>
  </r>
  <r>
    <x v="437"/>
    <x v="0"/>
    <x v="14"/>
    <x v="0"/>
    <x v="5"/>
    <x v="26"/>
    <x v="13"/>
    <x v="1"/>
  </r>
  <r>
    <x v="450"/>
    <x v="6"/>
    <x v="2"/>
    <x v="1"/>
    <x v="3"/>
    <x v="26"/>
    <x v="3"/>
    <x v="7"/>
  </r>
  <r>
    <x v="466"/>
    <x v="8"/>
    <x v="14"/>
    <x v="1"/>
    <x v="1"/>
    <x v="26"/>
    <x v="0"/>
    <x v="0"/>
  </r>
  <r>
    <x v="466"/>
    <x v="0"/>
    <x v="2"/>
    <x v="4"/>
    <x v="1"/>
    <x v="26"/>
    <x v="1"/>
    <x v="3"/>
  </r>
  <r>
    <x v="483"/>
    <x v="6"/>
    <x v="11"/>
    <x v="3"/>
    <x v="1"/>
    <x v="26"/>
    <x v="7"/>
    <x v="12"/>
  </r>
  <r>
    <x v="161"/>
    <x v="9"/>
    <x v="2"/>
    <x v="0"/>
    <x v="1"/>
    <x v="27"/>
    <x v="3"/>
    <x v="13"/>
  </r>
  <r>
    <x v="161"/>
    <x v="0"/>
    <x v="4"/>
    <x v="4"/>
    <x v="2"/>
    <x v="27"/>
    <x v="1"/>
    <x v="5"/>
  </r>
  <r>
    <x v="161"/>
    <x v="1"/>
    <x v="6"/>
    <x v="4"/>
    <x v="4"/>
    <x v="27"/>
    <x v="0"/>
    <x v="0"/>
  </r>
  <r>
    <x v="162"/>
    <x v="0"/>
    <x v="12"/>
    <x v="1"/>
    <x v="2"/>
    <x v="27"/>
    <x v="11"/>
    <x v="1"/>
  </r>
  <r>
    <x v="163"/>
    <x v="6"/>
    <x v="11"/>
    <x v="1"/>
    <x v="3"/>
    <x v="27"/>
    <x v="10"/>
    <x v="7"/>
  </r>
  <r>
    <x v="163"/>
    <x v="4"/>
    <x v="2"/>
    <x v="1"/>
    <x v="5"/>
    <x v="27"/>
    <x v="3"/>
    <x v="5"/>
  </r>
  <r>
    <x v="164"/>
    <x v="8"/>
    <x v="2"/>
    <x v="2"/>
    <x v="0"/>
    <x v="27"/>
    <x v="10"/>
    <x v="3"/>
  </r>
  <r>
    <x v="164"/>
    <x v="1"/>
    <x v="4"/>
    <x v="2"/>
    <x v="1"/>
    <x v="27"/>
    <x v="2"/>
    <x v="5"/>
  </r>
  <r>
    <x v="164"/>
    <x v="6"/>
    <x v="12"/>
    <x v="1"/>
    <x v="2"/>
    <x v="27"/>
    <x v="11"/>
    <x v="7"/>
  </r>
  <r>
    <x v="165"/>
    <x v="0"/>
    <x v="6"/>
    <x v="4"/>
    <x v="2"/>
    <x v="27"/>
    <x v="1"/>
    <x v="7"/>
  </r>
  <r>
    <x v="165"/>
    <x v="4"/>
    <x v="11"/>
    <x v="2"/>
    <x v="3"/>
    <x v="27"/>
    <x v="10"/>
    <x v="5"/>
  </r>
  <r>
    <x v="166"/>
    <x v="1"/>
    <x v="12"/>
    <x v="3"/>
    <x v="2"/>
    <x v="27"/>
    <x v="2"/>
    <x v="13"/>
  </r>
  <r>
    <x v="167"/>
    <x v="0"/>
    <x v="2"/>
    <x v="3"/>
    <x v="0"/>
    <x v="27"/>
    <x v="1"/>
    <x v="3"/>
  </r>
  <r>
    <x v="167"/>
    <x v="4"/>
    <x v="12"/>
    <x v="1"/>
    <x v="1"/>
    <x v="27"/>
    <x v="0"/>
    <x v="0"/>
  </r>
  <r>
    <x v="167"/>
    <x v="1"/>
    <x v="11"/>
    <x v="2"/>
    <x v="0"/>
    <x v="27"/>
    <x v="2"/>
    <x v="12"/>
  </r>
  <r>
    <x v="168"/>
    <x v="6"/>
    <x v="2"/>
    <x v="2"/>
    <x v="2"/>
    <x v="27"/>
    <x v="0"/>
    <x v="0"/>
  </r>
  <r>
    <x v="168"/>
    <x v="8"/>
    <x v="12"/>
    <x v="4"/>
    <x v="1"/>
    <x v="27"/>
    <x v="10"/>
    <x v="13"/>
  </r>
  <r>
    <x v="169"/>
    <x v="0"/>
    <x v="1"/>
    <x v="2"/>
    <x v="3"/>
    <x v="27"/>
    <x v="2"/>
    <x v="1"/>
  </r>
  <r>
    <x v="170"/>
    <x v="1"/>
    <x v="2"/>
    <x v="5"/>
    <x v="4"/>
    <x v="27"/>
    <x v="2"/>
    <x v="3"/>
  </r>
  <r>
    <x v="170"/>
    <x v="4"/>
    <x v="6"/>
    <x v="3"/>
    <x v="4"/>
    <x v="27"/>
    <x v="7"/>
    <x v="5"/>
  </r>
  <r>
    <x v="170"/>
    <x v="0"/>
    <x v="11"/>
    <x v="1"/>
    <x v="1"/>
    <x v="27"/>
    <x v="0"/>
    <x v="0"/>
  </r>
  <r>
    <x v="171"/>
    <x v="3"/>
    <x v="4"/>
    <x v="5"/>
    <x v="2"/>
    <x v="28"/>
    <x v="4"/>
    <x v="5"/>
  </r>
  <r>
    <x v="417"/>
    <x v="3"/>
    <x v="4"/>
    <x v="0"/>
    <x v="0"/>
    <x v="28"/>
    <x v="0"/>
    <x v="0"/>
  </r>
  <r>
    <x v="459"/>
    <x v="6"/>
    <x v="11"/>
    <x v="2"/>
    <x v="2"/>
    <x v="28"/>
    <x v="0"/>
    <x v="0"/>
  </r>
  <r>
    <x v="496"/>
    <x v="6"/>
    <x v="11"/>
    <x v="1"/>
    <x v="3"/>
    <x v="28"/>
    <x v="10"/>
    <x v="7"/>
  </r>
  <r>
    <x v="428"/>
    <x v="1"/>
    <x v="14"/>
    <x v="0"/>
    <x v="4"/>
    <x v="28"/>
    <x v="13"/>
    <x v="2"/>
  </r>
  <r>
    <x v="449"/>
    <x v="0"/>
    <x v="11"/>
    <x v="4"/>
    <x v="1"/>
    <x v="28"/>
    <x v="1"/>
    <x v="12"/>
  </r>
  <r>
    <x v="449"/>
    <x v="3"/>
    <x v="16"/>
    <x v="2"/>
    <x v="0"/>
    <x v="28"/>
    <x v="4"/>
    <x v="17"/>
  </r>
  <r>
    <x v="464"/>
    <x v="10"/>
    <x v="16"/>
    <x v="4"/>
    <x v="0"/>
    <x v="28"/>
    <x v="13"/>
    <x v="17"/>
  </r>
  <r>
    <x v="470"/>
    <x v="3"/>
    <x v="11"/>
    <x v="4"/>
    <x v="2"/>
    <x v="28"/>
    <x v="4"/>
    <x v="12"/>
  </r>
  <r>
    <x v="470"/>
    <x v="0"/>
    <x v="1"/>
    <x v="1"/>
    <x v="0"/>
    <x v="28"/>
    <x v="1"/>
    <x v="2"/>
  </r>
  <r>
    <x v="485"/>
    <x v="0"/>
    <x v="16"/>
    <x v="5"/>
    <x v="1"/>
    <x v="28"/>
    <x v="1"/>
    <x v="17"/>
  </r>
  <r>
    <x v="485"/>
    <x v="1"/>
    <x v="11"/>
    <x v="0"/>
    <x v="1"/>
    <x v="28"/>
    <x v="10"/>
    <x v="2"/>
  </r>
  <r>
    <x v="489"/>
    <x v="3"/>
    <x v="14"/>
    <x v="2"/>
    <x v="2"/>
    <x v="28"/>
    <x v="0"/>
    <x v="0"/>
  </r>
  <r>
    <x v="500"/>
    <x v="1"/>
    <x v="16"/>
    <x v="0"/>
    <x v="3"/>
    <x v="28"/>
    <x v="14"/>
    <x v="2"/>
  </r>
  <r>
    <x v="500"/>
    <x v="0"/>
    <x v="3"/>
    <x v="2"/>
    <x v="0"/>
    <x v="28"/>
    <x v="1"/>
    <x v="4"/>
  </r>
  <r>
    <x v="506"/>
    <x v="8"/>
    <x v="14"/>
    <x v="0"/>
    <x v="2"/>
    <x v="28"/>
    <x v="13"/>
    <x v="12"/>
  </r>
  <r>
    <x v="172"/>
    <x v="8"/>
    <x v="16"/>
    <x v="5"/>
    <x v="3"/>
    <x v="28"/>
    <x v="10"/>
    <x v="17"/>
  </r>
  <r>
    <x v="172"/>
    <x v="1"/>
    <x v="3"/>
    <x v="0"/>
    <x v="0"/>
    <x v="28"/>
    <x v="0"/>
    <x v="0"/>
  </r>
  <r>
    <x v="173"/>
    <x v="0"/>
    <x v="14"/>
    <x v="0"/>
    <x v="1"/>
    <x v="28"/>
    <x v="13"/>
    <x v="1"/>
  </r>
  <r>
    <x v="174"/>
    <x v="3"/>
    <x v="12"/>
    <x v="1"/>
    <x v="1"/>
    <x v="29"/>
    <x v="0"/>
    <x v="0"/>
  </r>
  <r>
    <x v="175"/>
    <x v="1"/>
    <x v="3"/>
    <x v="2"/>
    <x v="1"/>
    <x v="29"/>
    <x v="2"/>
    <x v="4"/>
  </r>
  <r>
    <x v="175"/>
    <x v="4"/>
    <x v="11"/>
    <x v="1"/>
    <x v="0"/>
    <x v="29"/>
    <x v="5"/>
    <x v="12"/>
  </r>
  <r>
    <x v="176"/>
    <x v="6"/>
    <x v="11"/>
    <x v="2"/>
    <x v="2"/>
    <x v="29"/>
    <x v="0"/>
    <x v="0"/>
  </r>
  <r>
    <x v="177"/>
    <x v="1"/>
    <x v="12"/>
    <x v="0"/>
    <x v="1"/>
    <x v="29"/>
    <x v="11"/>
    <x v="2"/>
  </r>
  <r>
    <x v="177"/>
    <x v="4"/>
    <x v="6"/>
    <x v="3"/>
    <x v="1"/>
    <x v="29"/>
    <x v="5"/>
    <x v="7"/>
  </r>
  <r>
    <x v="178"/>
    <x v="4"/>
    <x v="11"/>
    <x v="1"/>
    <x v="0"/>
    <x v="29"/>
    <x v="5"/>
    <x v="12"/>
  </r>
  <r>
    <x v="179"/>
    <x v="11"/>
    <x v="2"/>
    <x v="0"/>
    <x v="4"/>
    <x v="29"/>
    <x v="3"/>
    <x v="17"/>
  </r>
  <r>
    <x v="392"/>
    <x v="0"/>
    <x v="16"/>
    <x v="5"/>
    <x v="1"/>
    <x v="29"/>
    <x v="1"/>
    <x v="17"/>
  </r>
  <r>
    <x v="400"/>
    <x v="0"/>
    <x v="2"/>
    <x v="1"/>
    <x v="2"/>
    <x v="29"/>
    <x v="3"/>
    <x v="1"/>
  </r>
  <r>
    <x v="406"/>
    <x v="1"/>
    <x v="12"/>
    <x v="1"/>
    <x v="3"/>
    <x v="29"/>
    <x v="11"/>
    <x v="2"/>
  </r>
  <r>
    <x v="406"/>
    <x v="4"/>
    <x v="6"/>
    <x v="2"/>
    <x v="0"/>
    <x v="29"/>
    <x v="5"/>
    <x v="7"/>
  </r>
  <r>
    <x v="412"/>
    <x v="0"/>
    <x v="16"/>
    <x v="10"/>
    <x v="0"/>
    <x v="29"/>
    <x v="1"/>
    <x v="17"/>
  </r>
  <r>
    <x v="412"/>
    <x v="6"/>
    <x v="11"/>
    <x v="1"/>
    <x v="3"/>
    <x v="29"/>
    <x v="10"/>
    <x v="7"/>
  </r>
  <r>
    <x v="423"/>
    <x v="1"/>
    <x v="3"/>
    <x v="0"/>
    <x v="4"/>
    <x v="29"/>
    <x v="4"/>
    <x v="2"/>
  </r>
  <r>
    <x v="423"/>
    <x v="11"/>
    <x v="2"/>
    <x v="0"/>
    <x v="6"/>
    <x v="29"/>
    <x v="3"/>
    <x v="17"/>
  </r>
  <r>
    <x v="434"/>
    <x v="0"/>
    <x v="2"/>
    <x v="0"/>
    <x v="1"/>
    <x v="29"/>
    <x v="3"/>
    <x v="1"/>
  </r>
  <r>
    <x v="454"/>
    <x v="3"/>
    <x v="12"/>
    <x v="1"/>
    <x v="3"/>
    <x v="29"/>
    <x v="11"/>
    <x v="4"/>
  </r>
  <r>
    <x v="180"/>
    <x v="4"/>
    <x v="14"/>
    <x v="3"/>
    <x v="0"/>
    <x v="29"/>
    <x v="5"/>
    <x v="15"/>
  </r>
  <r>
    <x v="181"/>
    <x v="9"/>
    <x v="2"/>
    <x v="3"/>
    <x v="1"/>
    <x v="29"/>
    <x v="11"/>
    <x v="3"/>
  </r>
  <r>
    <x v="182"/>
    <x v="4"/>
    <x v="14"/>
    <x v="0"/>
    <x v="1"/>
    <x v="29"/>
    <x v="13"/>
    <x v="5"/>
  </r>
  <r>
    <x v="183"/>
    <x v="9"/>
    <x v="2"/>
    <x v="0"/>
    <x v="2"/>
    <x v="29"/>
    <x v="3"/>
    <x v="13"/>
  </r>
  <r>
    <x v="184"/>
    <x v="4"/>
    <x v="12"/>
    <x v="1"/>
    <x v="0"/>
    <x v="29"/>
    <x v="5"/>
    <x v="13"/>
  </r>
  <r>
    <x v="185"/>
    <x v="4"/>
    <x v="12"/>
    <x v="0"/>
    <x v="2"/>
    <x v="29"/>
    <x v="11"/>
    <x v="5"/>
  </r>
  <r>
    <x v="186"/>
    <x v="4"/>
    <x v="12"/>
    <x v="0"/>
    <x v="1"/>
    <x v="29"/>
    <x v="11"/>
    <x v="5"/>
  </r>
  <r>
    <x v="187"/>
    <x v="0"/>
    <x v="1"/>
    <x v="1"/>
    <x v="2"/>
    <x v="30"/>
    <x v="2"/>
    <x v="1"/>
  </r>
  <r>
    <x v="188"/>
    <x v="1"/>
    <x v="2"/>
    <x v="2"/>
    <x v="1"/>
    <x v="30"/>
    <x v="2"/>
    <x v="3"/>
  </r>
  <r>
    <x v="384"/>
    <x v="4"/>
    <x v="16"/>
    <x v="0"/>
    <x v="0"/>
    <x v="30"/>
    <x v="0"/>
    <x v="0"/>
  </r>
  <r>
    <x v="386"/>
    <x v="0"/>
    <x v="2"/>
    <x v="1"/>
    <x v="2"/>
    <x v="30"/>
    <x v="3"/>
    <x v="1"/>
  </r>
  <r>
    <x v="407"/>
    <x v="0"/>
    <x v="1"/>
    <x v="3"/>
    <x v="0"/>
    <x v="30"/>
    <x v="1"/>
    <x v="2"/>
  </r>
  <r>
    <x v="407"/>
    <x v="3"/>
    <x v="16"/>
    <x v="1"/>
    <x v="1"/>
    <x v="30"/>
    <x v="0"/>
    <x v="0"/>
  </r>
  <r>
    <x v="432"/>
    <x v="3"/>
    <x v="4"/>
    <x v="0"/>
    <x v="1"/>
    <x v="30"/>
    <x v="5"/>
    <x v="4"/>
  </r>
  <r>
    <x v="435"/>
    <x v="1"/>
    <x v="2"/>
    <x v="0"/>
    <x v="2"/>
    <x v="30"/>
    <x v="3"/>
    <x v="2"/>
  </r>
  <r>
    <x v="465"/>
    <x v="4"/>
    <x v="16"/>
    <x v="4"/>
    <x v="0"/>
    <x v="30"/>
    <x v="5"/>
    <x v="17"/>
  </r>
  <r>
    <x v="471"/>
    <x v="0"/>
    <x v="2"/>
    <x v="2"/>
    <x v="2"/>
    <x v="30"/>
    <x v="0"/>
    <x v="0"/>
  </r>
  <r>
    <x v="501"/>
    <x v="3"/>
    <x v="16"/>
    <x v="7"/>
    <x v="0"/>
    <x v="30"/>
    <x v="4"/>
    <x v="17"/>
  </r>
  <r>
    <x v="501"/>
    <x v="6"/>
    <x v="11"/>
    <x v="1"/>
    <x v="2"/>
    <x v="30"/>
    <x v="10"/>
    <x v="7"/>
  </r>
  <r>
    <x v="189"/>
    <x v="3"/>
    <x v="4"/>
    <x v="2"/>
    <x v="0"/>
    <x v="30"/>
    <x v="4"/>
    <x v="5"/>
  </r>
  <r>
    <x v="189"/>
    <x v="6"/>
    <x v="14"/>
    <x v="2"/>
    <x v="1"/>
    <x v="30"/>
    <x v="7"/>
    <x v="15"/>
  </r>
  <r>
    <x v="190"/>
    <x v="6"/>
    <x v="11"/>
    <x v="0"/>
    <x v="2"/>
    <x v="30"/>
    <x v="10"/>
    <x v="7"/>
  </r>
  <r>
    <x v="191"/>
    <x v="6"/>
    <x v="14"/>
    <x v="1"/>
    <x v="2"/>
    <x v="30"/>
    <x v="13"/>
    <x v="7"/>
  </r>
  <r>
    <x v="192"/>
    <x v="8"/>
    <x v="14"/>
    <x v="0"/>
    <x v="0"/>
    <x v="30"/>
    <x v="0"/>
    <x v="0"/>
  </r>
  <r>
    <x v="193"/>
    <x v="8"/>
    <x v="14"/>
    <x v="2"/>
    <x v="2"/>
    <x v="30"/>
    <x v="0"/>
    <x v="0"/>
  </r>
  <r>
    <x v="194"/>
    <x v="3"/>
    <x v="12"/>
    <x v="2"/>
    <x v="1"/>
    <x v="30"/>
    <x v="4"/>
    <x v="13"/>
  </r>
  <r>
    <x v="195"/>
    <x v="8"/>
    <x v="2"/>
    <x v="2"/>
    <x v="1"/>
    <x v="30"/>
    <x v="10"/>
    <x v="3"/>
  </r>
  <r>
    <x v="195"/>
    <x v="3"/>
    <x v="12"/>
    <x v="0"/>
    <x v="0"/>
    <x v="30"/>
    <x v="0"/>
    <x v="0"/>
  </r>
  <r>
    <x v="196"/>
    <x v="8"/>
    <x v="2"/>
    <x v="2"/>
    <x v="2"/>
    <x v="30"/>
    <x v="0"/>
    <x v="0"/>
  </r>
  <r>
    <x v="197"/>
    <x v="3"/>
    <x v="11"/>
    <x v="0"/>
    <x v="3"/>
    <x v="30"/>
    <x v="10"/>
    <x v="4"/>
  </r>
  <r>
    <x v="397"/>
    <x v="3"/>
    <x v="11"/>
    <x v="1"/>
    <x v="0"/>
    <x v="30"/>
    <x v="4"/>
    <x v="12"/>
  </r>
  <r>
    <x v="418"/>
    <x v="3"/>
    <x v="11"/>
    <x v="0"/>
    <x v="0"/>
    <x v="30"/>
    <x v="0"/>
    <x v="0"/>
  </r>
  <r>
    <x v="413"/>
    <x v="0"/>
    <x v="6"/>
    <x v="2"/>
    <x v="2"/>
    <x v="31"/>
    <x v="0"/>
    <x v="0"/>
  </r>
  <r>
    <x v="429"/>
    <x v="1"/>
    <x v="4"/>
    <x v="0"/>
    <x v="1"/>
    <x v="31"/>
    <x v="5"/>
    <x v="2"/>
  </r>
  <r>
    <x v="441"/>
    <x v="6"/>
    <x v="2"/>
    <x v="0"/>
    <x v="1"/>
    <x v="31"/>
    <x v="3"/>
    <x v="7"/>
  </r>
  <r>
    <x v="441"/>
    <x v="4"/>
    <x v="12"/>
    <x v="0"/>
    <x v="1"/>
    <x v="31"/>
    <x v="11"/>
    <x v="5"/>
  </r>
  <r>
    <x v="458"/>
    <x v="1"/>
    <x v="12"/>
    <x v="1"/>
    <x v="1"/>
    <x v="31"/>
    <x v="0"/>
    <x v="0"/>
  </r>
  <r>
    <x v="476"/>
    <x v="0"/>
    <x v="2"/>
    <x v="1"/>
    <x v="0"/>
    <x v="31"/>
    <x v="1"/>
    <x v="3"/>
  </r>
  <r>
    <x v="494"/>
    <x v="4"/>
    <x v="12"/>
    <x v="2"/>
    <x v="2"/>
    <x v="31"/>
    <x v="0"/>
    <x v="0"/>
  </r>
  <r>
    <x v="510"/>
    <x v="1"/>
    <x v="4"/>
    <x v="2"/>
    <x v="2"/>
    <x v="31"/>
    <x v="0"/>
    <x v="0"/>
  </r>
  <r>
    <x v="198"/>
    <x v="6"/>
    <x v="2"/>
    <x v="0"/>
    <x v="5"/>
    <x v="31"/>
    <x v="3"/>
    <x v="7"/>
  </r>
  <r>
    <x v="198"/>
    <x v="3"/>
    <x v="14"/>
    <x v="1"/>
    <x v="2"/>
    <x v="31"/>
    <x v="13"/>
    <x v="4"/>
  </r>
  <r>
    <x v="199"/>
    <x v="1"/>
    <x v="12"/>
    <x v="1"/>
    <x v="2"/>
    <x v="31"/>
    <x v="11"/>
    <x v="2"/>
  </r>
  <r>
    <x v="199"/>
    <x v="10"/>
    <x v="16"/>
    <x v="3"/>
    <x v="0"/>
    <x v="31"/>
    <x v="13"/>
    <x v="17"/>
  </r>
  <r>
    <x v="200"/>
    <x v="0"/>
    <x v="6"/>
    <x v="2"/>
    <x v="2"/>
    <x v="31"/>
    <x v="0"/>
    <x v="0"/>
  </r>
  <r>
    <x v="201"/>
    <x v="3"/>
    <x v="16"/>
    <x v="5"/>
    <x v="0"/>
    <x v="31"/>
    <x v="4"/>
    <x v="17"/>
  </r>
  <r>
    <x v="202"/>
    <x v="3"/>
    <x v="14"/>
    <x v="2"/>
    <x v="0"/>
    <x v="31"/>
    <x v="4"/>
    <x v="15"/>
  </r>
  <r>
    <x v="203"/>
    <x v="0"/>
    <x v="2"/>
    <x v="0"/>
    <x v="0"/>
    <x v="31"/>
    <x v="0"/>
    <x v="0"/>
  </r>
  <r>
    <x v="204"/>
    <x v="10"/>
    <x v="16"/>
    <x v="2"/>
    <x v="1"/>
    <x v="31"/>
    <x v="13"/>
    <x v="17"/>
  </r>
  <r>
    <x v="205"/>
    <x v="3"/>
    <x v="16"/>
    <x v="0"/>
    <x v="0"/>
    <x v="31"/>
    <x v="0"/>
    <x v="0"/>
  </r>
  <r>
    <x v="206"/>
    <x v="9"/>
    <x v="14"/>
    <x v="0"/>
    <x v="1"/>
    <x v="31"/>
    <x v="13"/>
    <x v="13"/>
  </r>
  <r>
    <x v="206"/>
    <x v="8"/>
    <x v="2"/>
    <x v="1"/>
    <x v="1"/>
    <x v="31"/>
    <x v="0"/>
    <x v="0"/>
  </r>
  <r>
    <x v="207"/>
    <x v="9"/>
    <x v="14"/>
    <x v="1"/>
    <x v="1"/>
    <x v="31"/>
    <x v="0"/>
    <x v="0"/>
  </r>
  <r>
    <x v="207"/>
    <x v="8"/>
    <x v="2"/>
    <x v="0"/>
    <x v="0"/>
    <x v="31"/>
    <x v="0"/>
    <x v="0"/>
  </r>
  <r>
    <x v="208"/>
    <x v="10"/>
    <x v="2"/>
    <x v="2"/>
    <x v="0"/>
    <x v="31"/>
    <x v="13"/>
    <x v="3"/>
  </r>
  <r>
    <x v="209"/>
    <x v="10"/>
    <x v="2"/>
    <x v="1"/>
    <x v="1"/>
    <x v="31"/>
    <x v="0"/>
    <x v="0"/>
  </r>
  <r>
    <x v="210"/>
    <x v="0"/>
    <x v="12"/>
    <x v="1"/>
    <x v="1"/>
    <x v="32"/>
    <x v="0"/>
    <x v="0"/>
  </r>
  <r>
    <x v="211"/>
    <x v="1"/>
    <x v="11"/>
    <x v="0"/>
    <x v="0"/>
    <x v="32"/>
    <x v="0"/>
    <x v="0"/>
  </r>
  <r>
    <x v="211"/>
    <x v="11"/>
    <x v="2"/>
    <x v="0"/>
    <x v="5"/>
    <x v="32"/>
    <x v="3"/>
    <x v="17"/>
  </r>
  <r>
    <x v="212"/>
    <x v="3"/>
    <x v="16"/>
    <x v="3"/>
    <x v="1"/>
    <x v="32"/>
    <x v="4"/>
    <x v="17"/>
  </r>
  <r>
    <x v="213"/>
    <x v="1"/>
    <x v="4"/>
    <x v="0"/>
    <x v="2"/>
    <x v="32"/>
    <x v="5"/>
    <x v="2"/>
  </r>
  <r>
    <x v="214"/>
    <x v="0"/>
    <x v="6"/>
    <x v="3"/>
    <x v="0"/>
    <x v="32"/>
    <x v="1"/>
    <x v="7"/>
  </r>
  <r>
    <x v="215"/>
    <x v="3"/>
    <x v="2"/>
    <x v="4"/>
    <x v="0"/>
    <x v="32"/>
    <x v="4"/>
    <x v="3"/>
  </r>
  <r>
    <x v="216"/>
    <x v="6"/>
    <x v="12"/>
    <x v="1"/>
    <x v="1"/>
    <x v="32"/>
    <x v="0"/>
    <x v="0"/>
  </r>
  <r>
    <x v="217"/>
    <x v="4"/>
    <x v="11"/>
    <x v="3"/>
    <x v="0"/>
    <x v="32"/>
    <x v="5"/>
    <x v="12"/>
  </r>
  <r>
    <x v="218"/>
    <x v="3"/>
    <x v="4"/>
    <x v="2"/>
    <x v="1"/>
    <x v="32"/>
    <x v="4"/>
    <x v="5"/>
  </r>
  <r>
    <x v="219"/>
    <x v="0"/>
    <x v="14"/>
    <x v="0"/>
    <x v="1"/>
    <x v="32"/>
    <x v="13"/>
    <x v="1"/>
  </r>
  <r>
    <x v="220"/>
    <x v="0"/>
    <x v="4"/>
    <x v="1"/>
    <x v="2"/>
    <x v="32"/>
    <x v="5"/>
    <x v="1"/>
  </r>
  <r>
    <x v="221"/>
    <x v="3"/>
    <x v="14"/>
    <x v="0"/>
    <x v="1"/>
    <x v="32"/>
    <x v="13"/>
    <x v="4"/>
  </r>
  <r>
    <x v="222"/>
    <x v="8"/>
    <x v="12"/>
    <x v="5"/>
    <x v="2"/>
    <x v="33"/>
    <x v="10"/>
    <x v="13"/>
  </r>
  <r>
    <x v="222"/>
    <x v="11"/>
    <x v="2"/>
    <x v="1"/>
    <x v="3"/>
    <x v="33"/>
    <x v="3"/>
    <x v="17"/>
  </r>
  <r>
    <x v="223"/>
    <x v="0"/>
    <x v="3"/>
    <x v="1"/>
    <x v="0"/>
    <x v="33"/>
    <x v="1"/>
    <x v="4"/>
  </r>
  <r>
    <x v="223"/>
    <x v="6"/>
    <x v="14"/>
    <x v="1"/>
    <x v="0"/>
    <x v="33"/>
    <x v="7"/>
    <x v="15"/>
  </r>
  <r>
    <x v="224"/>
    <x v="4"/>
    <x v="16"/>
    <x v="4"/>
    <x v="2"/>
    <x v="33"/>
    <x v="5"/>
    <x v="17"/>
  </r>
  <r>
    <x v="224"/>
    <x v="9"/>
    <x v="2"/>
    <x v="0"/>
    <x v="0"/>
    <x v="33"/>
    <x v="0"/>
    <x v="0"/>
  </r>
  <r>
    <x v="225"/>
    <x v="0"/>
    <x v="6"/>
    <x v="0"/>
    <x v="0"/>
    <x v="33"/>
    <x v="0"/>
    <x v="0"/>
  </r>
  <r>
    <x v="225"/>
    <x v="1"/>
    <x v="14"/>
    <x v="0"/>
    <x v="3"/>
    <x v="33"/>
    <x v="13"/>
    <x v="2"/>
  </r>
  <r>
    <x v="226"/>
    <x v="4"/>
    <x v="11"/>
    <x v="0"/>
    <x v="1"/>
    <x v="33"/>
    <x v="10"/>
    <x v="5"/>
  </r>
  <r>
    <x v="226"/>
    <x v="9"/>
    <x v="16"/>
    <x v="1"/>
    <x v="1"/>
    <x v="33"/>
    <x v="0"/>
    <x v="0"/>
  </r>
  <r>
    <x v="227"/>
    <x v="1"/>
    <x v="6"/>
    <x v="0"/>
    <x v="0"/>
    <x v="33"/>
    <x v="0"/>
    <x v="0"/>
  </r>
  <r>
    <x v="227"/>
    <x v="3"/>
    <x v="14"/>
    <x v="0"/>
    <x v="3"/>
    <x v="33"/>
    <x v="13"/>
    <x v="4"/>
  </r>
  <r>
    <x v="228"/>
    <x v="8"/>
    <x v="16"/>
    <x v="3"/>
    <x v="0"/>
    <x v="33"/>
    <x v="10"/>
    <x v="17"/>
  </r>
  <r>
    <x v="228"/>
    <x v="4"/>
    <x v="2"/>
    <x v="0"/>
    <x v="0"/>
    <x v="33"/>
    <x v="0"/>
    <x v="0"/>
  </r>
  <r>
    <x v="229"/>
    <x v="0"/>
    <x v="14"/>
    <x v="1"/>
    <x v="0"/>
    <x v="33"/>
    <x v="1"/>
    <x v="15"/>
  </r>
  <r>
    <x v="229"/>
    <x v="1"/>
    <x v="3"/>
    <x v="0"/>
    <x v="5"/>
    <x v="33"/>
    <x v="4"/>
    <x v="2"/>
  </r>
  <r>
    <x v="230"/>
    <x v="4"/>
    <x v="12"/>
    <x v="1"/>
    <x v="1"/>
    <x v="33"/>
    <x v="0"/>
    <x v="0"/>
  </r>
  <r>
    <x v="230"/>
    <x v="8"/>
    <x v="2"/>
    <x v="0"/>
    <x v="2"/>
    <x v="33"/>
    <x v="3"/>
    <x v="12"/>
  </r>
  <r>
    <x v="231"/>
    <x v="3"/>
    <x v="6"/>
    <x v="2"/>
    <x v="1"/>
    <x v="33"/>
    <x v="4"/>
    <x v="7"/>
  </r>
  <r>
    <x v="231"/>
    <x v="0"/>
    <x v="1"/>
    <x v="0"/>
    <x v="0"/>
    <x v="33"/>
    <x v="0"/>
    <x v="0"/>
  </r>
  <r>
    <x v="232"/>
    <x v="8"/>
    <x v="14"/>
    <x v="0"/>
    <x v="3"/>
    <x v="33"/>
    <x v="13"/>
    <x v="12"/>
  </r>
  <r>
    <x v="232"/>
    <x v="0"/>
    <x v="2"/>
    <x v="0"/>
    <x v="2"/>
    <x v="33"/>
    <x v="3"/>
    <x v="1"/>
  </r>
  <r>
    <x v="233"/>
    <x v="0"/>
    <x v="14"/>
    <x v="0"/>
    <x v="2"/>
    <x v="33"/>
    <x v="13"/>
    <x v="1"/>
  </r>
  <r>
    <x v="233"/>
    <x v="8"/>
    <x v="2"/>
    <x v="0"/>
    <x v="3"/>
    <x v="33"/>
    <x v="3"/>
    <x v="12"/>
  </r>
  <r>
    <x v="234"/>
    <x v="0"/>
    <x v="11"/>
    <x v="0"/>
    <x v="0"/>
    <x v="33"/>
    <x v="0"/>
    <x v="0"/>
  </r>
  <r>
    <x v="234"/>
    <x v="10"/>
    <x v="2"/>
    <x v="0"/>
    <x v="1"/>
    <x v="33"/>
    <x v="3"/>
    <x v="15"/>
  </r>
  <r>
    <x v="235"/>
    <x v="3"/>
    <x v="16"/>
    <x v="2"/>
    <x v="0"/>
    <x v="34"/>
    <x v="4"/>
    <x v="17"/>
  </r>
  <r>
    <x v="235"/>
    <x v="8"/>
    <x v="12"/>
    <x v="1"/>
    <x v="0"/>
    <x v="34"/>
    <x v="10"/>
    <x v="13"/>
  </r>
  <r>
    <x v="236"/>
    <x v="1"/>
    <x v="14"/>
    <x v="1"/>
    <x v="1"/>
    <x v="34"/>
    <x v="0"/>
    <x v="0"/>
  </r>
  <r>
    <x v="236"/>
    <x v="4"/>
    <x v="6"/>
    <x v="1"/>
    <x v="0"/>
    <x v="34"/>
    <x v="5"/>
    <x v="7"/>
  </r>
  <r>
    <x v="237"/>
    <x v="0"/>
    <x v="16"/>
    <x v="3"/>
    <x v="0"/>
    <x v="34"/>
    <x v="1"/>
    <x v="17"/>
  </r>
  <r>
    <x v="237"/>
    <x v="3"/>
    <x v="12"/>
    <x v="4"/>
    <x v="2"/>
    <x v="34"/>
    <x v="4"/>
    <x v="13"/>
  </r>
  <r>
    <x v="238"/>
    <x v="1"/>
    <x v="2"/>
    <x v="1"/>
    <x v="2"/>
    <x v="34"/>
    <x v="3"/>
    <x v="2"/>
  </r>
  <r>
    <x v="238"/>
    <x v="6"/>
    <x v="14"/>
    <x v="1"/>
    <x v="1"/>
    <x v="34"/>
    <x v="0"/>
    <x v="0"/>
  </r>
  <r>
    <x v="239"/>
    <x v="8"/>
    <x v="16"/>
    <x v="5"/>
    <x v="0"/>
    <x v="34"/>
    <x v="10"/>
    <x v="17"/>
  </r>
  <r>
    <x v="239"/>
    <x v="0"/>
    <x v="3"/>
    <x v="1"/>
    <x v="0"/>
    <x v="34"/>
    <x v="1"/>
    <x v="4"/>
  </r>
  <r>
    <x v="240"/>
    <x v="1"/>
    <x v="4"/>
    <x v="0"/>
    <x v="0"/>
    <x v="34"/>
    <x v="0"/>
    <x v="0"/>
  </r>
  <r>
    <x v="240"/>
    <x v="10"/>
    <x v="2"/>
    <x v="1"/>
    <x v="1"/>
    <x v="34"/>
    <x v="0"/>
    <x v="0"/>
  </r>
  <r>
    <x v="241"/>
    <x v="0"/>
    <x v="11"/>
    <x v="4"/>
    <x v="1"/>
    <x v="34"/>
    <x v="1"/>
    <x v="12"/>
  </r>
  <r>
    <x v="241"/>
    <x v="9"/>
    <x v="16"/>
    <x v="5"/>
    <x v="1"/>
    <x v="34"/>
    <x v="11"/>
    <x v="17"/>
  </r>
  <r>
    <x v="242"/>
    <x v="4"/>
    <x v="2"/>
    <x v="2"/>
    <x v="0"/>
    <x v="34"/>
    <x v="5"/>
    <x v="3"/>
  </r>
  <r>
    <x v="242"/>
    <x v="1"/>
    <x v="6"/>
    <x v="0"/>
    <x v="4"/>
    <x v="34"/>
    <x v="7"/>
    <x v="2"/>
  </r>
  <r>
    <x v="243"/>
    <x v="0"/>
    <x v="12"/>
    <x v="3"/>
    <x v="2"/>
    <x v="34"/>
    <x v="1"/>
    <x v="13"/>
  </r>
  <r>
    <x v="243"/>
    <x v="3"/>
    <x v="11"/>
    <x v="4"/>
    <x v="0"/>
    <x v="34"/>
    <x v="4"/>
    <x v="12"/>
  </r>
  <r>
    <x v="244"/>
    <x v="4"/>
    <x v="14"/>
    <x v="0"/>
    <x v="1"/>
    <x v="34"/>
    <x v="13"/>
    <x v="5"/>
  </r>
  <r>
    <x v="244"/>
    <x v="6"/>
    <x v="2"/>
    <x v="1"/>
    <x v="3"/>
    <x v="34"/>
    <x v="3"/>
    <x v="7"/>
  </r>
  <r>
    <x v="245"/>
    <x v="3"/>
    <x v="4"/>
    <x v="1"/>
    <x v="1"/>
    <x v="34"/>
    <x v="0"/>
    <x v="0"/>
  </r>
  <r>
    <x v="245"/>
    <x v="0"/>
    <x v="2"/>
    <x v="3"/>
    <x v="2"/>
    <x v="34"/>
    <x v="1"/>
    <x v="3"/>
  </r>
  <r>
    <x v="246"/>
    <x v="4"/>
    <x v="2"/>
    <x v="0"/>
    <x v="2"/>
    <x v="34"/>
    <x v="3"/>
    <x v="5"/>
  </r>
  <r>
    <x v="246"/>
    <x v="0"/>
    <x v="3"/>
    <x v="0"/>
    <x v="0"/>
    <x v="34"/>
    <x v="0"/>
    <x v="0"/>
  </r>
  <r>
    <x v="247"/>
    <x v="0"/>
    <x v="4"/>
    <x v="2"/>
    <x v="1"/>
    <x v="34"/>
    <x v="1"/>
    <x v="5"/>
  </r>
  <r>
    <x v="247"/>
    <x v="3"/>
    <x v="2"/>
    <x v="0"/>
    <x v="2"/>
    <x v="34"/>
    <x v="3"/>
    <x v="4"/>
  </r>
  <r>
    <x v="248"/>
    <x v="6"/>
    <x v="16"/>
    <x v="6"/>
    <x v="1"/>
    <x v="35"/>
    <x v="7"/>
    <x v="17"/>
  </r>
  <r>
    <x v="249"/>
    <x v="10"/>
    <x v="15"/>
    <x v="1"/>
    <x v="0"/>
    <x v="35"/>
    <x v="13"/>
    <x v="16"/>
  </r>
  <r>
    <x v="249"/>
    <x v="4"/>
    <x v="10"/>
    <x v="2"/>
    <x v="1"/>
    <x v="35"/>
    <x v="5"/>
    <x v="11"/>
  </r>
  <r>
    <x v="250"/>
    <x v="0"/>
    <x v="1"/>
    <x v="1"/>
    <x v="0"/>
    <x v="35"/>
    <x v="1"/>
    <x v="2"/>
  </r>
  <r>
    <x v="251"/>
    <x v="9"/>
    <x v="2"/>
    <x v="0"/>
    <x v="0"/>
    <x v="35"/>
    <x v="0"/>
    <x v="0"/>
  </r>
  <r>
    <x v="251"/>
    <x v="3"/>
    <x v="11"/>
    <x v="0"/>
    <x v="1"/>
    <x v="35"/>
    <x v="10"/>
    <x v="4"/>
  </r>
  <r>
    <x v="252"/>
    <x v="10"/>
    <x v="16"/>
    <x v="2"/>
    <x v="2"/>
    <x v="35"/>
    <x v="0"/>
    <x v="0"/>
  </r>
  <r>
    <x v="252"/>
    <x v="6"/>
    <x v="15"/>
    <x v="2"/>
    <x v="0"/>
    <x v="35"/>
    <x v="7"/>
    <x v="16"/>
  </r>
  <r>
    <x v="253"/>
    <x v="0"/>
    <x v="10"/>
    <x v="1"/>
    <x v="1"/>
    <x v="35"/>
    <x v="0"/>
    <x v="0"/>
  </r>
  <r>
    <x v="253"/>
    <x v="1"/>
    <x v="4"/>
    <x v="1"/>
    <x v="1"/>
    <x v="35"/>
    <x v="0"/>
    <x v="0"/>
  </r>
  <r>
    <x v="254"/>
    <x v="3"/>
    <x v="2"/>
    <x v="3"/>
    <x v="2"/>
    <x v="35"/>
    <x v="4"/>
    <x v="3"/>
  </r>
  <r>
    <x v="254"/>
    <x v="8"/>
    <x v="12"/>
    <x v="1"/>
    <x v="1"/>
    <x v="35"/>
    <x v="0"/>
    <x v="0"/>
  </r>
  <r>
    <x v="255"/>
    <x v="11"/>
    <x v="15"/>
    <x v="3"/>
    <x v="3"/>
    <x v="35"/>
    <x v="0"/>
    <x v="0"/>
  </r>
  <r>
    <x v="255"/>
    <x v="6"/>
    <x v="14"/>
    <x v="2"/>
    <x v="1"/>
    <x v="35"/>
    <x v="7"/>
    <x v="15"/>
  </r>
  <r>
    <x v="256"/>
    <x v="1"/>
    <x v="10"/>
    <x v="0"/>
    <x v="0"/>
    <x v="35"/>
    <x v="0"/>
    <x v="0"/>
  </r>
  <r>
    <x v="256"/>
    <x v="0"/>
    <x v="4"/>
    <x v="1"/>
    <x v="1"/>
    <x v="35"/>
    <x v="0"/>
    <x v="0"/>
  </r>
  <r>
    <x v="257"/>
    <x v="8"/>
    <x v="2"/>
    <x v="0"/>
    <x v="3"/>
    <x v="35"/>
    <x v="3"/>
    <x v="12"/>
  </r>
  <r>
    <x v="257"/>
    <x v="3"/>
    <x v="12"/>
    <x v="0"/>
    <x v="1"/>
    <x v="35"/>
    <x v="11"/>
    <x v="4"/>
  </r>
  <r>
    <x v="258"/>
    <x v="6"/>
    <x v="11"/>
    <x v="3"/>
    <x v="0"/>
    <x v="35"/>
    <x v="7"/>
    <x v="12"/>
  </r>
  <r>
    <x v="258"/>
    <x v="4"/>
    <x v="14"/>
    <x v="1"/>
    <x v="1"/>
    <x v="35"/>
    <x v="0"/>
    <x v="0"/>
  </r>
  <r>
    <x v="259"/>
    <x v="9"/>
    <x v="10"/>
    <x v="2"/>
    <x v="4"/>
    <x v="35"/>
    <x v="9"/>
    <x v="13"/>
  </r>
  <r>
    <x v="259"/>
    <x v="0"/>
    <x v="2"/>
    <x v="1"/>
    <x v="1"/>
    <x v="35"/>
    <x v="0"/>
    <x v="0"/>
  </r>
  <r>
    <x v="260"/>
    <x v="6"/>
    <x v="10"/>
    <x v="0"/>
    <x v="2"/>
    <x v="35"/>
    <x v="9"/>
    <x v="7"/>
  </r>
  <r>
    <x v="261"/>
    <x v="0"/>
    <x v="4"/>
    <x v="0"/>
    <x v="0"/>
    <x v="35"/>
    <x v="0"/>
    <x v="0"/>
  </r>
  <r>
    <x v="262"/>
    <x v="4"/>
    <x v="6"/>
    <x v="1"/>
    <x v="0"/>
    <x v="35"/>
    <x v="5"/>
    <x v="7"/>
  </r>
  <r>
    <x v="263"/>
    <x v="0"/>
    <x v="10"/>
    <x v="2"/>
    <x v="1"/>
    <x v="35"/>
    <x v="1"/>
    <x v="11"/>
  </r>
  <r>
    <x v="264"/>
    <x v="10"/>
    <x v="16"/>
    <x v="4"/>
    <x v="1"/>
    <x v="36"/>
    <x v="13"/>
    <x v="17"/>
  </r>
  <r>
    <x v="265"/>
    <x v="8"/>
    <x v="10"/>
    <x v="2"/>
    <x v="1"/>
    <x v="36"/>
    <x v="10"/>
    <x v="11"/>
  </r>
  <r>
    <x v="266"/>
    <x v="6"/>
    <x v="2"/>
    <x v="0"/>
    <x v="1"/>
    <x v="36"/>
    <x v="3"/>
    <x v="7"/>
  </r>
  <r>
    <x v="266"/>
    <x v="4"/>
    <x v="12"/>
    <x v="1"/>
    <x v="1"/>
    <x v="36"/>
    <x v="0"/>
    <x v="0"/>
  </r>
  <r>
    <x v="267"/>
    <x v="3"/>
    <x v="13"/>
    <x v="1"/>
    <x v="2"/>
    <x v="36"/>
    <x v="12"/>
    <x v="4"/>
  </r>
  <r>
    <x v="267"/>
    <x v="0"/>
    <x v="1"/>
    <x v="2"/>
    <x v="1"/>
    <x v="36"/>
    <x v="1"/>
    <x v="2"/>
  </r>
  <r>
    <x v="268"/>
    <x v="11"/>
    <x v="10"/>
    <x v="1"/>
    <x v="3"/>
    <x v="36"/>
    <x v="9"/>
    <x v="17"/>
  </r>
  <r>
    <x v="268"/>
    <x v="8"/>
    <x v="14"/>
    <x v="0"/>
    <x v="1"/>
    <x v="36"/>
    <x v="13"/>
    <x v="12"/>
  </r>
  <r>
    <x v="269"/>
    <x v="4"/>
    <x v="6"/>
    <x v="1"/>
    <x v="0"/>
    <x v="36"/>
    <x v="5"/>
    <x v="7"/>
  </r>
  <r>
    <x v="269"/>
    <x v="9"/>
    <x v="2"/>
    <x v="0"/>
    <x v="2"/>
    <x v="36"/>
    <x v="3"/>
    <x v="13"/>
  </r>
  <r>
    <x v="270"/>
    <x v="0"/>
    <x v="3"/>
    <x v="4"/>
    <x v="0"/>
    <x v="36"/>
    <x v="1"/>
    <x v="4"/>
  </r>
  <r>
    <x v="270"/>
    <x v="1"/>
    <x v="15"/>
    <x v="1"/>
    <x v="0"/>
    <x v="36"/>
    <x v="2"/>
    <x v="16"/>
  </r>
  <r>
    <x v="271"/>
    <x v="8"/>
    <x v="16"/>
    <x v="3"/>
    <x v="2"/>
    <x v="36"/>
    <x v="10"/>
    <x v="17"/>
  </r>
  <r>
    <x v="272"/>
    <x v="6"/>
    <x v="12"/>
    <x v="2"/>
    <x v="1"/>
    <x v="36"/>
    <x v="7"/>
    <x v="13"/>
  </r>
  <r>
    <x v="272"/>
    <x v="10"/>
    <x v="10"/>
    <x v="1"/>
    <x v="1"/>
    <x v="36"/>
    <x v="0"/>
    <x v="0"/>
  </r>
  <r>
    <x v="272"/>
    <x v="4"/>
    <x v="2"/>
    <x v="0"/>
    <x v="3"/>
    <x v="36"/>
    <x v="3"/>
    <x v="5"/>
  </r>
  <r>
    <x v="273"/>
    <x v="0"/>
    <x v="13"/>
    <x v="0"/>
    <x v="3"/>
    <x v="36"/>
    <x v="12"/>
    <x v="1"/>
  </r>
  <r>
    <x v="273"/>
    <x v="1"/>
    <x v="3"/>
    <x v="2"/>
    <x v="2"/>
    <x v="36"/>
    <x v="0"/>
    <x v="0"/>
  </r>
  <r>
    <x v="274"/>
    <x v="4"/>
    <x v="11"/>
    <x v="1"/>
    <x v="1"/>
    <x v="36"/>
    <x v="0"/>
    <x v="0"/>
  </r>
  <r>
    <x v="274"/>
    <x v="1"/>
    <x v="14"/>
    <x v="1"/>
    <x v="2"/>
    <x v="36"/>
    <x v="13"/>
    <x v="2"/>
  </r>
  <r>
    <x v="275"/>
    <x v="7"/>
    <x v="15"/>
    <x v="0"/>
    <x v="0"/>
    <x v="36"/>
    <x v="0"/>
    <x v="0"/>
  </r>
  <r>
    <x v="275"/>
    <x v="0"/>
    <x v="2"/>
    <x v="2"/>
    <x v="2"/>
    <x v="36"/>
    <x v="0"/>
    <x v="0"/>
  </r>
  <r>
    <x v="276"/>
    <x v="4"/>
    <x v="14"/>
    <x v="0"/>
    <x v="2"/>
    <x v="36"/>
    <x v="13"/>
    <x v="5"/>
  </r>
  <r>
    <x v="277"/>
    <x v="2"/>
    <x v="15"/>
    <x v="1"/>
    <x v="0"/>
    <x v="36"/>
    <x v="3"/>
    <x v="16"/>
  </r>
  <r>
    <x v="278"/>
    <x v="4"/>
    <x v="13"/>
    <x v="4"/>
    <x v="1"/>
    <x v="36"/>
    <x v="5"/>
    <x v="14"/>
  </r>
  <r>
    <x v="279"/>
    <x v="10"/>
    <x v="2"/>
    <x v="1"/>
    <x v="1"/>
    <x v="36"/>
    <x v="0"/>
    <x v="0"/>
  </r>
  <r>
    <x v="280"/>
    <x v="3"/>
    <x v="11"/>
    <x v="0"/>
    <x v="1"/>
    <x v="37"/>
    <x v="10"/>
    <x v="4"/>
  </r>
  <r>
    <x v="280"/>
    <x v="0"/>
    <x v="6"/>
    <x v="0"/>
    <x v="0"/>
    <x v="37"/>
    <x v="0"/>
    <x v="0"/>
  </r>
  <r>
    <x v="281"/>
    <x v="1"/>
    <x v="16"/>
    <x v="1"/>
    <x v="0"/>
    <x v="37"/>
    <x v="2"/>
    <x v="17"/>
  </r>
  <r>
    <x v="281"/>
    <x v="9"/>
    <x v="14"/>
    <x v="1"/>
    <x v="0"/>
    <x v="37"/>
    <x v="11"/>
    <x v="15"/>
  </r>
  <r>
    <x v="282"/>
    <x v="4"/>
    <x v="10"/>
    <x v="1"/>
    <x v="2"/>
    <x v="37"/>
    <x v="9"/>
    <x v="5"/>
  </r>
  <r>
    <x v="282"/>
    <x v="2"/>
    <x v="5"/>
    <x v="5"/>
    <x v="0"/>
    <x v="37"/>
    <x v="3"/>
    <x v="6"/>
  </r>
  <r>
    <x v="283"/>
    <x v="0"/>
    <x v="3"/>
    <x v="2"/>
    <x v="0"/>
    <x v="37"/>
    <x v="1"/>
    <x v="4"/>
  </r>
  <r>
    <x v="283"/>
    <x v="6"/>
    <x v="11"/>
    <x v="2"/>
    <x v="0"/>
    <x v="37"/>
    <x v="7"/>
    <x v="12"/>
  </r>
  <r>
    <x v="284"/>
    <x v="1"/>
    <x v="12"/>
    <x v="2"/>
    <x v="0"/>
    <x v="37"/>
    <x v="2"/>
    <x v="13"/>
  </r>
  <r>
    <x v="284"/>
    <x v="10"/>
    <x v="16"/>
    <x v="2"/>
    <x v="0"/>
    <x v="37"/>
    <x v="13"/>
    <x v="17"/>
  </r>
  <r>
    <x v="285"/>
    <x v="2"/>
    <x v="10"/>
    <x v="3"/>
    <x v="2"/>
    <x v="37"/>
    <x v="3"/>
    <x v="11"/>
  </r>
  <r>
    <x v="285"/>
    <x v="4"/>
    <x v="5"/>
    <x v="4"/>
    <x v="1"/>
    <x v="37"/>
    <x v="5"/>
    <x v="6"/>
  </r>
  <r>
    <x v="286"/>
    <x v="0"/>
    <x v="11"/>
    <x v="1"/>
    <x v="1"/>
    <x v="37"/>
    <x v="0"/>
    <x v="0"/>
  </r>
  <r>
    <x v="286"/>
    <x v="3"/>
    <x v="6"/>
    <x v="1"/>
    <x v="2"/>
    <x v="37"/>
    <x v="7"/>
    <x v="4"/>
  </r>
  <r>
    <x v="287"/>
    <x v="9"/>
    <x v="16"/>
    <x v="2"/>
    <x v="0"/>
    <x v="37"/>
    <x v="11"/>
    <x v="17"/>
  </r>
  <r>
    <x v="287"/>
    <x v="1"/>
    <x v="14"/>
    <x v="1"/>
    <x v="0"/>
    <x v="37"/>
    <x v="2"/>
    <x v="15"/>
  </r>
  <r>
    <x v="288"/>
    <x v="7"/>
    <x v="5"/>
    <x v="1"/>
    <x v="1"/>
    <x v="37"/>
    <x v="0"/>
    <x v="0"/>
  </r>
  <r>
    <x v="288"/>
    <x v="4"/>
    <x v="2"/>
    <x v="0"/>
    <x v="2"/>
    <x v="37"/>
    <x v="3"/>
    <x v="5"/>
  </r>
  <r>
    <x v="289"/>
    <x v="1"/>
    <x v="4"/>
    <x v="2"/>
    <x v="1"/>
    <x v="37"/>
    <x v="2"/>
    <x v="5"/>
  </r>
  <r>
    <x v="289"/>
    <x v="0"/>
    <x v="12"/>
    <x v="1"/>
    <x v="2"/>
    <x v="37"/>
    <x v="11"/>
    <x v="1"/>
  </r>
  <r>
    <x v="290"/>
    <x v="6"/>
    <x v="10"/>
    <x v="1"/>
    <x v="1"/>
    <x v="37"/>
    <x v="0"/>
    <x v="0"/>
  </r>
  <r>
    <x v="290"/>
    <x v="8"/>
    <x v="2"/>
    <x v="0"/>
    <x v="2"/>
    <x v="37"/>
    <x v="3"/>
    <x v="12"/>
  </r>
  <r>
    <x v="291"/>
    <x v="1"/>
    <x v="10"/>
    <x v="3"/>
    <x v="1"/>
    <x v="37"/>
    <x v="2"/>
    <x v="11"/>
  </r>
  <r>
    <x v="292"/>
    <x v="9"/>
    <x v="2"/>
    <x v="0"/>
    <x v="7"/>
    <x v="37"/>
    <x v="3"/>
    <x v="13"/>
  </r>
  <r>
    <x v="293"/>
    <x v="9"/>
    <x v="10"/>
    <x v="0"/>
    <x v="1"/>
    <x v="37"/>
    <x v="9"/>
    <x v="13"/>
  </r>
  <r>
    <x v="294"/>
    <x v="1"/>
    <x v="2"/>
    <x v="1"/>
    <x v="3"/>
    <x v="37"/>
    <x v="3"/>
    <x v="2"/>
  </r>
  <r>
    <x v="295"/>
    <x v="1"/>
    <x v="11"/>
    <x v="0"/>
    <x v="0"/>
    <x v="38"/>
    <x v="0"/>
    <x v="0"/>
  </r>
  <r>
    <x v="295"/>
    <x v="9"/>
    <x v="9"/>
    <x v="3"/>
    <x v="2"/>
    <x v="38"/>
    <x v="11"/>
    <x v="10"/>
  </r>
  <r>
    <x v="296"/>
    <x v="3"/>
    <x v="10"/>
    <x v="0"/>
    <x v="1"/>
    <x v="38"/>
    <x v="9"/>
    <x v="4"/>
  </r>
  <r>
    <x v="296"/>
    <x v="11"/>
    <x v="2"/>
    <x v="0"/>
    <x v="7"/>
    <x v="38"/>
    <x v="3"/>
    <x v="17"/>
  </r>
  <r>
    <x v="297"/>
    <x v="0"/>
    <x v="6"/>
    <x v="3"/>
    <x v="1"/>
    <x v="38"/>
    <x v="1"/>
    <x v="7"/>
  </r>
  <r>
    <x v="297"/>
    <x v="4"/>
    <x v="14"/>
    <x v="1"/>
    <x v="0"/>
    <x v="38"/>
    <x v="5"/>
    <x v="15"/>
  </r>
  <r>
    <x v="298"/>
    <x v="1"/>
    <x v="12"/>
    <x v="0"/>
    <x v="1"/>
    <x v="38"/>
    <x v="11"/>
    <x v="2"/>
  </r>
  <r>
    <x v="298"/>
    <x v="8"/>
    <x v="9"/>
    <x v="4"/>
    <x v="0"/>
    <x v="38"/>
    <x v="10"/>
    <x v="10"/>
  </r>
  <r>
    <x v="299"/>
    <x v="2"/>
    <x v="10"/>
    <x v="2"/>
    <x v="1"/>
    <x v="38"/>
    <x v="3"/>
    <x v="11"/>
  </r>
  <r>
    <x v="299"/>
    <x v="3"/>
    <x v="16"/>
    <x v="3"/>
    <x v="0"/>
    <x v="38"/>
    <x v="4"/>
    <x v="17"/>
  </r>
  <r>
    <x v="300"/>
    <x v="6"/>
    <x v="14"/>
    <x v="1"/>
    <x v="2"/>
    <x v="38"/>
    <x v="13"/>
    <x v="7"/>
  </r>
  <r>
    <x v="300"/>
    <x v="0"/>
    <x v="4"/>
    <x v="0"/>
    <x v="3"/>
    <x v="38"/>
    <x v="5"/>
    <x v="1"/>
  </r>
  <r>
    <x v="301"/>
    <x v="8"/>
    <x v="12"/>
    <x v="1"/>
    <x v="0"/>
    <x v="38"/>
    <x v="10"/>
    <x v="13"/>
  </r>
  <r>
    <x v="301"/>
    <x v="1"/>
    <x v="9"/>
    <x v="1"/>
    <x v="1"/>
    <x v="38"/>
    <x v="0"/>
    <x v="0"/>
  </r>
  <r>
    <x v="302"/>
    <x v="11"/>
    <x v="10"/>
    <x v="1"/>
    <x v="3"/>
    <x v="38"/>
    <x v="9"/>
    <x v="17"/>
  </r>
  <r>
    <x v="302"/>
    <x v="3"/>
    <x v="2"/>
    <x v="0"/>
    <x v="1"/>
    <x v="38"/>
    <x v="3"/>
    <x v="4"/>
  </r>
  <r>
    <x v="303"/>
    <x v="4"/>
    <x v="6"/>
    <x v="2"/>
    <x v="1"/>
    <x v="38"/>
    <x v="5"/>
    <x v="7"/>
  </r>
  <r>
    <x v="303"/>
    <x v="0"/>
    <x v="14"/>
    <x v="2"/>
    <x v="0"/>
    <x v="38"/>
    <x v="1"/>
    <x v="15"/>
  </r>
  <r>
    <x v="304"/>
    <x v="9"/>
    <x v="10"/>
    <x v="3"/>
    <x v="3"/>
    <x v="38"/>
    <x v="0"/>
    <x v="0"/>
  </r>
  <r>
    <x v="304"/>
    <x v="8"/>
    <x v="14"/>
    <x v="1"/>
    <x v="1"/>
    <x v="38"/>
    <x v="0"/>
    <x v="0"/>
  </r>
  <r>
    <x v="305"/>
    <x v="3"/>
    <x v="4"/>
    <x v="3"/>
    <x v="2"/>
    <x v="38"/>
    <x v="4"/>
    <x v="5"/>
  </r>
  <r>
    <x v="305"/>
    <x v="0"/>
    <x v="2"/>
    <x v="1"/>
    <x v="2"/>
    <x v="38"/>
    <x v="3"/>
    <x v="1"/>
  </r>
  <r>
    <x v="306"/>
    <x v="3"/>
    <x v="14"/>
    <x v="1"/>
    <x v="1"/>
    <x v="38"/>
    <x v="0"/>
    <x v="0"/>
  </r>
  <r>
    <x v="307"/>
    <x v="2"/>
    <x v="10"/>
    <x v="2"/>
    <x v="0"/>
    <x v="38"/>
    <x v="3"/>
    <x v="11"/>
  </r>
  <r>
    <x v="308"/>
    <x v="3"/>
    <x v="10"/>
    <x v="1"/>
    <x v="2"/>
    <x v="38"/>
    <x v="9"/>
    <x v="4"/>
  </r>
  <r>
    <x v="309"/>
    <x v="10"/>
    <x v="2"/>
    <x v="0"/>
    <x v="3"/>
    <x v="38"/>
    <x v="3"/>
    <x v="15"/>
  </r>
  <r>
    <x v="310"/>
    <x v="4"/>
    <x v="16"/>
    <x v="2"/>
    <x v="0"/>
    <x v="39"/>
    <x v="5"/>
    <x v="17"/>
  </r>
  <r>
    <x v="310"/>
    <x v="3"/>
    <x v="6"/>
    <x v="4"/>
    <x v="1"/>
    <x v="39"/>
    <x v="4"/>
    <x v="7"/>
  </r>
  <r>
    <x v="311"/>
    <x v="2"/>
    <x v="10"/>
    <x v="0"/>
    <x v="1"/>
    <x v="39"/>
    <x v="9"/>
    <x v="3"/>
  </r>
  <r>
    <x v="311"/>
    <x v="8"/>
    <x v="12"/>
    <x v="3"/>
    <x v="3"/>
    <x v="39"/>
    <x v="0"/>
    <x v="0"/>
  </r>
  <r>
    <x v="312"/>
    <x v="5"/>
    <x v="7"/>
    <x v="1"/>
    <x v="0"/>
    <x v="39"/>
    <x v="6"/>
    <x v="8"/>
  </r>
  <r>
    <x v="312"/>
    <x v="1"/>
    <x v="14"/>
    <x v="0"/>
    <x v="1"/>
    <x v="39"/>
    <x v="13"/>
    <x v="2"/>
  </r>
  <r>
    <x v="313"/>
    <x v="3"/>
    <x v="16"/>
    <x v="1"/>
    <x v="0"/>
    <x v="39"/>
    <x v="4"/>
    <x v="17"/>
  </r>
  <r>
    <x v="313"/>
    <x v="4"/>
    <x v="6"/>
    <x v="1"/>
    <x v="0"/>
    <x v="39"/>
    <x v="5"/>
    <x v="7"/>
  </r>
  <r>
    <x v="314"/>
    <x v="8"/>
    <x v="10"/>
    <x v="0"/>
    <x v="0"/>
    <x v="39"/>
    <x v="0"/>
    <x v="0"/>
  </r>
  <r>
    <x v="314"/>
    <x v="9"/>
    <x v="2"/>
    <x v="0"/>
    <x v="2"/>
    <x v="39"/>
    <x v="3"/>
    <x v="13"/>
  </r>
  <r>
    <x v="315"/>
    <x v="10"/>
    <x v="5"/>
    <x v="1"/>
    <x v="1"/>
    <x v="39"/>
    <x v="0"/>
    <x v="0"/>
  </r>
  <r>
    <x v="315"/>
    <x v="1"/>
    <x v="7"/>
    <x v="0"/>
    <x v="2"/>
    <x v="39"/>
    <x v="8"/>
    <x v="2"/>
  </r>
  <r>
    <x v="316"/>
    <x v="3"/>
    <x v="4"/>
    <x v="0"/>
    <x v="2"/>
    <x v="39"/>
    <x v="5"/>
    <x v="4"/>
  </r>
  <r>
    <x v="316"/>
    <x v="6"/>
    <x v="16"/>
    <x v="4"/>
    <x v="0"/>
    <x v="39"/>
    <x v="7"/>
    <x v="17"/>
  </r>
  <r>
    <x v="317"/>
    <x v="8"/>
    <x v="2"/>
    <x v="1"/>
    <x v="3"/>
    <x v="39"/>
    <x v="3"/>
    <x v="12"/>
  </r>
  <r>
    <x v="317"/>
    <x v="9"/>
    <x v="10"/>
    <x v="1"/>
    <x v="0"/>
    <x v="39"/>
    <x v="11"/>
    <x v="11"/>
  </r>
  <r>
    <x v="318"/>
    <x v="10"/>
    <x v="7"/>
    <x v="0"/>
    <x v="1"/>
    <x v="39"/>
    <x v="8"/>
    <x v="15"/>
  </r>
  <r>
    <x v="318"/>
    <x v="1"/>
    <x v="5"/>
    <x v="0"/>
    <x v="4"/>
    <x v="39"/>
    <x v="6"/>
    <x v="2"/>
  </r>
  <r>
    <x v="319"/>
    <x v="3"/>
    <x v="10"/>
    <x v="0"/>
    <x v="2"/>
    <x v="39"/>
    <x v="9"/>
    <x v="4"/>
  </r>
  <r>
    <x v="319"/>
    <x v="10"/>
    <x v="5"/>
    <x v="2"/>
    <x v="1"/>
    <x v="39"/>
    <x v="13"/>
    <x v="6"/>
  </r>
  <r>
    <x v="320"/>
    <x v="4"/>
    <x v="12"/>
    <x v="3"/>
    <x v="0"/>
    <x v="39"/>
    <x v="5"/>
    <x v="13"/>
  </r>
  <r>
    <x v="320"/>
    <x v="2"/>
    <x v="7"/>
    <x v="0"/>
    <x v="2"/>
    <x v="39"/>
    <x v="8"/>
    <x v="3"/>
  </r>
  <r>
    <x v="321"/>
    <x v="10"/>
    <x v="10"/>
    <x v="1"/>
    <x v="2"/>
    <x v="39"/>
    <x v="9"/>
    <x v="15"/>
  </r>
  <r>
    <x v="322"/>
    <x v="4"/>
    <x v="7"/>
    <x v="2"/>
    <x v="0"/>
    <x v="39"/>
    <x v="5"/>
    <x v="8"/>
  </r>
  <r>
    <x v="323"/>
    <x v="4"/>
    <x v="10"/>
    <x v="1"/>
    <x v="0"/>
    <x v="39"/>
    <x v="5"/>
    <x v="11"/>
  </r>
  <r>
    <x v="323"/>
    <x v="10"/>
    <x v="7"/>
    <x v="2"/>
    <x v="2"/>
    <x v="39"/>
    <x v="0"/>
    <x v="0"/>
  </r>
  <r>
    <x v="324"/>
    <x v="4"/>
    <x v="16"/>
    <x v="1"/>
    <x v="0"/>
    <x v="40"/>
    <x v="5"/>
    <x v="17"/>
  </r>
  <r>
    <x v="324"/>
    <x v="1"/>
    <x v="12"/>
    <x v="2"/>
    <x v="2"/>
    <x v="40"/>
    <x v="0"/>
    <x v="0"/>
  </r>
  <r>
    <x v="325"/>
    <x v="0"/>
    <x v="6"/>
    <x v="6"/>
    <x v="1"/>
    <x v="40"/>
    <x v="1"/>
    <x v="7"/>
  </r>
  <r>
    <x v="325"/>
    <x v="10"/>
    <x v="10"/>
    <x v="2"/>
    <x v="2"/>
    <x v="40"/>
    <x v="0"/>
    <x v="0"/>
  </r>
  <r>
    <x v="326"/>
    <x v="3"/>
    <x v="2"/>
    <x v="0"/>
    <x v="1"/>
    <x v="40"/>
    <x v="3"/>
    <x v="4"/>
  </r>
  <r>
    <x v="326"/>
    <x v="8"/>
    <x v="5"/>
    <x v="1"/>
    <x v="0"/>
    <x v="40"/>
    <x v="10"/>
    <x v="6"/>
  </r>
  <r>
    <x v="327"/>
    <x v="9"/>
    <x v="16"/>
    <x v="3"/>
    <x v="1"/>
    <x v="40"/>
    <x v="11"/>
    <x v="17"/>
  </r>
  <r>
    <x v="327"/>
    <x v="1"/>
    <x v="4"/>
    <x v="0"/>
    <x v="1"/>
    <x v="40"/>
    <x v="5"/>
    <x v="2"/>
  </r>
  <r>
    <x v="328"/>
    <x v="0"/>
    <x v="10"/>
    <x v="0"/>
    <x v="1"/>
    <x v="40"/>
    <x v="9"/>
    <x v="1"/>
  </r>
  <r>
    <x v="328"/>
    <x v="6"/>
    <x v="14"/>
    <x v="1"/>
    <x v="2"/>
    <x v="40"/>
    <x v="13"/>
    <x v="7"/>
  </r>
  <r>
    <x v="329"/>
    <x v="2"/>
    <x v="5"/>
    <x v="4"/>
    <x v="1"/>
    <x v="40"/>
    <x v="3"/>
    <x v="6"/>
  </r>
  <r>
    <x v="329"/>
    <x v="3"/>
    <x v="11"/>
    <x v="1"/>
    <x v="1"/>
    <x v="40"/>
    <x v="0"/>
    <x v="0"/>
  </r>
  <r>
    <x v="330"/>
    <x v="1"/>
    <x v="16"/>
    <x v="1"/>
    <x v="1"/>
    <x v="40"/>
    <x v="0"/>
    <x v="0"/>
  </r>
  <r>
    <x v="330"/>
    <x v="4"/>
    <x v="12"/>
    <x v="2"/>
    <x v="2"/>
    <x v="40"/>
    <x v="0"/>
    <x v="0"/>
  </r>
  <r>
    <x v="331"/>
    <x v="0"/>
    <x v="14"/>
    <x v="4"/>
    <x v="2"/>
    <x v="40"/>
    <x v="1"/>
    <x v="15"/>
  </r>
  <r>
    <x v="331"/>
    <x v="6"/>
    <x v="10"/>
    <x v="1"/>
    <x v="2"/>
    <x v="40"/>
    <x v="9"/>
    <x v="7"/>
  </r>
  <r>
    <x v="332"/>
    <x v="8"/>
    <x v="2"/>
    <x v="2"/>
    <x v="1"/>
    <x v="40"/>
    <x v="10"/>
    <x v="3"/>
  </r>
  <r>
    <x v="332"/>
    <x v="3"/>
    <x v="5"/>
    <x v="1"/>
    <x v="2"/>
    <x v="40"/>
    <x v="6"/>
    <x v="4"/>
  </r>
  <r>
    <x v="333"/>
    <x v="0"/>
    <x v="12"/>
    <x v="1"/>
    <x v="0"/>
    <x v="40"/>
    <x v="1"/>
    <x v="13"/>
  </r>
  <r>
    <x v="333"/>
    <x v="4"/>
    <x v="5"/>
    <x v="2"/>
    <x v="0"/>
    <x v="40"/>
    <x v="5"/>
    <x v="6"/>
  </r>
  <r>
    <x v="334"/>
    <x v="8"/>
    <x v="14"/>
    <x v="1"/>
    <x v="3"/>
    <x v="40"/>
    <x v="13"/>
    <x v="12"/>
  </r>
  <r>
    <x v="334"/>
    <x v="2"/>
    <x v="10"/>
    <x v="4"/>
    <x v="0"/>
    <x v="40"/>
    <x v="3"/>
    <x v="11"/>
  </r>
  <r>
    <x v="335"/>
    <x v="0"/>
    <x v="4"/>
    <x v="3"/>
    <x v="0"/>
    <x v="40"/>
    <x v="1"/>
    <x v="5"/>
  </r>
  <r>
    <x v="336"/>
    <x v="10"/>
    <x v="2"/>
    <x v="1"/>
    <x v="1"/>
    <x v="40"/>
    <x v="0"/>
    <x v="0"/>
  </r>
  <r>
    <x v="337"/>
    <x v="4"/>
    <x v="14"/>
    <x v="1"/>
    <x v="2"/>
    <x v="40"/>
    <x v="13"/>
    <x v="5"/>
  </r>
  <r>
    <x v="338"/>
    <x v="0"/>
    <x v="2"/>
    <x v="2"/>
    <x v="2"/>
    <x v="40"/>
    <x v="0"/>
    <x v="0"/>
  </r>
  <r>
    <x v="339"/>
    <x v="1"/>
    <x v="16"/>
    <x v="2"/>
    <x v="2"/>
    <x v="41"/>
    <x v="0"/>
    <x v="0"/>
  </r>
  <r>
    <x v="339"/>
    <x v="9"/>
    <x v="14"/>
    <x v="3"/>
    <x v="0"/>
    <x v="41"/>
    <x v="11"/>
    <x v="15"/>
  </r>
  <r>
    <x v="340"/>
    <x v="2"/>
    <x v="10"/>
    <x v="0"/>
    <x v="2"/>
    <x v="41"/>
    <x v="9"/>
    <x v="3"/>
  </r>
  <r>
    <x v="340"/>
    <x v="3"/>
    <x v="6"/>
    <x v="3"/>
    <x v="2"/>
    <x v="41"/>
    <x v="4"/>
    <x v="7"/>
  </r>
  <r>
    <x v="341"/>
    <x v="0"/>
    <x v="13"/>
    <x v="4"/>
    <x v="1"/>
    <x v="41"/>
    <x v="1"/>
    <x v="14"/>
  </r>
  <r>
    <x v="341"/>
    <x v="4"/>
    <x v="11"/>
    <x v="0"/>
    <x v="5"/>
    <x v="41"/>
    <x v="10"/>
    <x v="5"/>
  </r>
  <r>
    <x v="342"/>
    <x v="9"/>
    <x v="16"/>
    <x v="0"/>
    <x v="2"/>
    <x v="41"/>
    <x v="14"/>
    <x v="13"/>
  </r>
  <r>
    <x v="342"/>
    <x v="1"/>
    <x v="14"/>
    <x v="0"/>
    <x v="1"/>
    <x v="41"/>
    <x v="13"/>
    <x v="2"/>
  </r>
  <r>
    <x v="343"/>
    <x v="6"/>
    <x v="10"/>
    <x v="1"/>
    <x v="2"/>
    <x v="41"/>
    <x v="9"/>
    <x v="7"/>
  </r>
  <r>
    <x v="343"/>
    <x v="3"/>
    <x v="2"/>
    <x v="0"/>
    <x v="3"/>
    <x v="41"/>
    <x v="3"/>
    <x v="4"/>
  </r>
  <r>
    <x v="344"/>
    <x v="0"/>
    <x v="4"/>
    <x v="4"/>
    <x v="2"/>
    <x v="41"/>
    <x v="1"/>
    <x v="5"/>
  </r>
  <r>
    <x v="344"/>
    <x v="8"/>
    <x v="15"/>
    <x v="3"/>
    <x v="1"/>
    <x v="41"/>
    <x v="10"/>
    <x v="16"/>
  </r>
  <r>
    <x v="345"/>
    <x v="10"/>
    <x v="16"/>
    <x v="0"/>
    <x v="0"/>
    <x v="41"/>
    <x v="0"/>
    <x v="0"/>
  </r>
  <r>
    <x v="345"/>
    <x v="1"/>
    <x v="12"/>
    <x v="2"/>
    <x v="2"/>
    <x v="41"/>
    <x v="0"/>
    <x v="0"/>
  </r>
  <r>
    <x v="346"/>
    <x v="6"/>
    <x v="2"/>
    <x v="0"/>
    <x v="1"/>
    <x v="41"/>
    <x v="3"/>
    <x v="7"/>
  </r>
  <r>
    <x v="346"/>
    <x v="3"/>
    <x v="10"/>
    <x v="0"/>
    <x v="0"/>
    <x v="41"/>
    <x v="0"/>
    <x v="0"/>
  </r>
  <r>
    <x v="347"/>
    <x v="0"/>
    <x v="11"/>
    <x v="1"/>
    <x v="0"/>
    <x v="41"/>
    <x v="1"/>
    <x v="12"/>
  </r>
  <r>
    <x v="347"/>
    <x v="4"/>
    <x v="13"/>
    <x v="1"/>
    <x v="0"/>
    <x v="41"/>
    <x v="5"/>
    <x v="14"/>
  </r>
  <r>
    <x v="348"/>
    <x v="3"/>
    <x v="2"/>
    <x v="1"/>
    <x v="6"/>
    <x v="41"/>
    <x v="3"/>
    <x v="4"/>
  </r>
  <r>
    <x v="348"/>
    <x v="10"/>
    <x v="16"/>
    <x v="4"/>
    <x v="1"/>
    <x v="41"/>
    <x v="13"/>
    <x v="17"/>
  </r>
  <r>
    <x v="349"/>
    <x v="0"/>
    <x v="12"/>
    <x v="4"/>
    <x v="0"/>
    <x v="41"/>
    <x v="1"/>
    <x v="13"/>
  </r>
  <r>
    <x v="349"/>
    <x v="8"/>
    <x v="10"/>
    <x v="0"/>
    <x v="6"/>
    <x v="41"/>
    <x v="9"/>
    <x v="12"/>
  </r>
  <r>
    <x v="350"/>
    <x v="10"/>
    <x v="2"/>
    <x v="2"/>
    <x v="2"/>
    <x v="41"/>
    <x v="0"/>
    <x v="0"/>
  </r>
  <r>
    <x v="351"/>
    <x v="0"/>
    <x v="10"/>
    <x v="3"/>
    <x v="0"/>
    <x v="41"/>
    <x v="1"/>
    <x v="11"/>
  </r>
  <r>
    <x v="352"/>
    <x v="10"/>
    <x v="10"/>
    <x v="1"/>
    <x v="3"/>
    <x v="41"/>
    <x v="9"/>
    <x v="15"/>
  </r>
  <r>
    <x v="353"/>
    <x v="0"/>
    <x v="2"/>
    <x v="0"/>
    <x v="3"/>
    <x v="41"/>
    <x v="3"/>
    <x v="1"/>
  </r>
  <r>
    <x v="354"/>
    <x v="0"/>
    <x v="1"/>
    <x v="1"/>
    <x v="1"/>
    <x v="42"/>
    <x v="0"/>
    <x v="0"/>
  </r>
  <r>
    <x v="355"/>
    <x v="4"/>
    <x v="5"/>
    <x v="1"/>
    <x v="0"/>
    <x v="42"/>
    <x v="5"/>
    <x v="6"/>
  </r>
  <r>
    <x v="356"/>
    <x v="11"/>
    <x v="2"/>
    <x v="0"/>
    <x v="0"/>
    <x v="42"/>
    <x v="0"/>
    <x v="0"/>
  </r>
  <r>
    <x v="356"/>
    <x v="6"/>
    <x v="11"/>
    <x v="0"/>
    <x v="0"/>
    <x v="42"/>
    <x v="0"/>
    <x v="0"/>
  </r>
  <r>
    <x v="357"/>
    <x v="3"/>
    <x v="10"/>
    <x v="2"/>
    <x v="1"/>
    <x v="42"/>
    <x v="4"/>
    <x v="11"/>
  </r>
  <r>
    <x v="357"/>
    <x v="9"/>
    <x v="14"/>
    <x v="1"/>
    <x v="1"/>
    <x v="42"/>
    <x v="0"/>
    <x v="0"/>
  </r>
  <r>
    <x v="358"/>
    <x v="0"/>
    <x v="4"/>
    <x v="0"/>
    <x v="0"/>
    <x v="42"/>
    <x v="0"/>
    <x v="0"/>
  </r>
  <r>
    <x v="359"/>
    <x v="1"/>
    <x v="5"/>
    <x v="0"/>
    <x v="2"/>
    <x v="42"/>
    <x v="6"/>
    <x v="2"/>
  </r>
  <r>
    <x v="360"/>
    <x v="3"/>
    <x v="14"/>
    <x v="1"/>
    <x v="1"/>
    <x v="42"/>
    <x v="0"/>
    <x v="0"/>
  </r>
  <r>
    <x v="360"/>
    <x v="9"/>
    <x v="10"/>
    <x v="1"/>
    <x v="0"/>
    <x v="42"/>
    <x v="11"/>
    <x v="11"/>
  </r>
  <r>
    <x v="361"/>
    <x v="6"/>
    <x v="16"/>
    <x v="0"/>
    <x v="1"/>
    <x v="42"/>
    <x v="14"/>
    <x v="7"/>
  </r>
  <r>
    <x v="361"/>
    <x v="8"/>
    <x v="2"/>
    <x v="2"/>
    <x v="2"/>
    <x v="42"/>
    <x v="0"/>
    <x v="0"/>
  </r>
  <r>
    <x v="362"/>
    <x v="1"/>
    <x v="4"/>
    <x v="0"/>
    <x v="2"/>
    <x v="42"/>
    <x v="5"/>
    <x v="2"/>
  </r>
  <r>
    <x v="363"/>
    <x v="0"/>
    <x v="5"/>
    <x v="3"/>
    <x v="0"/>
    <x v="42"/>
    <x v="1"/>
    <x v="6"/>
  </r>
  <r>
    <x v="364"/>
    <x v="3"/>
    <x v="12"/>
    <x v="1"/>
    <x v="0"/>
    <x v="42"/>
    <x v="4"/>
    <x v="13"/>
  </r>
  <r>
    <x v="364"/>
    <x v="10"/>
    <x v="10"/>
    <x v="1"/>
    <x v="0"/>
    <x v="42"/>
    <x v="13"/>
    <x v="11"/>
  </r>
  <r>
    <x v="365"/>
    <x v="8"/>
    <x v="16"/>
    <x v="3"/>
    <x v="3"/>
    <x v="42"/>
    <x v="0"/>
    <x v="0"/>
  </r>
  <r>
    <x v="365"/>
    <x v="6"/>
    <x v="2"/>
    <x v="2"/>
    <x v="4"/>
    <x v="42"/>
    <x v="3"/>
    <x v="7"/>
  </r>
  <r>
    <x v="366"/>
    <x v="4"/>
    <x v="12"/>
    <x v="0"/>
    <x v="2"/>
    <x v="42"/>
    <x v="11"/>
    <x v="5"/>
  </r>
  <r>
    <x v="366"/>
    <x v="0"/>
    <x v="14"/>
    <x v="1"/>
    <x v="1"/>
    <x v="42"/>
    <x v="0"/>
    <x v="0"/>
  </r>
  <r>
    <x v="367"/>
    <x v="8"/>
    <x v="2"/>
    <x v="0"/>
    <x v="0"/>
    <x v="42"/>
    <x v="0"/>
    <x v="0"/>
  </r>
  <r>
    <x v="367"/>
    <x v="3"/>
    <x v="16"/>
    <x v="1"/>
    <x v="2"/>
    <x v="42"/>
    <x v="14"/>
    <x v="4"/>
  </r>
  <r>
    <x v="368"/>
    <x v="9"/>
    <x v="14"/>
    <x v="0"/>
    <x v="2"/>
    <x v="42"/>
    <x v="13"/>
    <x v="13"/>
  </r>
  <r>
    <x v="369"/>
    <x v="8"/>
    <x v="16"/>
    <x v="0"/>
    <x v="0"/>
    <x v="42"/>
    <x v="0"/>
    <x v="0"/>
  </r>
  <r>
    <x v="370"/>
    <x v="9"/>
    <x v="16"/>
    <x v="4"/>
    <x v="1"/>
    <x v="42"/>
    <x v="11"/>
    <x v="17"/>
  </r>
  <r>
    <x v="371"/>
    <x v="8"/>
    <x v="14"/>
    <x v="0"/>
    <x v="3"/>
    <x v="42"/>
    <x v="13"/>
    <x v="12"/>
  </r>
  <r>
    <x v="372"/>
    <x v="3"/>
    <x v="6"/>
    <x v="2"/>
    <x v="0"/>
    <x v="43"/>
    <x v="4"/>
    <x v="7"/>
  </r>
  <r>
    <x v="373"/>
    <x v="1"/>
    <x v="10"/>
    <x v="0"/>
    <x v="0"/>
    <x v="43"/>
    <x v="0"/>
    <x v="0"/>
  </r>
  <r>
    <x v="374"/>
    <x v="10"/>
    <x v="8"/>
    <x v="1"/>
    <x v="0"/>
    <x v="43"/>
    <x v="13"/>
    <x v="9"/>
  </r>
  <r>
    <x v="374"/>
    <x v="0"/>
    <x v="11"/>
    <x v="2"/>
    <x v="2"/>
    <x v="43"/>
    <x v="0"/>
    <x v="0"/>
  </r>
  <r>
    <x v="375"/>
    <x v="9"/>
    <x v="2"/>
    <x v="1"/>
    <x v="2"/>
    <x v="43"/>
    <x v="3"/>
    <x v="13"/>
  </r>
  <r>
    <x v="375"/>
    <x v="4"/>
    <x v="16"/>
    <x v="0"/>
    <x v="1"/>
    <x v="43"/>
    <x v="14"/>
    <x v="5"/>
  </r>
  <r>
    <x v="376"/>
    <x v="3"/>
    <x v="10"/>
    <x v="3"/>
    <x v="3"/>
    <x v="43"/>
    <x v="0"/>
    <x v="0"/>
  </r>
  <r>
    <x v="376"/>
    <x v="1"/>
    <x v="6"/>
    <x v="3"/>
    <x v="2"/>
    <x v="43"/>
    <x v="2"/>
    <x v="7"/>
  </r>
  <r>
    <x v="377"/>
    <x v="0"/>
    <x v="14"/>
    <x v="1"/>
    <x v="0"/>
    <x v="43"/>
    <x v="1"/>
    <x v="15"/>
  </r>
  <r>
    <x v="377"/>
    <x v="8"/>
    <x v="8"/>
    <x v="1"/>
    <x v="0"/>
    <x v="43"/>
    <x v="10"/>
    <x v="9"/>
  </r>
  <r>
    <x v="378"/>
    <x v="4"/>
    <x v="2"/>
    <x v="1"/>
    <x v="0"/>
    <x v="43"/>
    <x v="5"/>
    <x v="3"/>
  </r>
  <r>
    <x v="379"/>
    <x v="9"/>
    <x v="16"/>
    <x v="1"/>
    <x v="0"/>
    <x v="43"/>
    <x v="11"/>
    <x v="17"/>
  </r>
  <r>
    <x v="380"/>
    <x v="1"/>
    <x v="3"/>
    <x v="0"/>
    <x v="5"/>
    <x v="43"/>
    <x v="4"/>
    <x v="2"/>
  </r>
  <r>
    <x v="380"/>
    <x v="6"/>
    <x v="10"/>
    <x v="1"/>
    <x v="2"/>
    <x v="43"/>
    <x v="9"/>
    <x v="7"/>
  </r>
  <r>
    <x v="381"/>
    <x v="0"/>
    <x v="8"/>
    <x v="1"/>
    <x v="0"/>
    <x v="43"/>
    <x v="1"/>
    <x v="9"/>
  </r>
  <r>
    <x v="381"/>
    <x v="8"/>
    <x v="14"/>
    <x v="1"/>
    <x v="1"/>
    <x v="43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 dinámica3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B21" firstHeaderRow="0" firstDataRow="1" firstDataCol="1"/>
  <pivotFields count="8">
    <pivotField showAll="0"/>
    <pivotField showAll="0"/>
    <pivotField axis="axisRow" showAll="0"/>
    <pivotField showAll="0"/>
    <pivotField showAll="0"/>
    <pivotField showAll="0"/>
    <pivotField showAll="0"/>
    <pivotField showAll="0"/>
  </pivotFields>
  <rowFields count="1">
    <field x="2"/>
  </row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B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RowHeight="15"/>
  <cols>
    <col collapsed="false" hidden="false" max="1" min="1" style="0" width="17.4251012145749"/>
    <col collapsed="false" hidden="false" max="2" min="2" style="0" width="17.7085020242915"/>
    <col collapsed="false" hidden="false" max="3" min="3" style="0" width="7"/>
    <col collapsed="false" hidden="false" max="4" min="4" style="0" width="5.85425101214575"/>
    <col collapsed="false" hidden="false" max="5" min="5" style="0" width="5.57085020242915"/>
    <col collapsed="false" hidden="false" max="6" min="6" style="0" width="9.4251012145749"/>
    <col collapsed="false" hidden="false" max="7" min="7" style="0" width="9.85425101214575"/>
    <col collapsed="false" hidden="false" max="8" min="8" style="0" width="8"/>
    <col collapsed="false" hidden="false" max="9" min="9" style="0" width="7.57085020242915"/>
    <col collapsed="false" hidden="false" max="10" min="10" style="0" width="9"/>
    <col collapsed="false" hidden="false" max="11" min="11" style="0" width="5.1417004048583"/>
    <col collapsed="false" hidden="false" max="12" min="12" style="0" width="8.4251012145749"/>
    <col collapsed="false" hidden="false" max="13" min="13" style="0" width="10.4251012145749"/>
    <col collapsed="false" hidden="false" max="14" min="14" style="0" width="12.5668016194332"/>
    <col collapsed="false" hidden="false" max="18" min="15" style="0" width="22.2793522267206"/>
    <col collapsed="false" hidden="false" max="19" min="19" style="0" width="12.5668016194332"/>
    <col collapsed="false" hidden="false" max="1025" min="20" style="0" width="10.5344129554656"/>
  </cols>
  <sheetData>
    <row r="3" customFormat="false" ht="13.8" hidden="false" customHeight="false" outlineLevel="0" collapsed="false">
      <c r="A3" s="1" t="s">
        <v>0</v>
      </c>
      <c r="B3" s="2" t="s">
        <v>1</v>
      </c>
    </row>
    <row r="4" customFormat="false" ht="13.8" hidden="false" customHeight="false" outlineLevel="0" collapsed="false">
      <c r="A4" s="3" t="s">
        <v>2</v>
      </c>
      <c r="B4" s="4"/>
    </row>
    <row r="5" customFormat="false" ht="13.8" hidden="false" customHeight="false" outlineLevel="0" collapsed="false">
      <c r="A5" s="5" t="s">
        <v>3</v>
      </c>
      <c r="B5" s="6"/>
    </row>
    <row r="6" customFormat="false" ht="13.8" hidden="false" customHeight="false" outlineLevel="0" collapsed="false">
      <c r="A6" s="5" t="s">
        <v>4</v>
      </c>
      <c r="B6" s="6"/>
    </row>
    <row r="7" customFormat="false" ht="13.8" hidden="false" customHeight="false" outlineLevel="0" collapsed="false">
      <c r="A7" s="5" t="s">
        <v>5</v>
      </c>
      <c r="B7" s="6"/>
    </row>
    <row r="8" customFormat="false" ht="13.8" hidden="false" customHeight="false" outlineLevel="0" collapsed="false">
      <c r="A8" s="5" t="s">
        <v>6</v>
      </c>
      <c r="B8" s="6"/>
    </row>
    <row r="9" customFormat="false" ht="13.8" hidden="false" customHeight="false" outlineLevel="0" collapsed="false">
      <c r="A9" s="5" t="s">
        <v>7</v>
      </c>
      <c r="B9" s="6"/>
    </row>
    <row r="10" customFormat="false" ht="13.8" hidden="false" customHeight="false" outlineLevel="0" collapsed="false">
      <c r="A10" s="5" t="s">
        <v>8</v>
      </c>
      <c r="B10" s="6"/>
    </row>
    <row r="11" customFormat="false" ht="13.8" hidden="false" customHeight="false" outlineLevel="0" collapsed="false">
      <c r="A11" s="5" t="s">
        <v>9</v>
      </c>
      <c r="B11" s="6"/>
    </row>
    <row r="12" customFormat="false" ht="13.8" hidden="false" customHeight="false" outlineLevel="0" collapsed="false">
      <c r="A12" s="5" t="s">
        <v>10</v>
      </c>
      <c r="B12" s="6"/>
    </row>
    <row r="13" customFormat="false" ht="13.8" hidden="false" customHeight="false" outlineLevel="0" collapsed="false">
      <c r="A13" s="5" t="s">
        <v>11</v>
      </c>
      <c r="B13" s="6"/>
    </row>
    <row r="14" customFormat="false" ht="13.8" hidden="false" customHeight="false" outlineLevel="0" collapsed="false">
      <c r="A14" s="5" t="s">
        <v>12</v>
      </c>
      <c r="B14" s="6"/>
    </row>
    <row r="15" customFormat="false" ht="13.8" hidden="false" customHeight="false" outlineLevel="0" collapsed="false">
      <c r="A15" s="5" t="s">
        <v>13</v>
      </c>
      <c r="B15" s="6"/>
    </row>
    <row r="16" customFormat="false" ht="13.8" hidden="false" customHeight="false" outlineLevel="0" collapsed="false">
      <c r="A16" s="5" t="s">
        <v>14</v>
      </c>
      <c r="B16" s="6"/>
    </row>
    <row r="17" customFormat="false" ht="13.8" hidden="false" customHeight="false" outlineLevel="0" collapsed="false">
      <c r="A17" s="5" t="s">
        <v>15</v>
      </c>
      <c r="B17" s="6"/>
    </row>
    <row r="18" customFormat="false" ht="13.8" hidden="false" customHeight="false" outlineLevel="0" collapsed="false">
      <c r="A18" s="5" t="s">
        <v>16</v>
      </c>
      <c r="B18" s="6"/>
    </row>
    <row r="19" customFormat="false" ht="13.8" hidden="false" customHeight="false" outlineLevel="0" collapsed="false">
      <c r="A19" s="5" t="s">
        <v>17</v>
      </c>
      <c r="B19" s="6"/>
    </row>
    <row r="20" customFormat="false" ht="13.8" hidden="false" customHeight="false" outlineLevel="0" collapsed="false">
      <c r="A20" s="5" t="s">
        <v>18</v>
      </c>
      <c r="B20" s="7"/>
    </row>
    <row r="21" customFormat="false" ht="13.8" hidden="false" customHeight="false" outlineLevel="0" collapsed="false">
      <c r="A21" s="8" t="s">
        <v>19</v>
      </c>
      <c r="B21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56" activeCellId="0" sqref="D756"/>
    </sheetView>
  </sheetViews>
  <sheetFormatPr defaultRowHeight="15"/>
  <cols>
    <col collapsed="false" hidden="false" max="5" min="1" style="0" width="10.5344129554656"/>
    <col collapsed="false" hidden="false" max="6" min="6" style="0" width="13.7125506072874"/>
    <col collapsed="false" hidden="false" max="9" min="7" style="0" width="10.5344129554656"/>
    <col collapsed="false" hidden="false" max="10" min="10" style="0" width="12.8542510121458"/>
    <col collapsed="false" hidden="false" max="11" min="11" style="0" width="11.8542510121458"/>
    <col collapsed="false" hidden="false" max="1025" min="12" style="0" width="10.5344129554656"/>
  </cols>
  <sheetData>
    <row r="1" customFormat="false" ht="15" hidden="false" customHeight="false" outlineLevel="0" collapsed="false">
      <c r="A1" s="10" t="s">
        <v>20</v>
      </c>
      <c r="B1" s="10" t="s">
        <v>21</v>
      </c>
      <c r="C1" s="10" t="s">
        <v>0</v>
      </c>
      <c r="D1" s="10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K1" s="0" t="s">
        <v>27</v>
      </c>
    </row>
    <row r="2" customFormat="false" ht="15" hidden="false" customHeight="false" outlineLevel="0" collapsed="false">
      <c r="A2" s="11" t="n">
        <v>6028</v>
      </c>
      <c r="B2" s="0" t="s">
        <v>5</v>
      </c>
      <c r="C2" s="0" t="s">
        <v>16</v>
      </c>
      <c r="D2" s="0" t="n">
        <v>0</v>
      </c>
      <c r="E2" s="0" t="n">
        <v>4</v>
      </c>
      <c r="F2" s="0" t="n">
        <v>1</v>
      </c>
      <c r="G2" s="0" t="str">
        <f aca="false">IF(D2=E2,"-",IF(D2&gt;E2,B2,C2))</f>
        <v>Uruguay</v>
      </c>
      <c r="H2" s="0" t="str">
        <f aca="false">IF(D2=E2,"-",IF(D2&lt;E2,B2,C2))</f>
        <v>Chile</v>
      </c>
      <c r="J2" s="12" t="s">
        <v>2</v>
      </c>
      <c r="K2" s="0" t="n">
        <f aca="false">COUNTIF($G$2:$G$747,J2)</f>
        <v>113</v>
      </c>
    </row>
    <row r="3" customFormat="false" ht="15" hidden="false" customHeight="false" outlineLevel="0" collapsed="false">
      <c r="A3" s="11" t="n">
        <v>6032</v>
      </c>
      <c r="B3" s="0" t="s">
        <v>5</v>
      </c>
      <c r="C3" s="0" t="s">
        <v>2</v>
      </c>
      <c r="D3" s="0" t="n">
        <v>1</v>
      </c>
      <c r="E3" s="0" t="n">
        <v>6</v>
      </c>
      <c r="F3" s="0" t="n">
        <v>1</v>
      </c>
      <c r="G3" s="0" t="str">
        <f aca="false">IF(D3=E3,"-",IF(D3&gt;E3,B3,C3))</f>
        <v>Argentina</v>
      </c>
      <c r="H3" s="0" t="str">
        <f aca="false">IF(D3=E3,"-",IF(D3&lt;E3,B3,C3))</f>
        <v>Chile</v>
      </c>
      <c r="J3" s="12" t="s">
        <v>3</v>
      </c>
      <c r="K3" s="0" t="n">
        <f aca="false">COUNTIF($G$2:$G$747,J3)</f>
        <v>20</v>
      </c>
    </row>
    <row r="4" customFormat="false" ht="15" hidden="false" customHeight="false" outlineLevel="0" collapsed="false">
      <c r="A4" s="11" t="n">
        <v>6034</v>
      </c>
      <c r="B4" s="0" t="s">
        <v>5</v>
      </c>
      <c r="C4" s="0" t="s">
        <v>4</v>
      </c>
      <c r="D4" s="0" t="n">
        <v>1</v>
      </c>
      <c r="E4" s="0" t="n">
        <v>1</v>
      </c>
      <c r="F4" s="0" t="n">
        <v>1</v>
      </c>
      <c r="G4" s="0" t="str">
        <f aca="false">IF(D4=E4,"-",IF(D4&gt;E4,B4,C4))</f>
        <v>-</v>
      </c>
      <c r="H4" s="0" t="str">
        <f aca="false">IF(D4=E4,"-",IF(D4&lt;E4,B4,C4))</f>
        <v>-</v>
      </c>
      <c r="J4" s="12" t="s">
        <v>4</v>
      </c>
      <c r="K4" s="0" t="n">
        <f aca="false">COUNTIF($G$2:$G$747,J4)</f>
        <v>97</v>
      </c>
    </row>
    <row r="5" customFormat="false" ht="15" hidden="false" customHeight="false" outlineLevel="0" collapsed="false">
      <c r="A5" s="11" t="n">
        <v>6036</v>
      </c>
      <c r="B5" s="0" t="s">
        <v>2</v>
      </c>
      <c r="C5" s="0" t="s">
        <v>4</v>
      </c>
      <c r="D5" s="0" t="n">
        <v>1</v>
      </c>
      <c r="E5" s="0" t="n">
        <v>1</v>
      </c>
      <c r="F5" s="0" t="n">
        <v>1</v>
      </c>
      <c r="G5" s="0" t="str">
        <f aca="false">IF(D5=E5,"-",IF(D5&gt;E5,B5,C5))</f>
        <v>-</v>
      </c>
      <c r="H5" s="0" t="str">
        <f aca="false">IF(D5=E5,"-",IF(D5&lt;E5,B5,C5))</f>
        <v>-</v>
      </c>
      <c r="J5" s="12" t="s">
        <v>5</v>
      </c>
      <c r="K5" s="0" t="n">
        <f aca="false">COUNTIF($G$2:$G$747,J5)</f>
        <v>58</v>
      </c>
    </row>
    <row r="6" customFormat="false" ht="15" hidden="false" customHeight="false" outlineLevel="0" collapsed="false">
      <c r="A6" s="11" t="n">
        <v>6038</v>
      </c>
      <c r="B6" s="0" t="s">
        <v>16</v>
      </c>
      <c r="C6" s="0" t="s">
        <v>4</v>
      </c>
      <c r="D6" s="0" t="n">
        <v>2</v>
      </c>
      <c r="E6" s="0" t="n">
        <v>1</v>
      </c>
      <c r="F6" s="0" t="n">
        <v>1</v>
      </c>
      <c r="G6" s="0" t="str">
        <f aca="false">IF(D6=E6,"-",IF(D6&gt;E6,B6,C6))</f>
        <v>Uruguay</v>
      </c>
      <c r="H6" s="0" t="str">
        <f aca="false">IF(D6=E6,"-",IF(D6&lt;E6,B6,C6))</f>
        <v>Brazil</v>
      </c>
      <c r="J6" s="12" t="s">
        <v>6</v>
      </c>
      <c r="K6" s="0" t="n">
        <f aca="false">COUNTIF($G$2:$G$747,J6)</f>
        <v>39</v>
      </c>
    </row>
    <row r="7" customFormat="false" ht="15" hidden="false" customHeight="false" outlineLevel="0" collapsed="false">
      <c r="A7" s="11" t="n">
        <v>6043</v>
      </c>
      <c r="B7" s="0" t="s">
        <v>2</v>
      </c>
      <c r="C7" s="0" t="s">
        <v>16</v>
      </c>
      <c r="D7" s="0" t="n">
        <v>0</v>
      </c>
      <c r="E7" s="0" t="n">
        <v>0</v>
      </c>
      <c r="F7" s="0" t="n">
        <v>1</v>
      </c>
      <c r="G7" s="0" t="str">
        <f aca="false">IF(D7=E7,"-",IF(D7&gt;E7,B7,C7))</f>
        <v>-</v>
      </c>
      <c r="H7" s="0" t="str">
        <f aca="false">IF(D7=E7,"-",IF(D7&lt;E7,B7,C7))</f>
        <v>-</v>
      </c>
      <c r="J7" s="12" t="s">
        <v>7</v>
      </c>
      <c r="K7" s="0" t="n">
        <f aca="false">COUNTIF($G$2:$G$747,J7)</f>
        <v>4</v>
      </c>
    </row>
    <row r="8" customFormat="false" ht="15" hidden="false" customHeight="false" outlineLevel="0" collapsed="false">
      <c r="A8" s="11" t="n">
        <v>6483</v>
      </c>
      <c r="B8" s="0" t="s">
        <v>5</v>
      </c>
      <c r="C8" s="0" t="s">
        <v>16</v>
      </c>
      <c r="D8" s="0" t="n">
        <v>0</v>
      </c>
      <c r="E8" s="0" t="n">
        <v>4</v>
      </c>
      <c r="F8" s="0" t="n">
        <v>2</v>
      </c>
      <c r="G8" s="0" t="str">
        <f aca="false">IF(D8=E8,"-",IF(D8&gt;E8,B8,C8))</f>
        <v>Uruguay</v>
      </c>
      <c r="H8" s="0" t="str">
        <f aca="false">IF(D8=E8,"-",IF(D8&lt;E8,B8,C8))</f>
        <v>Chile</v>
      </c>
      <c r="J8" s="12" t="s">
        <v>8</v>
      </c>
      <c r="K8" s="0" t="n">
        <f aca="false">COUNTIF($G$2:$G$747,J8)</f>
        <v>14</v>
      </c>
    </row>
    <row r="9" customFormat="false" ht="15" hidden="false" customHeight="false" outlineLevel="0" collapsed="false">
      <c r="A9" s="11" t="n">
        <v>6486</v>
      </c>
      <c r="B9" s="0" t="s">
        <v>2</v>
      </c>
      <c r="C9" s="0" t="s">
        <v>4</v>
      </c>
      <c r="D9" s="0" t="n">
        <v>4</v>
      </c>
      <c r="E9" s="0" t="n">
        <v>2</v>
      </c>
      <c r="F9" s="0" t="n">
        <v>2</v>
      </c>
      <c r="G9" s="0" t="str">
        <f aca="false">IF(D9=E9,"-",IF(D9&gt;E9,B9,C9))</f>
        <v>Argentina</v>
      </c>
      <c r="H9" s="0" t="str">
        <f aca="false">IF(D9=E9,"-",IF(D9&lt;E9,B9,C9))</f>
        <v>Brazil</v>
      </c>
      <c r="J9" s="12" t="s">
        <v>9</v>
      </c>
      <c r="K9" s="0" t="n">
        <f aca="false">COUNTIF($G$2:$G$747,J9)</f>
        <v>3</v>
      </c>
    </row>
    <row r="10" customFormat="false" ht="15" hidden="false" customHeight="false" outlineLevel="0" collapsed="false">
      <c r="A10" s="11" t="n">
        <v>6489</v>
      </c>
      <c r="B10" s="0" t="s">
        <v>2</v>
      </c>
      <c r="C10" s="0" t="s">
        <v>5</v>
      </c>
      <c r="D10" s="0" t="n">
        <v>1</v>
      </c>
      <c r="E10" s="0" t="n">
        <v>0</v>
      </c>
      <c r="F10" s="0" t="n">
        <v>2</v>
      </c>
      <c r="G10" s="0" t="str">
        <f aca="false">IF(D10=E10,"-",IF(D10&gt;E10,B10,C10))</f>
        <v>Argentina</v>
      </c>
      <c r="H10" s="0" t="str">
        <f aca="false">IF(D10=E10,"-",IF(D10&lt;E10,B10,C10))</f>
        <v>Chile</v>
      </c>
      <c r="J10" s="12" t="s">
        <v>10</v>
      </c>
      <c r="K10" s="0" t="n">
        <f aca="false">COUNTIF($G$2:$G$747,J10)</f>
        <v>0</v>
      </c>
    </row>
    <row r="11" customFormat="false" ht="13.8" hidden="false" customHeight="false" outlineLevel="0" collapsed="false">
      <c r="A11" s="11" t="n">
        <v>6490</v>
      </c>
      <c r="B11" s="0" t="s">
        <v>16</v>
      </c>
      <c r="C11" s="0" t="s">
        <v>4</v>
      </c>
      <c r="D11" s="0" t="n">
        <v>4</v>
      </c>
      <c r="E11" s="0" t="n">
        <v>0</v>
      </c>
      <c r="F11" s="0" t="n">
        <v>2</v>
      </c>
      <c r="G11" s="0" t="str">
        <f aca="false">IF(D11=E11,"-",IF(D11&gt;E11,B11,C11))</f>
        <v>Uruguay</v>
      </c>
      <c r="H11" s="0" t="str">
        <f aca="false">IF(D11=E11,"-",IF(D11&lt;E11,B11,C11))</f>
        <v>Brazil</v>
      </c>
      <c r="J11" s="12" t="s">
        <v>11</v>
      </c>
      <c r="K11" s="0" t="n">
        <f aca="false">COUNTIF($G$2:$G$747,J11)</f>
        <v>0</v>
      </c>
    </row>
    <row r="12" customFormat="false" ht="13.8" hidden="false" customHeight="false" outlineLevel="0" collapsed="false">
      <c r="A12" s="13" t="n">
        <v>6495</v>
      </c>
      <c r="B12" s="14" t="s">
        <v>5</v>
      </c>
      <c r="C12" s="14" t="s">
        <v>4</v>
      </c>
      <c r="D12" s="14" t="n">
        <v>0</v>
      </c>
      <c r="E12" s="14" t="n">
        <v>5</v>
      </c>
      <c r="F12" s="14" t="n">
        <v>2</v>
      </c>
      <c r="G12" s="14" t="str">
        <f aca="false">IF(D12=E12,"-",IF(D12&gt;E12,B12,C12))</f>
        <v>Brazil</v>
      </c>
      <c r="H12" s="14" t="str">
        <f aca="false">IF(D12=E12,"-",IF(D12&lt;E12,B12,C12))</f>
        <v>Chile</v>
      </c>
      <c r="J12" s="12" t="s">
        <v>12</v>
      </c>
      <c r="K12" s="0" t="n">
        <f aca="false">COUNTIF($G$2:$G$747,J12)</f>
        <v>18</v>
      </c>
    </row>
    <row r="13" customFormat="false" ht="13.8" hidden="false" customHeight="false" outlineLevel="0" collapsed="false">
      <c r="A13" s="11" t="n">
        <v>6497</v>
      </c>
      <c r="B13" s="0" t="s">
        <v>2</v>
      </c>
      <c r="C13" s="0" t="s">
        <v>16</v>
      </c>
      <c r="D13" s="0" t="n">
        <v>0</v>
      </c>
      <c r="E13" s="0" t="n">
        <v>1</v>
      </c>
      <c r="F13" s="0" t="n">
        <v>2</v>
      </c>
      <c r="G13" s="0" t="str">
        <f aca="false">IF(D13=E13,"-",IF(D13&gt;E13,B13,C13))</f>
        <v>Uruguay</v>
      </c>
      <c r="H13" s="0" t="str">
        <f aca="false">IF(D13=E13,"-",IF(D13&lt;E13,B13,C13))</f>
        <v>Argentina</v>
      </c>
      <c r="J13" s="12" t="s">
        <v>13</v>
      </c>
      <c r="K13" s="0" t="n">
        <f aca="false">COUNTIF($G$2:$G$747,J13)</f>
        <v>63</v>
      </c>
    </row>
    <row r="14" customFormat="false" ht="13.8" hidden="false" customHeight="false" outlineLevel="0" collapsed="false">
      <c r="A14" s="13" t="n">
        <v>7071</v>
      </c>
      <c r="B14" s="14" t="s">
        <v>5</v>
      </c>
      <c r="C14" s="14" t="s">
        <v>4</v>
      </c>
      <c r="D14" s="14" t="n">
        <v>0</v>
      </c>
      <c r="E14" s="14" t="n">
        <v>6</v>
      </c>
      <c r="F14" s="14" t="n">
        <v>3</v>
      </c>
      <c r="G14" s="14" t="str">
        <f aca="false">IF(D14=E14,"-",IF(D14&gt;E14,B14,C14))</f>
        <v>Brazil</v>
      </c>
      <c r="H14" s="14" t="str">
        <f aca="false">IF(D14=E14,"-",IF(D14&lt;E14,B14,C14))</f>
        <v>Chile</v>
      </c>
      <c r="J14" s="12" t="s">
        <v>14</v>
      </c>
      <c r="K14" s="0" t="n">
        <f aca="false">COUNTIF($G$2:$G$747,J14)</f>
        <v>49</v>
      </c>
    </row>
    <row r="15" customFormat="false" ht="13.8" hidden="false" customHeight="false" outlineLevel="0" collapsed="false">
      <c r="A15" s="11" t="n">
        <v>7073</v>
      </c>
      <c r="B15" s="0" t="s">
        <v>2</v>
      </c>
      <c r="C15" s="0" t="s">
        <v>16</v>
      </c>
      <c r="D15" s="0" t="n">
        <v>2</v>
      </c>
      <c r="E15" s="0" t="n">
        <v>3</v>
      </c>
      <c r="F15" s="0" t="n">
        <v>3</v>
      </c>
      <c r="G15" s="0" t="str">
        <f aca="false">IF(D15=E15,"-",IF(D15&gt;E15,B15,C15))</f>
        <v>Uruguay</v>
      </c>
      <c r="H15" s="0" t="str">
        <f aca="false">IF(D15=E15,"-",IF(D15&lt;E15,B15,C15))</f>
        <v>Argentina</v>
      </c>
      <c r="J15" s="12" t="s">
        <v>15</v>
      </c>
      <c r="K15" s="0" t="n">
        <f aca="false">COUNTIF($G$2:$G$747,J15)</f>
        <v>2</v>
      </c>
    </row>
    <row r="16" customFormat="false" ht="13.8" hidden="false" customHeight="false" outlineLevel="0" collapsed="false">
      <c r="A16" s="11" t="n">
        <v>7077</v>
      </c>
      <c r="B16" s="0" t="s">
        <v>5</v>
      </c>
      <c r="C16" s="0" t="s">
        <v>16</v>
      </c>
      <c r="D16" s="0" t="n">
        <v>0</v>
      </c>
      <c r="E16" s="0" t="n">
        <v>2</v>
      </c>
      <c r="F16" s="0" t="n">
        <v>3</v>
      </c>
      <c r="G16" s="0" t="str">
        <f aca="false">IF(D16=E16,"-",IF(D16&gt;E16,B16,C16))</f>
        <v>Uruguay</v>
      </c>
      <c r="H16" s="0" t="str">
        <f aca="false">IF(D16=E16,"-",IF(D16&lt;E16,B16,C16))</f>
        <v>Chile</v>
      </c>
      <c r="J16" s="12" t="s">
        <v>15</v>
      </c>
      <c r="K16" s="0" t="n">
        <f aca="false">COUNTIF($G$2:$G$747,J16)</f>
        <v>2</v>
      </c>
    </row>
    <row r="17" customFormat="false" ht="13.8" hidden="false" customHeight="false" outlineLevel="0" collapsed="false">
      <c r="A17" s="11" t="n">
        <v>7078</v>
      </c>
      <c r="B17" s="0" t="s">
        <v>2</v>
      </c>
      <c r="C17" s="0" t="s">
        <v>4</v>
      </c>
      <c r="D17" s="0" t="n">
        <v>1</v>
      </c>
      <c r="E17" s="0" t="n">
        <v>3</v>
      </c>
      <c r="F17" s="0" t="n">
        <v>3</v>
      </c>
      <c r="G17" s="0" t="str">
        <f aca="false">IF(D17=E17,"-",IF(D17&gt;E17,B17,C17))</f>
        <v>Brazil</v>
      </c>
      <c r="H17" s="0" t="str">
        <f aca="false">IF(D17=E17,"-",IF(D17&lt;E17,B17,C17))</f>
        <v>Argentina</v>
      </c>
      <c r="J17" s="12" t="s">
        <v>16</v>
      </c>
      <c r="K17" s="0" t="n">
        <f aca="false">COUNTIF($G$2:$G$747,J17)</f>
        <v>108</v>
      </c>
    </row>
    <row r="18" customFormat="false" ht="13.8" hidden="false" customHeight="false" outlineLevel="0" collapsed="false">
      <c r="A18" s="11" t="n">
        <v>7082</v>
      </c>
      <c r="B18" s="0" t="s">
        <v>2</v>
      </c>
      <c r="C18" s="0" t="s">
        <v>5</v>
      </c>
      <c r="D18" s="0" t="n">
        <v>4</v>
      </c>
      <c r="E18" s="0" t="n">
        <v>1</v>
      </c>
      <c r="F18" s="0" t="n">
        <v>3</v>
      </c>
      <c r="G18" s="0" t="str">
        <f aca="false">IF(D18=E18,"-",IF(D18&gt;E18,B18,C18))</f>
        <v>Argentina</v>
      </c>
      <c r="H18" s="0" t="str">
        <f aca="false">IF(D18=E18,"-",IF(D18&lt;E18,B18,C18))</f>
        <v>Chile</v>
      </c>
      <c r="J18" s="12" t="s">
        <v>17</v>
      </c>
      <c r="K18" s="0" t="n">
        <f aca="false">COUNTIF($G$2:$G$747,J18)</f>
        <v>0</v>
      </c>
    </row>
    <row r="19" customFormat="false" ht="13.8" hidden="false" customHeight="false" outlineLevel="0" collapsed="false">
      <c r="A19" s="11" t="n">
        <v>7085</v>
      </c>
      <c r="B19" s="0" t="s">
        <v>16</v>
      </c>
      <c r="C19" s="0" t="s">
        <v>4</v>
      </c>
      <c r="D19" s="0" t="n">
        <v>2</v>
      </c>
      <c r="E19" s="0" t="n">
        <v>2</v>
      </c>
      <c r="F19" s="0" t="n">
        <v>3</v>
      </c>
      <c r="G19" s="0" t="str">
        <f aca="false">IF(D19=E19,"-",IF(D19&gt;E19,B19,C19))</f>
        <v>-</v>
      </c>
      <c r="H19" s="0" t="str">
        <f aca="false">IF(D19=E19,"-",IF(D19&lt;E19,B19,C19))</f>
        <v>-</v>
      </c>
      <c r="J19" s="12" t="s">
        <v>18</v>
      </c>
      <c r="K19" s="0" t="n">
        <f aca="false">COUNTIF($G$2:$G$747,J19)</f>
        <v>5</v>
      </c>
    </row>
    <row r="20" customFormat="false" ht="13.8" hidden="false" customHeight="false" outlineLevel="0" collapsed="false">
      <c r="A20" s="11" t="n">
        <v>7089</v>
      </c>
      <c r="B20" s="0" t="s">
        <v>16</v>
      </c>
      <c r="C20" s="0" t="s">
        <v>4</v>
      </c>
      <c r="D20" s="0" t="n">
        <v>0</v>
      </c>
      <c r="E20" s="0" t="n">
        <v>1</v>
      </c>
      <c r="F20" s="0" t="n">
        <v>3</v>
      </c>
      <c r="G20" s="0" t="str">
        <f aca="false">IF(D20=E20,"-",IF(D20&gt;E20,B20,C20))</f>
        <v>Brazil</v>
      </c>
      <c r="H20" s="0" t="str">
        <f aca="false">IF(D20=E20,"-",IF(D20&lt;E20,B20,C20))</f>
        <v>Uruguay</v>
      </c>
    </row>
    <row r="21" customFormat="false" ht="13.8" hidden="false" customHeight="false" outlineLevel="0" collapsed="false">
      <c r="A21" s="13" t="n">
        <v>7560</v>
      </c>
      <c r="B21" s="14" t="s">
        <v>5</v>
      </c>
      <c r="C21" s="14" t="s">
        <v>4</v>
      </c>
      <c r="D21" s="14" t="n">
        <v>0</v>
      </c>
      <c r="E21" s="14" t="n">
        <v>1</v>
      </c>
      <c r="F21" s="14" t="n">
        <v>4</v>
      </c>
      <c r="G21" s="14" t="str">
        <f aca="false">IF(D21=E21,"-",IF(D21&gt;E21,B21,C21))</f>
        <v>Brazil</v>
      </c>
      <c r="H21" s="14" t="str">
        <f aca="false">IF(D21=E21,"-",IF(D21&lt;E21,B21,C21))</f>
        <v>Chile</v>
      </c>
    </row>
    <row r="22" customFormat="false" ht="13.8" hidden="false" customHeight="false" outlineLevel="0" collapsed="false">
      <c r="A22" s="11" t="n">
        <v>7561</v>
      </c>
      <c r="B22" s="0" t="s">
        <v>2</v>
      </c>
      <c r="C22" s="0" t="s">
        <v>16</v>
      </c>
      <c r="D22" s="0" t="n">
        <v>1</v>
      </c>
      <c r="E22" s="0" t="n">
        <v>1</v>
      </c>
      <c r="F22" s="0" t="n">
        <v>4</v>
      </c>
      <c r="G22" s="0" t="str">
        <f aca="false">IF(D22=E22,"-",IF(D22&gt;E22,B22,C22))</f>
        <v>-</v>
      </c>
      <c r="H22" s="0" t="str">
        <f aca="false">IF(D22=E22,"-",IF(D22&lt;E22,B22,C22))</f>
        <v>-</v>
      </c>
    </row>
    <row r="23" customFormat="false" ht="13.8" hidden="false" customHeight="false" outlineLevel="0" collapsed="false">
      <c r="A23" s="11" t="n">
        <v>7567</v>
      </c>
      <c r="B23" s="0" t="s">
        <v>16</v>
      </c>
      <c r="C23" s="0" t="s">
        <v>4</v>
      </c>
      <c r="D23" s="0" t="n">
        <v>6</v>
      </c>
      <c r="E23" s="0" t="n">
        <v>0</v>
      </c>
      <c r="F23" s="0" t="n">
        <v>4</v>
      </c>
      <c r="G23" s="0" t="str">
        <f aca="false">IF(D23=E23,"-",IF(D23&gt;E23,B23,C23))</f>
        <v>Uruguay</v>
      </c>
      <c r="H23" s="0" t="str">
        <f aca="false">IF(D23=E23,"-",IF(D23&lt;E23,B23,C23))</f>
        <v>Brazil</v>
      </c>
    </row>
    <row r="24" customFormat="false" ht="13.8" hidden="false" customHeight="false" outlineLevel="0" collapsed="false">
      <c r="A24" s="11" t="n">
        <v>7569</v>
      </c>
      <c r="B24" s="0" t="s">
        <v>2</v>
      </c>
      <c r="C24" s="0" t="s">
        <v>5</v>
      </c>
      <c r="D24" s="0" t="n">
        <v>1</v>
      </c>
      <c r="E24" s="0" t="n">
        <v>1</v>
      </c>
      <c r="F24" s="0" t="n">
        <v>4</v>
      </c>
      <c r="G24" s="0" t="str">
        <f aca="false">IF(D24=E24,"-",IF(D24&gt;E24,B24,C24))</f>
        <v>-</v>
      </c>
      <c r="H24" s="0" t="str">
        <f aca="false">IF(D24=E24,"-",IF(D24&lt;E24,B24,C24))</f>
        <v>-</v>
      </c>
    </row>
    <row r="25" customFormat="false" ht="13.8" hidden="false" customHeight="false" outlineLevel="0" collapsed="false">
      <c r="A25" s="11" t="n">
        <v>7574</v>
      </c>
      <c r="B25" s="0" t="s">
        <v>2</v>
      </c>
      <c r="C25" s="0" t="s">
        <v>4</v>
      </c>
      <c r="D25" s="0" t="n">
        <v>2</v>
      </c>
      <c r="E25" s="0" t="n">
        <v>0</v>
      </c>
      <c r="F25" s="0" t="n">
        <v>4</v>
      </c>
      <c r="G25" s="0" t="str">
        <f aca="false">IF(D25=E25,"-",IF(D25&gt;E25,B25,C25))</f>
        <v>Argentina</v>
      </c>
      <c r="H25" s="0" t="str">
        <f aca="false">IF(D25=E25,"-",IF(D25&lt;E25,B25,C25))</f>
        <v>Brazil</v>
      </c>
    </row>
    <row r="26" customFormat="false" ht="13.8" hidden="false" customHeight="false" outlineLevel="0" collapsed="false">
      <c r="A26" s="11" t="n">
        <v>7575</v>
      </c>
      <c r="B26" s="0" t="s">
        <v>5</v>
      </c>
      <c r="C26" s="0" t="s">
        <v>16</v>
      </c>
      <c r="D26" s="0" t="n">
        <v>1</v>
      </c>
      <c r="E26" s="0" t="n">
        <v>2</v>
      </c>
      <c r="F26" s="0" t="n">
        <v>4</v>
      </c>
      <c r="G26" s="0" t="str">
        <f aca="false">IF(D26=E26,"-",IF(D26&gt;E26,B26,C26))</f>
        <v>Uruguay</v>
      </c>
      <c r="H26" s="0" t="str">
        <f aca="false">IF(D26=E26,"-",IF(D26&lt;E26,B26,C26))</f>
        <v>Chile</v>
      </c>
    </row>
    <row r="27" customFormat="false" ht="13.8" hidden="false" customHeight="false" outlineLevel="0" collapsed="false">
      <c r="A27" s="11" t="n">
        <v>7946</v>
      </c>
      <c r="B27" s="0" t="s">
        <v>2</v>
      </c>
      <c r="C27" s="0" t="s">
        <v>4</v>
      </c>
      <c r="D27" s="0" t="n">
        <v>1</v>
      </c>
      <c r="E27" s="0" t="n">
        <v>0</v>
      </c>
      <c r="F27" s="0" t="n">
        <v>5</v>
      </c>
      <c r="G27" s="0" t="str">
        <f aca="false">IF(D27=E27,"-",IF(D27&gt;E27,B27,C27))</f>
        <v>Argentina</v>
      </c>
      <c r="H27" s="0" t="str">
        <f aca="false">IF(D27=E27,"-",IF(D27&lt;E27,B27,C27))</f>
        <v>Brazil</v>
      </c>
    </row>
    <row r="28" customFormat="false" ht="13.8" hidden="false" customHeight="false" outlineLevel="0" collapsed="false">
      <c r="A28" s="11" t="n">
        <v>7953</v>
      </c>
      <c r="B28" s="0" t="s">
        <v>13</v>
      </c>
      <c r="C28" s="0" t="s">
        <v>16</v>
      </c>
      <c r="D28" s="0" t="n">
        <v>2</v>
      </c>
      <c r="E28" s="0" t="n">
        <v>1</v>
      </c>
      <c r="F28" s="0" t="n">
        <v>5</v>
      </c>
      <c r="G28" s="0" t="str">
        <f aca="false">IF(D28=E28,"-",IF(D28&gt;E28,B28,C28))</f>
        <v>Paraguay</v>
      </c>
      <c r="H28" s="0" t="str">
        <f aca="false">IF(D28=E28,"-",IF(D28&lt;E28,B28,C28))</f>
        <v>Uruguay</v>
      </c>
    </row>
    <row r="29" customFormat="false" ht="13.8" hidden="false" customHeight="false" outlineLevel="0" collapsed="false">
      <c r="A29" s="11" t="n">
        <v>7956</v>
      </c>
      <c r="B29" s="0" t="s">
        <v>13</v>
      </c>
      <c r="C29" s="0" t="s">
        <v>4</v>
      </c>
      <c r="D29" s="0" t="n">
        <v>0</v>
      </c>
      <c r="E29" s="0" t="n">
        <v>3</v>
      </c>
      <c r="F29" s="0" t="n">
        <v>5</v>
      </c>
      <c r="G29" s="0" t="str">
        <f aca="false">IF(D29=E29,"-",IF(D29&gt;E29,B29,C29))</f>
        <v>Brazil</v>
      </c>
      <c r="H29" s="0" t="str">
        <f aca="false">IF(D29=E29,"-",IF(D29&lt;E29,B29,C29))</f>
        <v>Paraguay</v>
      </c>
    </row>
    <row r="30" customFormat="false" ht="13.8" hidden="false" customHeight="false" outlineLevel="0" collapsed="false">
      <c r="A30" s="11" t="n">
        <v>7960</v>
      </c>
      <c r="B30" s="0" t="s">
        <v>2</v>
      </c>
      <c r="C30" s="0" t="s">
        <v>13</v>
      </c>
      <c r="D30" s="0" t="n">
        <v>3</v>
      </c>
      <c r="E30" s="0" t="n">
        <v>0</v>
      </c>
      <c r="F30" s="0" t="n">
        <v>5</v>
      </c>
      <c r="G30" s="0" t="str">
        <f aca="false">IF(D30=E30,"-",IF(D30&gt;E30,B30,C30))</f>
        <v>Argentina</v>
      </c>
      <c r="H30" s="0" t="str">
        <f aca="false">IF(D30=E30,"-",IF(D30&lt;E30,B30,C30))</f>
        <v>Paraguay</v>
      </c>
    </row>
    <row r="31" customFormat="false" ht="13.8" hidden="false" customHeight="false" outlineLevel="0" collapsed="false">
      <c r="A31" s="11" t="n">
        <v>7967</v>
      </c>
      <c r="B31" s="0" t="s">
        <v>16</v>
      </c>
      <c r="C31" s="0" t="s">
        <v>4</v>
      </c>
      <c r="D31" s="0" t="n">
        <v>2</v>
      </c>
      <c r="E31" s="0" t="n">
        <v>1</v>
      </c>
      <c r="F31" s="0" t="n">
        <v>5</v>
      </c>
      <c r="G31" s="0" t="str">
        <f aca="false">IF(D31=E31,"-",IF(D31&gt;E31,B31,C31))</f>
        <v>Uruguay</v>
      </c>
      <c r="H31" s="0" t="str">
        <f aca="false">IF(D31=E31,"-",IF(D31&lt;E31,B31,C31))</f>
        <v>Brazil</v>
      </c>
    </row>
    <row r="32" customFormat="false" ht="13.8" hidden="false" customHeight="false" outlineLevel="0" collapsed="false">
      <c r="A32" s="11" t="n">
        <v>7974</v>
      </c>
      <c r="B32" s="0" t="s">
        <v>2</v>
      </c>
      <c r="C32" s="0" t="s">
        <v>16</v>
      </c>
      <c r="D32" s="0" t="n">
        <v>1</v>
      </c>
      <c r="E32" s="0" t="n">
        <v>0</v>
      </c>
      <c r="F32" s="0" t="n">
        <v>5</v>
      </c>
      <c r="G32" s="0" t="str">
        <f aca="false">IF(D32=E32,"-",IF(D32&gt;E32,B32,C32))</f>
        <v>Argentina</v>
      </c>
      <c r="H32" s="0" t="str">
        <f aca="false">IF(D32=E32,"-",IF(D32&lt;E32,B32,C32))</f>
        <v>Uruguay</v>
      </c>
    </row>
    <row r="33" customFormat="false" ht="13.8" hidden="false" customHeight="false" outlineLevel="0" collapsed="false">
      <c r="A33" s="11" t="n">
        <v>8296</v>
      </c>
      <c r="B33" s="0" t="s">
        <v>5</v>
      </c>
      <c r="C33" s="0" t="s">
        <v>4</v>
      </c>
      <c r="D33" s="0" t="n">
        <v>1</v>
      </c>
      <c r="E33" s="0" t="n">
        <v>1</v>
      </c>
      <c r="F33" s="0" t="n">
        <v>6</v>
      </c>
      <c r="G33" s="0" t="str">
        <f aca="false">IF(D33=E33,"-",IF(D33&gt;E33,B33,C33))</f>
        <v>-</v>
      </c>
      <c r="H33" s="0" t="str">
        <f aca="false">IF(D33=E33,"-",IF(D33&lt;E33,B33,C33))</f>
        <v>-</v>
      </c>
    </row>
    <row r="34" customFormat="false" ht="13.8" hidden="false" customHeight="false" outlineLevel="0" collapsed="false">
      <c r="A34" s="11" t="n">
        <v>8302</v>
      </c>
      <c r="B34" s="0" t="s">
        <v>5</v>
      </c>
      <c r="C34" s="0" t="s">
        <v>16</v>
      </c>
      <c r="D34" s="0" t="n">
        <v>0</v>
      </c>
      <c r="E34" s="0" t="n">
        <v>2</v>
      </c>
      <c r="F34" s="0" t="n">
        <v>6</v>
      </c>
      <c r="G34" s="0" t="str">
        <f aca="false">IF(D34=E34,"-",IF(D34&gt;E34,B34,C34))</f>
        <v>Uruguay</v>
      </c>
      <c r="H34" s="0" t="str">
        <f aca="false">IF(D34=E34,"-",IF(D34&lt;E34,B34,C34))</f>
        <v>Chile</v>
      </c>
    </row>
    <row r="35" customFormat="false" ht="13.8" hidden="false" customHeight="false" outlineLevel="0" collapsed="false">
      <c r="A35" s="11" t="n">
        <v>8303</v>
      </c>
      <c r="B35" s="0" t="s">
        <v>13</v>
      </c>
      <c r="C35" s="0" t="s">
        <v>4</v>
      </c>
      <c r="D35" s="0" t="n">
        <v>1</v>
      </c>
      <c r="E35" s="0" t="n">
        <v>1</v>
      </c>
      <c r="F35" s="0" t="n">
        <v>6</v>
      </c>
      <c r="G35" s="0" t="str">
        <f aca="false">IF(D35=E35,"-",IF(D35&gt;E35,B35,C35))</f>
        <v>-</v>
      </c>
      <c r="H35" s="0" t="str">
        <f aca="false">IF(D35=E35,"-",IF(D35&lt;E35,B35,C35))</f>
        <v>-</v>
      </c>
    </row>
    <row r="36" customFormat="false" ht="13.8" hidden="false" customHeight="false" outlineLevel="0" collapsed="false">
      <c r="A36" s="11" t="n">
        <v>8307</v>
      </c>
      <c r="B36" s="0" t="s">
        <v>2</v>
      </c>
      <c r="C36" s="0" t="s">
        <v>5</v>
      </c>
      <c r="D36" s="0" t="n">
        <v>4</v>
      </c>
      <c r="E36" s="0" t="n">
        <v>0</v>
      </c>
      <c r="F36" s="0" t="n">
        <v>6</v>
      </c>
      <c r="G36" s="0" t="str">
        <f aca="false">IF(D36=E36,"-",IF(D36&gt;E36,B36,C36))</f>
        <v>Argentina</v>
      </c>
      <c r="H36" s="0" t="str">
        <f aca="false">IF(D36=E36,"-",IF(D36&lt;E36,B36,C36))</f>
        <v>Chile</v>
      </c>
    </row>
    <row r="37" customFormat="false" ht="13.8" hidden="false" customHeight="false" outlineLevel="0" collapsed="false">
      <c r="A37" s="11" t="n">
        <v>8310</v>
      </c>
      <c r="B37" s="0" t="s">
        <v>16</v>
      </c>
      <c r="C37" s="0" t="s">
        <v>4</v>
      </c>
      <c r="D37" s="0" t="n">
        <v>0</v>
      </c>
      <c r="E37" s="0" t="n">
        <v>0</v>
      </c>
      <c r="F37" s="0" t="n">
        <v>6</v>
      </c>
      <c r="G37" s="0" t="str">
        <f aca="false">IF(D37=E37,"-",IF(D37&gt;E37,B37,C37))</f>
        <v>-</v>
      </c>
      <c r="H37" s="0" t="str">
        <f aca="false">IF(D37=E37,"-",IF(D37&lt;E37,B37,C37))</f>
        <v>-</v>
      </c>
    </row>
    <row r="38" customFormat="false" ht="13.8" hidden="false" customHeight="false" outlineLevel="0" collapsed="false">
      <c r="A38" s="11" t="n">
        <v>8314</v>
      </c>
      <c r="B38" s="0" t="s">
        <v>5</v>
      </c>
      <c r="C38" s="0" t="s">
        <v>13</v>
      </c>
      <c r="D38" s="0" t="n">
        <v>0</v>
      </c>
      <c r="E38" s="0" t="n">
        <v>3</v>
      </c>
      <c r="F38" s="0" t="n">
        <v>6</v>
      </c>
      <c r="G38" s="0" t="str">
        <f aca="false">IF(D38=E38,"-",IF(D38&gt;E38,B38,C38))</f>
        <v>Paraguay</v>
      </c>
      <c r="H38" s="0" t="str">
        <f aca="false">IF(D38=E38,"-",IF(D38&lt;E38,B38,C38))</f>
        <v>Chile</v>
      </c>
    </row>
    <row r="39" customFormat="false" ht="13.8" hidden="false" customHeight="false" outlineLevel="0" collapsed="false">
      <c r="A39" s="11" t="n">
        <v>8317</v>
      </c>
      <c r="B39" s="0" t="s">
        <v>2</v>
      </c>
      <c r="C39" s="0" t="s">
        <v>16</v>
      </c>
      <c r="D39" s="0" t="n">
        <v>0</v>
      </c>
      <c r="E39" s="0" t="n">
        <v>1</v>
      </c>
      <c r="F39" s="0" t="n">
        <v>6</v>
      </c>
      <c r="G39" s="0" t="str">
        <f aca="false">IF(D39=E39,"-",IF(D39&gt;E39,B39,C39))</f>
        <v>Uruguay</v>
      </c>
      <c r="H39" s="0" t="str">
        <f aca="false">IF(D39=E39,"-",IF(D39&lt;E39,B39,C39))</f>
        <v>Argentina</v>
      </c>
    </row>
    <row r="40" customFormat="false" ht="13.8" hidden="false" customHeight="false" outlineLevel="0" collapsed="false">
      <c r="A40" s="11" t="n">
        <v>8321</v>
      </c>
      <c r="B40" s="0" t="s">
        <v>13</v>
      </c>
      <c r="C40" s="0" t="s">
        <v>16</v>
      </c>
      <c r="D40" s="0" t="n">
        <v>1</v>
      </c>
      <c r="E40" s="0" t="n">
        <v>0</v>
      </c>
      <c r="F40" s="0" t="n">
        <v>6</v>
      </c>
      <c r="G40" s="0" t="str">
        <f aca="false">IF(D40=E40,"-",IF(D40&gt;E40,B40,C40))</f>
        <v>Paraguay</v>
      </c>
      <c r="H40" s="0" t="str">
        <f aca="false">IF(D40=E40,"-",IF(D40&lt;E40,B40,C40))</f>
        <v>Uruguay</v>
      </c>
    </row>
    <row r="41" customFormat="false" ht="13.8" hidden="false" customHeight="false" outlineLevel="0" collapsed="false">
      <c r="A41" s="11" t="n">
        <v>8324</v>
      </c>
      <c r="B41" s="0" t="s">
        <v>2</v>
      </c>
      <c r="C41" s="0" t="s">
        <v>4</v>
      </c>
      <c r="D41" s="0" t="n">
        <v>0</v>
      </c>
      <c r="E41" s="0" t="n">
        <v>2</v>
      </c>
      <c r="F41" s="0" t="n">
        <v>6</v>
      </c>
      <c r="G41" s="0" t="str">
        <f aca="false">IF(D41=E41,"-",IF(D41&gt;E41,B41,C41))</f>
        <v>Brazil</v>
      </c>
      <c r="H41" s="0" t="str">
        <f aca="false">IF(D41=E41,"-",IF(D41&lt;E41,B41,C41))</f>
        <v>Argentina</v>
      </c>
    </row>
    <row r="42" customFormat="false" ht="13.8" hidden="false" customHeight="false" outlineLevel="0" collapsed="false">
      <c r="A42" s="11" t="n">
        <v>8327</v>
      </c>
      <c r="B42" s="0" t="s">
        <v>2</v>
      </c>
      <c r="C42" s="0" t="s">
        <v>13</v>
      </c>
      <c r="D42" s="0" t="n">
        <v>2</v>
      </c>
      <c r="E42" s="0" t="n">
        <v>0</v>
      </c>
      <c r="F42" s="0" t="n">
        <v>6</v>
      </c>
      <c r="G42" s="0" t="str">
        <f aca="false">IF(D42=E42,"-",IF(D42&gt;E42,B42,C42))</f>
        <v>Argentina</v>
      </c>
      <c r="H42" s="0" t="str">
        <f aca="false">IF(D42=E42,"-",IF(D42&lt;E42,B42,C42))</f>
        <v>Paraguay</v>
      </c>
    </row>
    <row r="43" customFormat="false" ht="13.8" hidden="false" customHeight="false" outlineLevel="0" collapsed="false">
      <c r="A43" s="11" t="n">
        <v>8331</v>
      </c>
      <c r="B43" s="0" t="s">
        <v>13</v>
      </c>
      <c r="C43" s="0" t="s">
        <v>4</v>
      </c>
      <c r="D43" s="0" t="n">
        <v>0</v>
      </c>
      <c r="E43" s="0" t="n">
        <v>3</v>
      </c>
      <c r="F43" s="0" t="n">
        <v>6</v>
      </c>
      <c r="G43" s="0" t="str">
        <f aca="false">IF(D43=E43,"-",IF(D43&gt;E43,B43,C43))</f>
        <v>Brazil</v>
      </c>
      <c r="H43" s="0" t="str">
        <f aca="false">IF(D43=E43,"-",IF(D43&lt;E43,B43,C43))</f>
        <v>Paraguay</v>
      </c>
    </row>
    <row r="44" customFormat="false" ht="13.8" hidden="false" customHeight="false" outlineLevel="0" collapsed="false">
      <c r="A44" s="11" t="n">
        <v>8702</v>
      </c>
      <c r="B44" s="0" t="s">
        <v>2</v>
      </c>
      <c r="C44" s="0" t="s">
        <v>13</v>
      </c>
      <c r="D44" s="0" t="n">
        <v>4</v>
      </c>
      <c r="E44" s="0" t="n">
        <v>3</v>
      </c>
      <c r="F44" s="0" t="n">
        <v>7</v>
      </c>
      <c r="G44" s="0" t="str">
        <f aca="false">IF(D44=E44,"-",IF(D44&gt;E44,B44,C44))</f>
        <v>Argentina</v>
      </c>
      <c r="H44" s="0" t="str">
        <f aca="false">IF(D44=E44,"-",IF(D44&lt;E44,B44,C44))</f>
        <v>Paraguay</v>
      </c>
    </row>
    <row r="45" customFormat="false" ht="13.8" hidden="false" customHeight="false" outlineLevel="0" collapsed="false">
      <c r="A45" s="11" t="n">
        <v>8709</v>
      </c>
      <c r="B45" s="0" t="s">
        <v>13</v>
      </c>
      <c r="C45" s="0" t="s">
        <v>16</v>
      </c>
      <c r="D45" s="0" t="n">
        <v>0</v>
      </c>
      <c r="E45" s="0" t="n">
        <v>2</v>
      </c>
      <c r="F45" s="0" t="n">
        <v>7</v>
      </c>
      <c r="G45" s="0" t="str">
        <f aca="false">IF(D45=E45,"-",IF(D45&gt;E45,B45,C45))</f>
        <v>Uruguay</v>
      </c>
      <c r="H45" s="0" t="str">
        <f aca="false">IF(D45=E45,"-",IF(D45&lt;E45,B45,C45))</f>
        <v>Paraguay</v>
      </c>
    </row>
    <row r="46" customFormat="false" ht="13.8" hidden="false" customHeight="false" outlineLevel="0" collapsed="false">
      <c r="A46" s="11" t="n">
        <v>8716</v>
      </c>
      <c r="B46" s="0" t="s">
        <v>13</v>
      </c>
      <c r="C46" s="0" t="s">
        <v>4</v>
      </c>
      <c r="D46" s="0" t="n">
        <v>1</v>
      </c>
      <c r="E46" s="0" t="n">
        <v>0</v>
      </c>
      <c r="F46" s="0" t="n">
        <v>7</v>
      </c>
      <c r="G46" s="0" t="str">
        <f aca="false">IF(D46=E46,"-",IF(D46&gt;E46,B46,C46))</f>
        <v>Paraguay</v>
      </c>
      <c r="H46" s="0" t="str">
        <f aca="false">IF(D46=E46,"-",IF(D46&lt;E46,B46,C46))</f>
        <v>Brazil</v>
      </c>
    </row>
    <row r="47" customFormat="false" ht="13.8" hidden="false" customHeight="false" outlineLevel="0" collapsed="false">
      <c r="A47" s="11" t="n">
        <v>8723</v>
      </c>
      <c r="B47" s="0" t="s">
        <v>2</v>
      </c>
      <c r="C47" s="0" t="s">
        <v>4</v>
      </c>
      <c r="D47" s="0" t="n">
        <v>2</v>
      </c>
      <c r="E47" s="0" t="n">
        <v>1</v>
      </c>
      <c r="F47" s="0" t="n">
        <v>7</v>
      </c>
      <c r="G47" s="0" t="str">
        <f aca="false">IF(D47=E47,"-",IF(D47&gt;E47,B47,C47))</f>
        <v>Argentina</v>
      </c>
      <c r="H47" s="0" t="str">
        <f aca="false">IF(D47=E47,"-",IF(D47&lt;E47,B47,C47))</f>
        <v>Brazil</v>
      </c>
    </row>
    <row r="48" customFormat="false" ht="13.8" hidden="false" customHeight="false" outlineLevel="0" collapsed="false">
      <c r="A48" s="11" t="n">
        <v>8730</v>
      </c>
      <c r="B48" s="0" t="s">
        <v>16</v>
      </c>
      <c r="C48" s="0" t="s">
        <v>4</v>
      </c>
      <c r="D48" s="0" t="n">
        <v>2</v>
      </c>
      <c r="E48" s="0" t="n">
        <v>1</v>
      </c>
      <c r="F48" s="0" t="n">
        <v>7</v>
      </c>
      <c r="G48" s="0" t="str">
        <f aca="false">IF(D48=E48,"-",IF(D48&gt;E48,B48,C48))</f>
        <v>Uruguay</v>
      </c>
      <c r="H48" s="0" t="str">
        <f aca="false">IF(D48=E48,"-",IF(D48&lt;E48,B48,C48))</f>
        <v>Brazil</v>
      </c>
    </row>
    <row r="49" customFormat="false" ht="13.8" hidden="false" customHeight="false" outlineLevel="0" collapsed="false">
      <c r="A49" s="0" t="s">
        <v>28</v>
      </c>
      <c r="B49" s="0" t="s">
        <v>2</v>
      </c>
      <c r="C49" s="0" t="s">
        <v>16</v>
      </c>
      <c r="D49" s="0" t="n">
        <v>0</v>
      </c>
      <c r="E49" s="0" t="n">
        <v>2</v>
      </c>
      <c r="F49" s="0" t="n">
        <v>7</v>
      </c>
      <c r="G49" s="0" t="str">
        <f aca="false">IF(D49=E49,"-",IF(D49&gt;E49,B49,C49))</f>
        <v>Uruguay</v>
      </c>
      <c r="H49" s="0" t="str">
        <f aca="false">IF(D49=E49,"-",IF(D49&lt;E49,B49,C49))</f>
        <v>Argentina</v>
      </c>
    </row>
    <row r="50" customFormat="false" ht="13.8" hidden="false" customHeight="false" outlineLevel="0" collapsed="false">
      <c r="A50" s="11" t="n">
        <v>9052</v>
      </c>
      <c r="B50" s="0" t="s">
        <v>2</v>
      </c>
      <c r="C50" s="0" t="s">
        <v>13</v>
      </c>
      <c r="D50" s="0" t="n">
        <v>0</v>
      </c>
      <c r="E50" s="0" t="n">
        <v>0</v>
      </c>
      <c r="F50" s="0" t="n">
        <v>8</v>
      </c>
      <c r="G50" s="0" t="str">
        <f aca="false">IF(D50=E50,"-",IF(D50&gt;E50,B50,C50))</f>
        <v>-</v>
      </c>
      <c r="H50" s="0" t="str">
        <f aca="false">IF(D50=E50,"-",IF(D50&lt;E50,B50,C50))</f>
        <v>-</v>
      </c>
    </row>
    <row r="51" customFormat="false" ht="13.8" hidden="false" customHeight="false" outlineLevel="0" collapsed="false">
      <c r="A51" s="11" t="n">
        <v>9059</v>
      </c>
      <c r="B51" s="0" t="s">
        <v>5</v>
      </c>
      <c r="C51" s="0" t="s">
        <v>16</v>
      </c>
      <c r="D51" s="0" t="n">
        <v>0</v>
      </c>
      <c r="E51" s="0" t="n">
        <v>5</v>
      </c>
      <c r="F51" s="0" t="n">
        <v>8</v>
      </c>
      <c r="G51" s="0" t="str">
        <f aca="false">IF(D51=E51,"-",IF(D51&gt;E51,B51,C51))</f>
        <v>Uruguay</v>
      </c>
      <c r="H51" s="0" t="str">
        <f aca="false">IF(D51=E51,"-",IF(D51&lt;E51,B51,C51))</f>
        <v>Chile</v>
      </c>
    </row>
    <row r="52" customFormat="false" ht="13.8" hidden="false" customHeight="false" outlineLevel="0" collapsed="false">
      <c r="A52" s="11" t="n">
        <v>9065</v>
      </c>
      <c r="B52" s="0" t="s">
        <v>2</v>
      </c>
      <c r="C52" s="0" t="s">
        <v>5</v>
      </c>
      <c r="D52" s="0" t="n">
        <v>2</v>
      </c>
      <c r="E52" s="0" t="n">
        <v>0</v>
      </c>
      <c r="F52" s="0" t="n">
        <v>8</v>
      </c>
      <c r="G52" s="0" t="str">
        <f aca="false">IF(D52=E52,"-",IF(D52&gt;E52,B52,C52))</f>
        <v>Argentina</v>
      </c>
      <c r="H52" s="0" t="str">
        <f aca="false">IF(D52=E52,"-",IF(D52&lt;E52,B52,C52))</f>
        <v>Chile</v>
      </c>
    </row>
    <row r="53" customFormat="false" ht="13.8" hidden="false" customHeight="false" outlineLevel="0" collapsed="false">
      <c r="A53" s="11" t="n">
        <v>9066</v>
      </c>
      <c r="B53" s="0" t="s">
        <v>13</v>
      </c>
      <c r="C53" s="0" t="s">
        <v>16</v>
      </c>
      <c r="D53" s="0" t="n">
        <v>1</v>
      </c>
      <c r="E53" s="0" t="n">
        <v>3</v>
      </c>
      <c r="F53" s="0" t="n">
        <v>8</v>
      </c>
      <c r="G53" s="0" t="str">
        <f aca="false">IF(D53=E53,"-",IF(D53&gt;E53,B53,C53))</f>
        <v>Uruguay</v>
      </c>
      <c r="H53" s="0" t="str">
        <f aca="false">IF(D53=E53,"-",IF(D53&lt;E53,B53,C53))</f>
        <v>Paraguay</v>
      </c>
    </row>
    <row r="54" customFormat="false" ht="13.8" hidden="false" customHeight="false" outlineLevel="0" collapsed="false">
      <c r="A54" s="11" t="n">
        <v>9072</v>
      </c>
      <c r="B54" s="0" t="s">
        <v>5</v>
      </c>
      <c r="C54" s="0" t="s">
        <v>13</v>
      </c>
      <c r="D54" s="0" t="n">
        <v>1</v>
      </c>
      <c r="E54" s="0" t="n">
        <v>3</v>
      </c>
      <c r="F54" s="0" t="n">
        <v>8</v>
      </c>
      <c r="G54" s="0" t="str">
        <f aca="false">IF(D54=E54,"-",IF(D54&gt;E54,B54,C54))</f>
        <v>Paraguay</v>
      </c>
      <c r="H54" s="0" t="str">
        <f aca="false">IF(D54=E54,"-",IF(D54&lt;E54,B54,C54))</f>
        <v>Chile</v>
      </c>
    </row>
    <row r="55" customFormat="false" ht="13.8" hidden="false" customHeight="false" outlineLevel="0" collapsed="false">
      <c r="A55" s="11" t="n">
        <v>9073</v>
      </c>
      <c r="B55" s="0" t="s">
        <v>2</v>
      </c>
      <c r="C55" s="0" t="s">
        <v>16</v>
      </c>
      <c r="D55" s="0" t="n">
        <v>0</v>
      </c>
      <c r="E55" s="0" t="n">
        <v>0</v>
      </c>
      <c r="F55" s="0" t="n">
        <v>8</v>
      </c>
      <c r="G55" s="0" t="str">
        <f aca="false">IF(D55=E55,"-",IF(D55&gt;E55,B55,C55))</f>
        <v>-</v>
      </c>
      <c r="H55" s="0" t="str">
        <f aca="false">IF(D55=E55,"-",IF(D55&lt;E55,B55,C55))</f>
        <v>-</v>
      </c>
    </row>
    <row r="56" customFormat="false" ht="13.8" hidden="false" customHeight="false" outlineLevel="0" collapsed="false">
      <c r="A56" s="11" t="n">
        <v>9465</v>
      </c>
      <c r="B56" s="0" t="s">
        <v>2</v>
      </c>
      <c r="C56" s="0" t="s">
        <v>13</v>
      </c>
      <c r="D56" s="0" t="n">
        <v>2</v>
      </c>
      <c r="E56" s="0" t="n">
        <v>0</v>
      </c>
      <c r="F56" s="0" t="n">
        <v>9</v>
      </c>
      <c r="G56" s="0" t="str">
        <f aca="false">IF(D56=E56,"-",IF(D56&gt;E56,B56,C56))</f>
        <v>Argentina</v>
      </c>
      <c r="H56" s="0" t="str">
        <f aca="false">IF(D56=E56,"-",IF(D56&lt;E56,B56,C56))</f>
        <v>Paraguay</v>
      </c>
    </row>
    <row r="57" customFormat="false" ht="13.8" hidden="false" customHeight="false" outlineLevel="0" collapsed="false">
      <c r="A57" s="0" t="s">
        <v>29</v>
      </c>
      <c r="B57" s="0" t="s">
        <v>13</v>
      </c>
      <c r="C57" s="0" t="s">
        <v>4</v>
      </c>
      <c r="D57" s="0" t="n">
        <v>2</v>
      </c>
      <c r="E57" s="0" t="n">
        <v>5</v>
      </c>
      <c r="F57" s="0" t="n">
        <v>9</v>
      </c>
      <c r="G57" s="0" t="str">
        <f aca="false">IF(D57=E57,"-",IF(D57&gt;E57,B57,C57))</f>
        <v>Brazil</v>
      </c>
      <c r="H57" s="0" t="str">
        <f aca="false">IF(D57=E57,"-",IF(D57&lt;E57,B57,C57))</f>
        <v>Paraguay</v>
      </c>
    </row>
    <row r="58" customFormat="false" ht="13.8" hidden="false" customHeight="false" outlineLevel="0" collapsed="false">
      <c r="A58" s="0" t="s">
        <v>30</v>
      </c>
      <c r="B58" s="0" t="s">
        <v>2</v>
      </c>
      <c r="C58" s="0" t="s">
        <v>4</v>
      </c>
      <c r="D58" s="0" t="n">
        <v>4</v>
      </c>
      <c r="E58" s="0" t="n">
        <v>1</v>
      </c>
      <c r="F58" s="0" t="n">
        <v>9</v>
      </c>
      <c r="G58" s="0" t="str">
        <f aca="false">IF(D58=E58,"-",IF(D58&gt;E58,B58,C58))</f>
        <v>Argentina</v>
      </c>
      <c r="H58" s="0" t="str">
        <f aca="false">IF(D58=E58,"-",IF(D58&lt;E58,B58,C58))</f>
        <v>Brazil</v>
      </c>
    </row>
    <row r="59" customFormat="false" ht="13.8" hidden="false" customHeight="false" outlineLevel="0" collapsed="false">
      <c r="A59" s="0" t="s">
        <v>31</v>
      </c>
      <c r="B59" s="0" t="s">
        <v>13</v>
      </c>
      <c r="C59" s="0" t="s">
        <v>4</v>
      </c>
      <c r="D59" s="0" t="n">
        <v>1</v>
      </c>
      <c r="E59" s="0" t="n">
        <v>3</v>
      </c>
      <c r="F59" s="0" t="n">
        <v>9</v>
      </c>
      <c r="G59" s="0" t="str">
        <f aca="false">IF(D59=E59,"-",IF(D59&gt;E59,B59,C59))</f>
        <v>Brazil</v>
      </c>
      <c r="H59" s="0" t="str">
        <f aca="false">IF(D59=E59,"-",IF(D59&lt;E59,B59,C59))</f>
        <v>Paraguay</v>
      </c>
    </row>
    <row r="60" customFormat="false" ht="13.8" hidden="false" customHeight="false" outlineLevel="0" collapsed="false">
      <c r="A60" s="0" t="s">
        <v>32</v>
      </c>
      <c r="B60" s="0" t="s">
        <v>2</v>
      </c>
      <c r="C60" s="0" t="s">
        <v>13</v>
      </c>
      <c r="D60" s="0" t="n">
        <v>3</v>
      </c>
      <c r="E60" s="0" t="n">
        <v>1</v>
      </c>
      <c r="F60" s="0" t="n">
        <v>9</v>
      </c>
      <c r="G60" s="0" t="str">
        <f aca="false">IF(D60=E60,"-",IF(D60&gt;E60,B60,C60))</f>
        <v>Argentina</v>
      </c>
      <c r="H60" s="0" t="str">
        <f aca="false">IF(D60=E60,"-",IF(D60&lt;E60,B60,C60))</f>
        <v>Paraguay</v>
      </c>
    </row>
    <row r="61" customFormat="false" ht="13.8" hidden="false" customHeight="false" outlineLevel="0" collapsed="false">
      <c r="A61" s="0" t="s">
        <v>33</v>
      </c>
      <c r="B61" s="0" t="s">
        <v>2</v>
      </c>
      <c r="C61" s="0" t="s">
        <v>4</v>
      </c>
      <c r="D61" s="0" t="n">
        <v>2</v>
      </c>
      <c r="E61" s="0" t="n">
        <v>2</v>
      </c>
      <c r="F61" s="0" t="n">
        <v>9</v>
      </c>
      <c r="G61" s="0" t="str">
        <f aca="false">IF(D61=E61,"-",IF(D61&gt;E61,B61,C61))</f>
        <v>-</v>
      </c>
      <c r="H61" s="0" t="str">
        <f aca="false">IF(D61=E61,"-",IF(D61&lt;E61,B61,C61))</f>
        <v>-</v>
      </c>
    </row>
    <row r="62" customFormat="false" ht="13.8" hidden="false" customHeight="false" outlineLevel="0" collapsed="false">
      <c r="A62" s="11" t="n">
        <v>9782</v>
      </c>
      <c r="B62" s="0" t="s">
        <v>3</v>
      </c>
      <c r="C62" s="0" t="s">
        <v>5</v>
      </c>
      <c r="D62" s="0" t="n">
        <v>1</v>
      </c>
      <c r="E62" s="0" t="n">
        <v>7</v>
      </c>
      <c r="F62" s="0" t="n">
        <v>10</v>
      </c>
      <c r="G62" s="0" t="str">
        <f aca="false">IF(D62=E62,"-",IF(D62&gt;E62,B62,C62))</f>
        <v>Chile</v>
      </c>
      <c r="H62" s="0" t="str">
        <f aca="false">IF(D62=E62,"-",IF(D62&lt;E62,B62,C62))</f>
        <v>Bolivia</v>
      </c>
    </row>
    <row r="63" customFormat="false" ht="13.8" hidden="false" customHeight="false" outlineLevel="0" collapsed="false">
      <c r="A63" s="11" t="n">
        <v>9786</v>
      </c>
      <c r="B63" s="0" t="s">
        <v>2</v>
      </c>
      <c r="C63" s="0" t="s">
        <v>3</v>
      </c>
      <c r="D63" s="0" t="n">
        <v>5</v>
      </c>
      <c r="E63" s="0" t="n">
        <v>0</v>
      </c>
      <c r="F63" s="0" t="n">
        <v>10</v>
      </c>
      <c r="G63" s="0" t="str">
        <f aca="false">IF(D63=E63,"-",IF(D63&gt;E63,B63,C63))</f>
        <v>Argentina</v>
      </c>
      <c r="H63" s="0" t="str">
        <f aca="false">IF(D63=E63,"-",IF(D63&lt;E63,B63,C63))</f>
        <v>Bolivia</v>
      </c>
    </row>
    <row r="64" customFormat="false" ht="13.8" hidden="false" customHeight="false" outlineLevel="0" collapsed="false">
      <c r="A64" s="11" t="n">
        <v>9787</v>
      </c>
      <c r="B64" s="0" t="s">
        <v>5</v>
      </c>
      <c r="C64" s="0" t="s">
        <v>16</v>
      </c>
      <c r="D64" s="0" t="n">
        <v>1</v>
      </c>
      <c r="E64" s="0" t="n">
        <v>3</v>
      </c>
      <c r="F64" s="0" t="n">
        <v>10</v>
      </c>
      <c r="G64" s="0" t="str">
        <f aca="false">IF(D64=E64,"-",IF(D64&gt;E64,B64,C64))</f>
        <v>Uruguay</v>
      </c>
      <c r="H64" s="0" t="str">
        <f aca="false">IF(D64=E64,"-",IF(D64&lt;E64,B64,C64))</f>
        <v>Chile</v>
      </c>
    </row>
    <row r="65" customFormat="false" ht="13.8" hidden="false" customHeight="false" outlineLevel="0" collapsed="false">
      <c r="A65" s="11" t="n">
        <v>9790</v>
      </c>
      <c r="B65" s="0" t="s">
        <v>2</v>
      </c>
      <c r="C65" s="0" t="s">
        <v>13</v>
      </c>
      <c r="D65" s="0" t="n">
        <v>8</v>
      </c>
      <c r="E65" s="0" t="n">
        <v>0</v>
      </c>
      <c r="F65" s="0" t="n">
        <v>10</v>
      </c>
      <c r="G65" s="0" t="str">
        <f aca="false">IF(D65=E65,"-",IF(D65&gt;E65,B65,C65))</f>
        <v>Argentina</v>
      </c>
      <c r="H65" s="0" t="str">
        <f aca="false">IF(D65=E65,"-",IF(D65&lt;E65,B65,C65))</f>
        <v>Paraguay</v>
      </c>
    </row>
    <row r="66" customFormat="false" ht="13.8" hidden="false" customHeight="false" outlineLevel="0" collapsed="false">
      <c r="A66" s="11" t="n">
        <v>9793</v>
      </c>
      <c r="B66" s="0" t="s">
        <v>3</v>
      </c>
      <c r="C66" s="0" t="s">
        <v>13</v>
      </c>
      <c r="D66" s="0" t="n">
        <v>1</v>
      </c>
      <c r="E66" s="0" t="n">
        <v>6</v>
      </c>
      <c r="F66" s="0" t="n">
        <v>10</v>
      </c>
      <c r="G66" s="0" t="str">
        <f aca="false">IF(D66=E66,"-",IF(D66&gt;E66,B66,C66))</f>
        <v>Paraguay</v>
      </c>
      <c r="H66" s="0" t="str">
        <f aca="false">IF(D66=E66,"-",IF(D66&lt;E66,B66,C66))</f>
        <v>Bolivia</v>
      </c>
    </row>
    <row r="67" customFormat="false" ht="13.8" hidden="false" customHeight="false" outlineLevel="0" collapsed="false">
      <c r="A67" s="11" t="n">
        <v>9794</v>
      </c>
      <c r="B67" s="0" t="s">
        <v>2</v>
      </c>
      <c r="C67" s="0" t="s">
        <v>16</v>
      </c>
      <c r="D67" s="0" t="n">
        <v>0</v>
      </c>
      <c r="E67" s="0" t="n">
        <v>2</v>
      </c>
      <c r="F67" s="0" t="n">
        <v>10</v>
      </c>
      <c r="G67" s="0" t="str">
        <f aca="false">IF(D67=E67,"-",IF(D67&gt;E67,B67,C67))</f>
        <v>Uruguay</v>
      </c>
      <c r="H67" s="0" t="str">
        <f aca="false">IF(D67=E67,"-",IF(D67&lt;E67,B67,C67))</f>
        <v>Argentina</v>
      </c>
    </row>
    <row r="68" customFormat="false" ht="13.8" hidden="false" customHeight="false" outlineLevel="0" collapsed="false">
      <c r="A68" s="11" t="n">
        <v>9798</v>
      </c>
      <c r="B68" s="0" t="s">
        <v>3</v>
      </c>
      <c r="C68" s="0" t="s">
        <v>16</v>
      </c>
      <c r="D68" s="0" t="n">
        <v>0</v>
      </c>
      <c r="E68" s="0" t="n">
        <v>6</v>
      </c>
      <c r="F68" s="0" t="n">
        <v>10</v>
      </c>
      <c r="G68" s="0" t="str">
        <f aca="false">IF(D68=E68,"-",IF(D68&gt;E68,B68,C68))</f>
        <v>Uruguay</v>
      </c>
      <c r="H68" s="0" t="str">
        <f aca="false">IF(D68=E68,"-",IF(D68&lt;E68,B68,C68))</f>
        <v>Bolivia</v>
      </c>
    </row>
    <row r="69" customFormat="false" ht="13.8" hidden="false" customHeight="false" outlineLevel="0" collapsed="false">
      <c r="A69" s="11" t="n">
        <v>9801</v>
      </c>
      <c r="B69" s="0" t="s">
        <v>2</v>
      </c>
      <c r="C69" s="0" t="s">
        <v>5</v>
      </c>
      <c r="D69" s="0" t="n">
        <v>1</v>
      </c>
      <c r="E69" s="0" t="n">
        <v>1</v>
      </c>
      <c r="F69" s="0" t="n">
        <v>10</v>
      </c>
      <c r="G69" s="0" t="str">
        <f aca="false">IF(D69=E69,"-",IF(D69&gt;E69,B69,C69))</f>
        <v>-</v>
      </c>
      <c r="H69" s="0" t="str">
        <f aca="false">IF(D69=E69,"-",IF(D69&lt;E69,B69,C69))</f>
        <v>-</v>
      </c>
    </row>
    <row r="70" customFormat="false" ht="13.8" hidden="false" customHeight="false" outlineLevel="0" collapsed="false">
      <c r="A70" s="11" t="n">
        <v>9802</v>
      </c>
      <c r="B70" s="0" t="s">
        <v>13</v>
      </c>
      <c r="C70" s="0" t="s">
        <v>16</v>
      </c>
      <c r="D70" s="0" t="n">
        <v>1</v>
      </c>
      <c r="E70" s="0" t="n">
        <v>6</v>
      </c>
      <c r="F70" s="0" t="n">
        <v>10</v>
      </c>
      <c r="G70" s="0" t="str">
        <f aca="false">IF(D70=E70,"-",IF(D70&gt;E70,B70,C70))</f>
        <v>Uruguay</v>
      </c>
      <c r="H70" s="0" t="str">
        <f aca="false">IF(D70=E70,"-",IF(D70&lt;E70,B70,C70))</f>
        <v>Paraguay</v>
      </c>
    </row>
    <row r="71" customFormat="false" ht="13.8" hidden="false" customHeight="false" outlineLevel="0" collapsed="false">
      <c r="A71" s="11" t="n">
        <v>9804</v>
      </c>
      <c r="B71" s="0" t="s">
        <v>5</v>
      </c>
      <c r="C71" s="0" t="s">
        <v>13</v>
      </c>
      <c r="D71" s="0" t="n">
        <v>5</v>
      </c>
      <c r="E71" s="0" t="n">
        <v>1</v>
      </c>
      <c r="F71" s="0" t="n">
        <v>10</v>
      </c>
      <c r="G71" s="0" t="str">
        <f aca="false">IF(D71=E71,"-",IF(D71&gt;E71,B71,C71))</f>
        <v>Chile</v>
      </c>
      <c r="H71" s="0" t="str">
        <f aca="false">IF(D71=E71,"-",IF(D71&lt;E71,B71,C71))</f>
        <v>Paraguay</v>
      </c>
    </row>
    <row r="72" customFormat="false" ht="13.8" hidden="false" customHeight="false" outlineLevel="0" collapsed="false">
      <c r="A72" s="11" t="n">
        <v>10165</v>
      </c>
      <c r="B72" s="0" t="s">
        <v>2</v>
      </c>
      <c r="C72" s="0" t="s">
        <v>3</v>
      </c>
      <c r="D72" s="0" t="n">
        <v>7</v>
      </c>
      <c r="E72" s="0" t="n">
        <v>1</v>
      </c>
      <c r="F72" s="0" t="n">
        <v>11</v>
      </c>
      <c r="G72" s="0" t="str">
        <f aca="false">IF(D72=E72,"-",IF(D72&gt;E72,B72,C72))</f>
        <v>Argentina</v>
      </c>
      <c r="H72" s="0" t="str">
        <f aca="false">IF(D72=E72,"-",IF(D72&lt;E72,B72,C72))</f>
        <v>Bolivia</v>
      </c>
    </row>
    <row r="73" customFormat="false" ht="13.8" hidden="false" customHeight="false" outlineLevel="0" collapsed="false">
      <c r="A73" s="11" t="n">
        <v>10167</v>
      </c>
      <c r="B73" s="0" t="s">
        <v>14</v>
      </c>
      <c r="C73" s="0" t="s">
        <v>16</v>
      </c>
      <c r="D73" s="0" t="n">
        <v>0</v>
      </c>
      <c r="E73" s="0" t="n">
        <v>4</v>
      </c>
      <c r="F73" s="0" t="n">
        <v>11</v>
      </c>
      <c r="G73" s="0" t="str">
        <f aca="false">IF(D73=E73,"-",IF(D73&gt;E73,B73,C73))</f>
        <v>Uruguay</v>
      </c>
      <c r="H73" s="0" t="str">
        <f aca="false">IF(D73=E73,"-",IF(D73&lt;E73,B73,C73))</f>
        <v>Peru</v>
      </c>
    </row>
    <row r="74" customFormat="false" ht="13.8" hidden="false" customHeight="false" outlineLevel="0" collapsed="false">
      <c r="A74" s="11" t="n">
        <v>10172</v>
      </c>
      <c r="B74" s="0" t="s">
        <v>3</v>
      </c>
      <c r="C74" s="0" t="s">
        <v>16</v>
      </c>
      <c r="D74" s="0" t="n">
        <v>0</v>
      </c>
      <c r="E74" s="0" t="n">
        <v>9</v>
      </c>
      <c r="F74" s="0" t="n">
        <v>11</v>
      </c>
      <c r="G74" s="0" t="str">
        <f aca="false">IF(D74=E74,"-",IF(D74&gt;E74,B74,C74))</f>
        <v>Uruguay</v>
      </c>
      <c r="H74" s="0" t="str">
        <f aca="false">IF(D74=E74,"-",IF(D74&lt;E74,B74,C74))</f>
        <v>Bolivia</v>
      </c>
    </row>
    <row r="75" customFormat="false" ht="13.8" hidden="false" customHeight="false" outlineLevel="0" collapsed="false">
      <c r="A75" s="11" t="n">
        <v>10175</v>
      </c>
      <c r="B75" s="0" t="s">
        <v>3</v>
      </c>
      <c r="C75" s="0" t="s">
        <v>16</v>
      </c>
      <c r="D75" s="0" t="n">
        <v>0</v>
      </c>
      <c r="E75" s="0" t="n">
        <v>9</v>
      </c>
      <c r="F75" s="0" t="n">
        <v>11</v>
      </c>
      <c r="G75" s="0" t="str">
        <f aca="false">IF(D75=E75,"-",IF(D75&gt;E75,B75,C75))</f>
        <v>Uruguay</v>
      </c>
      <c r="H75" s="0" t="str">
        <f aca="false">IF(D75=E75,"-",IF(D75&lt;E75,B75,C75))</f>
        <v>Bolivia</v>
      </c>
    </row>
    <row r="76" customFormat="false" ht="13.8" hidden="false" customHeight="false" outlineLevel="0" collapsed="false">
      <c r="A76" s="11" t="n">
        <v>10179</v>
      </c>
      <c r="B76" s="0" t="s">
        <v>3</v>
      </c>
      <c r="C76" s="0" t="s">
        <v>14</v>
      </c>
      <c r="D76" s="0" t="n">
        <v>2</v>
      </c>
      <c r="E76" s="0" t="n">
        <v>3</v>
      </c>
      <c r="F76" s="0" t="n">
        <v>11</v>
      </c>
      <c r="G76" s="0" t="str">
        <f aca="false">IF(D76=E76,"-",IF(D76&gt;E76,B76,C76))</f>
        <v>Peru</v>
      </c>
      <c r="H76" s="0" t="str">
        <f aca="false">IF(D76=E76,"-",IF(D76&lt;E76,B76,C76))</f>
        <v>Bolivia</v>
      </c>
    </row>
    <row r="77" customFormat="false" ht="13.8" hidden="false" customHeight="false" outlineLevel="0" collapsed="false">
      <c r="A77" s="11" t="n">
        <v>10186</v>
      </c>
      <c r="B77" s="0" t="s">
        <v>2</v>
      </c>
      <c r="C77" s="0" t="s">
        <v>16</v>
      </c>
      <c r="D77" s="0" t="n">
        <v>3</v>
      </c>
      <c r="E77" s="0" t="n">
        <v>2</v>
      </c>
      <c r="F77" s="0" t="n">
        <v>11</v>
      </c>
      <c r="G77" s="0" t="str">
        <f aca="false">IF(D77=E77,"-",IF(D77&gt;E77,B77,C77))</f>
        <v>Argentina</v>
      </c>
      <c r="H77" s="0" t="str">
        <f aca="false">IF(D77=E77,"-",IF(D77&lt;E77,B77,C77))</f>
        <v>Uruguay</v>
      </c>
    </row>
    <row r="78" customFormat="false" ht="13.8" hidden="false" customHeight="false" outlineLevel="0" collapsed="false">
      <c r="A78" s="11" t="n">
        <v>10193</v>
      </c>
      <c r="B78" s="0" t="s">
        <v>2</v>
      </c>
      <c r="C78" s="0" t="s">
        <v>14</v>
      </c>
      <c r="D78" s="0" t="n">
        <v>5</v>
      </c>
      <c r="E78" s="0" t="n">
        <v>1</v>
      </c>
      <c r="F78" s="0" t="n">
        <v>11</v>
      </c>
      <c r="G78" s="0" t="str">
        <f aca="false">IF(D78=E78,"-",IF(D78&gt;E78,B78,C78))</f>
        <v>Argentina</v>
      </c>
      <c r="H78" s="0" t="str">
        <f aca="false">IF(D78=E78,"-",IF(D78&lt;E78,B78,C78))</f>
        <v>Peru</v>
      </c>
    </row>
    <row r="79" customFormat="false" ht="13.8" hidden="false" customHeight="false" outlineLevel="0" collapsed="false">
      <c r="A79" s="11" t="n">
        <v>10898</v>
      </c>
      <c r="B79" s="0" t="s">
        <v>13</v>
      </c>
      <c r="C79" s="0" t="s">
        <v>16</v>
      </c>
      <c r="D79" s="0" t="n">
        <v>3</v>
      </c>
      <c r="E79" s="0" t="n">
        <v>0</v>
      </c>
      <c r="F79" s="0" t="n">
        <v>12</v>
      </c>
      <c r="G79" s="0" t="str">
        <f aca="false">IF(D79=E79,"-",IF(D79&gt;E79,B79,C79))</f>
        <v>Paraguay</v>
      </c>
      <c r="H79" s="0" t="str">
        <f aca="false">IF(D79=E79,"-",IF(D79&lt;E79,B79,C79))</f>
        <v>Uruguay</v>
      </c>
    </row>
    <row r="80" customFormat="false" ht="13.8" hidden="false" customHeight="false" outlineLevel="0" collapsed="false">
      <c r="A80" s="11" t="n">
        <v>10900</v>
      </c>
      <c r="B80" s="0" t="s">
        <v>2</v>
      </c>
      <c r="C80" s="0" t="s">
        <v>14</v>
      </c>
      <c r="D80" s="0" t="n">
        <v>3</v>
      </c>
      <c r="E80" s="0" t="n">
        <v>0</v>
      </c>
      <c r="F80" s="0" t="n">
        <v>12</v>
      </c>
      <c r="G80" s="0" t="str">
        <f aca="false">IF(D80=E80,"-",IF(D80&gt;E80,B80,C80))</f>
        <v>Argentina</v>
      </c>
      <c r="H80" s="0" t="str">
        <f aca="false">IF(D80=E80,"-",IF(D80&lt;E80,B80,C80))</f>
        <v>Peru</v>
      </c>
    </row>
    <row r="81" customFormat="false" ht="13.8" hidden="false" customHeight="false" outlineLevel="0" collapsed="false">
      <c r="A81" s="11" t="n">
        <v>10907</v>
      </c>
      <c r="B81" s="0" t="s">
        <v>2</v>
      </c>
      <c r="C81" s="0" t="s">
        <v>13</v>
      </c>
      <c r="D81" s="0" t="n">
        <v>4</v>
      </c>
      <c r="E81" s="0" t="n">
        <v>1</v>
      </c>
      <c r="F81" s="0" t="n">
        <v>12</v>
      </c>
      <c r="G81" s="0" t="str">
        <f aca="false">IF(D81=E81,"-",IF(D81&gt;E81,B81,C81))</f>
        <v>Argentina</v>
      </c>
      <c r="H81" s="0" t="str">
        <f aca="false">IF(D81=E81,"-",IF(D81&lt;E81,B81,C81))</f>
        <v>Paraguay</v>
      </c>
    </row>
    <row r="82" customFormat="false" ht="13.8" hidden="false" customHeight="false" outlineLevel="0" collapsed="false">
      <c r="A82" s="11" t="n">
        <v>10908</v>
      </c>
      <c r="B82" s="0" t="s">
        <v>14</v>
      </c>
      <c r="C82" s="0" t="s">
        <v>16</v>
      </c>
      <c r="D82" s="0" t="n">
        <v>1</v>
      </c>
      <c r="E82" s="0" t="n">
        <v>4</v>
      </c>
      <c r="F82" s="0" t="n">
        <v>12</v>
      </c>
      <c r="G82" s="0" t="str">
        <f aca="false">IF(D82=E82,"-",IF(D82&gt;E82,B82,C82))</f>
        <v>Uruguay</v>
      </c>
      <c r="H82" s="0" t="str">
        <f aca="false">IF(D82=E82,"-",IF(D82&lt;E82,B82,C82))</f>
        <v>Peru</v>
      </c>
    </row>
    <row r="83" customFormat="false" ht="13.8" hidden="false" customHeight="false" outlineLevel="0" collapsed="false">
      <c r="A83" s="11" t="n">
        <v>10913</v>
      </c>
      <c r="B83" s="0" t="s">
        <v>13</v>
      </c>
      <c r="C83" s="0" t="s">
        <v>14</v>
      </c>
      <c r="D83" s="0" t="n">
        <v>5</v>
      </c>
      <c r="E83" s="0" t="n">
        <v>0</v>
      </c>
      <c r="F83" s="0" t="n">
        <v>12</v>
      </c>
      <c r="G83" s="0" t="str">
        <f aca="false">IF(D83=E83,"-",IF(D83&gt;E83,B83,C83))</f>
        <v>Paraguay</v>
      </c>
      <c r="H83" s="0" t="str">
        <f aca="false">IF(D83=E83,"-",IF(D83&lt;E83,B83,C83))</f>
        <v>Peru</v>
      </c>
    </row>
    <row r="84" customFormat="false" ht="13.8" hidden="false" customHeight="false" outlineLevel="0" collapsed="false">
      <c r="A84" s="11" t="n">
        <v>10914</v>
      </c>
      <c r="B84" s="0" t="s">
        <v>2</v>
      </c>
      <c r="C84" s="0" t="s">
        <v>16</v>
      </c>
      <c r="D84" s="0" t="n">
        <v>2</v>
      </c>
      <c r="E84" s="0" t="n">
        <v>0</v>
      </c>
      <c r="F84" s="0" t="n">
        <v>12</v>
      </c>
      <c r="G84" s="0" t="str">
        <f aca="false">IF(D84=E84,"-",IF(D84&gt;E84,B84,C84))</f>
        <v>Argentina</v>
      </c>
      <c r="H84" s="0" t="str">
        <f aca="false">IF(D84=E84,"-",IF(D84&lt;E84,B84,C84))</f>
        <v>Uruguay</v>
      </c>
    </row>
    <row r="85" customFormat="false" ht="13.8" hidden="false" customHeight="false" outlineLevel="0" collapsed="false">
      <c r="A85" s="0" t="s">
        <v>34</v>
      </c>
      <c r="B85" s="0" t="s">
        <v>2</v>
      </c>
      <c r="C85" s="0" t="s">
        <v>5</v>
      </c>
      <c r="D85" s="0" t="n">
        <v>4</v>
      </c>
      <c r="E85" s="0" t="n">
        <v>1</v>
      </c>
      <c r="F85" s="0" t="n">
        <v>13</v>
      </c>
      <c r="G85" s="0" t="str">
        <f aca="false">IF(D85=E85,"-",IF(D85&gt;E85,B85,C85))</f>
        <v>Argentina</v>
      </c>
      <c r="H85" s="0" t="str">
        <f aca="false">IF(D85=E85,"-",IF(D85&lt;E85,B85,C85))</f>
        <v>Chile</v>
      </c>
    </row>
    <row r="86" customFormat="false" ht="13.8" hidden="false" customHeight="false" outlineLevel="0" collapsed="false">
      <c r="A86" s="0" t="s">
        <v>35</v>
      </c>
      <c r="B86" s="0" t="s">
        <v>14</v>
      </c>
      <c r="C86" s="0" t="s">
        <v>16</v>
      </c>
      <c r="D86" s="0" t="n">
        <v>0</v>
      </c>
      <c r="E86" s="0" t="n">
        <v>1</v>
      </c>
      <c r="F86" s="0" t="n">
        <v>13</v>
      </c>
      <c r="G86" s="0" t="str">
        <f aca="false">IF(D86=E86,"-",IF(D86&gt;E86,B86,C86))</f>
        <v>Uruguay</v>
      </c>
      <c r="H86" s="0" t="str">
        <f aca="false">IF(D86=E86,"-",IF(D86&lt;E86,B86,C86))</f>
        <v>Peru</v>
      </c>
    </row>
    <row r="87" customFormat="false" ht="13.8" hidden="false" customHeight="false" outlineLevel="0" collapsed="false">
      <c r="A87" s="0" t="s">
        <v>36</v>
      </c>
      <c r="B87" s="0" t="s">
        <v>5</v>
      </c>
      <c r="C87" s="0" t="s">
        <v>16</v>
      </c>
      <c r="D87" s="0" t="n">
        <v>1</v>
      </c>
      <c r="E87" s="0" t="n">
        <v>2</v>
      </c>
      <c r="F87" s="0" t="n">
        <v>13</v>
      </c>
      <c r="G87" s="0" t="str">
        <f aca="false">IF(D87=E87,"-",IF(D87&gt;E87,B87,C87))</f>
        <v>Uruguay</v>
      </c>
      <c r="H87" s="0" t="str">
        <f aca="false">IF(D87=E87,"-",IF(D87&lt;E87,B87,C87))</f>
        <v>Chile</v>
      </c>
    </row>
    <row r="88" customFormat="false" ht="13.8" hidden="false" customHeight="false" outlineLevel="0" collapsed="false">
      <c r="A88" s="0" t="s">
        <v>37</v>
      </c>
      <c r="B88" s="0" t="s">
        <v>2</v>
      </c>
      <c r="C88" s="0" t="s">
        <v>14</v>
      </c>
      <c r="D88" s="0" t="n">
        <v>4</v>
      </c>
      <c r="E88" s="0" t="n">
        <v>1</v>
      </c>
      <c r="F88" s="0" t="n">
        <v>13</v>
      </c>
      <c r="G88" s="0" t="str">
        <f aca="false">IF(D88=E88,"-",IF(D88&gt;E88,B88,C88))</f>
        <v>Argentina</v>
      </c>
      <c r="H88" s="0" t="str">
        <f aca="false">IF(D88=E88,"-",IF(D88&lt;E88,B88,C88))</f>
        <v>Peru</v>
      </c>
    </row>
    <row r="89" customFormat="false" ht="13.8" hidden="false" customHeight="false" outlineLevel="0" collapsed="false">
      <c r="A89" s="0" t="s">
        <v>38</v>
      </c>
      <c r="B89" s="0" t="s">
        <v>5</v>
      </c>
      <c r="C89" s="0" t="s">
        <v>14</v>
      </c>
      <c r="D89" s="0" t="n">
        <v>0</v>
      </c>
      <c r="E89" s="0" t="n">
        <v>1</v>
      </c>
      <c r="F89" s="0" t="n">
        <v>13</v>
      </c>
      <c r="G89" s="0" t="str">
        <f aca="false">IF(D89=E89,"-",IF(D89&gt;E89,B89,C89))</f>
        <v>Peru</v>
      </c>
      <c r="H89" s="0" t="str">
        <f aca="false">IF(D89=E89,"-",IF(D89&lt;E89,B89,C89))</f>
        <v>Chile</v>
      </c>
    </row>
    <row r="90" customFormat="false" ht="13.8" hidden="false" customHeight="false" outlineLevel="0" collapsed="false">
      <c r="A90" s="0" t="s">
        <v>39</v>
      </c>
      <c r="B90" s="0" t="s">
        <v>2</v>
      </c>
      <c r="C90" s="0" t="s">
        <v>16</v>
      </c>
      <c r="D90" s="0" t="n">
        <v>0</v>
      </c>
      <c r="E90" s="0" t="n">
        <v>3</v>
      </c>
      <c r="F90" s="0" t="n">
        <v>13</v>
      </c>
      <c r="G90" s="0" t="str">
        <f aca="false">IF(D90=E90,"-",IF(D90&gt;E90,B90,C90))</f>
        <v>Uruguay</v>
      </c>
      <c r="H90" s="0" t="str">
        <f aca="false">IF(D90=E90,"-",IF(D90&lt;E90,B90,C90))</f>
        <v>Argentina</v>
      </c>
    </row>
    <row r="91" customFormat="false" ht="13.8" hidden="false" customHeight="false" outlineLevel="0" collapsed="false">
      <c r="A91" s="0" t="s">
        <v>40</v>
      </c>
      <c r="B91" s="0" t="s">
        <v>14</v>
      </c>
      <c r="C91" s="0" t="s">
        <v>4</v>
      </c>
      <c r="D91" s="0" t="n">
        <v>2</v>
      </c>
      <c r="E91" s="0" t="n">
        <v>3</v>
      </c>
      <c r="F91" s="0" t="n">
        <v>14</v>
      </c>
      <c r="G91" s="0" t="str">
        <f aca="false">IF(D91=E91,"-",IF(D91&gt;E91,B91,C91))</f>
        <v>Brazil</v>
      </c>
      <c r="H91" s="0" t="str">
        <f aca="false">IF(D91=E91,"-",IF(D91&lt;E91,B91,C91))</f>
        <v>Peru</v>
      </c>
    </row>
    <row r="92" customFormat="false" ht="13.8" hidden="false" customHeight="false" outlineLevel="0" collapsed="false">
      <c r="A92" s="0" t="s">
        <v>41</v>
      </c>
      <c r="B92" s="0" t="s">
        <v>2</v>
      </c>
      <c r="C92" s="0" t="s">
        <v>5</v>
      </c>
      <c r="D92" s="0" t="n">
        <v>2</v>
      </c>
      <c r="E92" s="0" t="n">
        <v>1</v>
      </c>
      <c r="F92" s="0" t="n">
        <v>14</v>
      </c>
      <c r="G92" s="0" t="str">
        <f aca="false">IF(D92=E92,"-",IF(D92&gt;E92,B92,C92))</f>
        <v>Argentina</v>
      </c>
      <c r="H92" s="0" t="str">
        <f aca="false">IF(D92=E92,"-",IF(D92&lt;E92,B92,C92))</f>
        <v>Chile</v>
      </c>
    </row>
    <row r="93" customFormat="false" ht="13.8" hidden="false" customHeight="false" outlineLevel="0" collapsed="false">
      <c r="A93" s="0" t="s">
        <v>42</v>
      </c>
      <c r="B93" s="0" t="s">
        <v>13</v>
      </c>
      <c r="C93" s="0" t="s">
        <v>16</v>
      </c>
      <c r="D93" s="0" t="n">
        <v>4</v>
      </c>
      <c r="E93" s="0" t="n">
        <v>2</v>
      </c>
      <c r="F93" s="0" t="n">
        <v>14</v>
      </c>
      <c r="G93" s="0" t="str">
        <f aca="false">IF(D93=E93,"-",IF(D93&gt;E93,B93,C93))</f>
        <v>Paraguay</v>
      </c>
      <c r="H93" s="0" t="str">
        <f aca="false">IF(D93=E93,"-",IF(D93&lt;E93,B93,C93))</f>
        <v>Uruguay</v>
      </c>
    </row>
    <row r="94" customFormat="false" ht="13.8" hidden="false" customHeight="false" outlineLevel="0" collapsed="false">
      <c r="A94" s="14" t="s">
        <v>43</v>
      </c>
      <c r="B94" s="14" t="s">
        <v>5</v>
      </c>
      <c r="C94" s="14" t="s">
        <v>4</v>
      </c>
      <c r="D94" s="14" t="n">
        <v>4</v>
      </c>
      <c r="E94" s="14" t="n">
        <v>6</v>
      </c>
      <c r="F94" s="14" t="n">
        <v>14</v>
      </c>
      <c r="G94" s="14" t="str">
        <f aca="false">IF(D94=E94,"-",IF(D94&gt;E94,B94,C94))</f>
        <v>Brazil</v>
      </c>
      <c r="H94" s="14" t="str">
        <f aca="false">IF(D94=E94,"-",IF(D94&lt;E94,B94,C94))</f>
        <v>Chile</v>
      </c>
    </row>
    <row r="95" customFormat="false" ht="13.8" hidden="false" customHeight="false" outlineLevel="0" collapsed="false">
      <c r="A95" s="0" t="s">
        <v>44</v>
      </c>
      <c r="B95" s="0" t="s">
        <v>14</v>
      </c>
      <c r="C95" s="0" t="s">
        <v>16</v>
      </c>
      <c r="D95" s="0" t="n">
        <v>2</v>
      </c>
      <c r="E95" s="0" t="n">
        <v>4</v>
      </c>
      <c r="F95" s="0" t="n">
        <v>14</v>
      </c>
      <c r="G95" s="0" t="str">
        <f aca="false">IF(D95=E95,"-",IF(D95&gt;E95,B95,C95))</f>
        <v>Uruguay</v>
      </c>
      <c r="H95" s="0" t="str">
        <f aca="false">IF(D95=E95,"-",IF(D95&lt;E95,B95,C95))</f>
        <v>Peru</v>
      </c>
    </row>
    <row r="96" customFormat="false" ht="13.8" hidden="false" customHeight="false" outlineLevel="0" collapsed="false">
      <c r="A96" s="0" t="s">
        <v>45</v>
      </c>
      <c r="B96" s="0" t="s">
        <v>2</v>
      </c>
      <c r="C96" s="0" t="s">
        <v>13</v>
      </c>
      <c r="D96" s="0" t="n">
        <v>6</v>
      </c>
      <c r="E96" s="0" t="n">
        <v>1</v>
      </c>
      <c r="F96" s="0" t="n">
        <v>14</v>
      </c>
      <c r="G96" s="0" t="str">
        <f aca="false">IF(D96=E96,"-",IF(D96&gt;E96,B96,C96))</f>
        <v>Argentina</v>
      </c>
      <c r="H96" s="0" t="str">
        <f aca="false">IF(D96=E96,"-",IF(D96&lt;E96,B96,C96))</f>
        <v>Paraguay</v>
      </c>
    </row>
    <row r="97" customFormat="false" ht="13.8" hidden="false" customHeight="false" outlineLevel="0" collapsed="false">
      <c r="A97" s="0" t="s">
        <v>46</v>
      </c>
      <c r="B97" s="0" t="s">
        <v>5</v>
      </c>
      <c r="C97" s="0" t="s">
        <v>16</v>
      </c>
      <c r="D97" s="0" t="n">
        <v>3</v>
      </c>
      <c r="E97" s="0" t="n">
        <v>0</v>
      </c>
      <c r="F97" s="0" t="n">
        <v>14</v>
      </c>
      <c r="G97" s="0" t="str">
        <f aca="false">IF(D97=E97,"-",IF(D97&gt;E97,B97,C97))</f>
        <v>Chile</v>
      </c>
      <c r="H97" s="0" t="str">
        <f aca="false">IF(D97=E97,"-",IF(D97&lt;E97,B97,C97))</f>
        <v>Uruguay</v>
      </c>
    </row>
    <row r="98" customFormat="false" ht="13.8" hidden="false" customHeight="false" outlineLevel="0" collapsed="false">
      <c r="A98" s="0" t="s">
        <v>47</v>
      </c>
      <c r="B98" s="0" t="s">
        <v>13</v>
      </c>
      <c r="C98" s="0" t="s">
        <v>4</v>
      </c>
      <c r="D98" s="0" t="n">
        <v>0</v>
      </c>
      <c r="E98" s="0" t="n">
        <v>5</v>
      </c>
      <c r="F98" s="0" t="n">
        <v>14</v>
      </c>
      <c r="G98" s="0" t="str">
        <f aca="false">IF(D98=E98,"-",IF(D98&gt;E98,B98,C98))</f>
        <v>Brazil</v>
      </c>
      <c r="H98" s="0" t="str">
        <f aca="false">IF(D98=E98,"-",IF(D98&lt;E98,B98,C98))</f>
        <v>Paraguay</v>
      </c>
    </row>
    <row r="99" customFormat="false" ht="13.8" hidden="false" customHeight="false" outlineLevel="0" collapsed="false">
      <c r="A99" s="0" t="s">
        <v>48</v>
      </c>
      <c r="B99" s="0" t="s">
        <v>2</v>
      </c>
      <c r="C99" s="0" t="s">
        <v>14</v>
      </c>
      <c r="D99" s="0" t="n">
        <v>1</v>
      </c>
      <c r="E99" s="0" t="n">
        <v>0</v>
      </c>
      <c r="F99" s="0" t="n">
        <v>14</v>
      </c>
      <c r="G99" s="0" t="str">
        <f aca="false">IF(D99=E99,"-",IF(D99&gt;E99,B99,C99))</f>
        <v>Argentina</v>
      </c>
      <c r="H99" s="0" t="str">
        <f aca="false">IF(D99=E99,"-",IF(D99&lt;E99,B99,C99))</f>
        <v>Peru</v>
      </c>
    </row>
    <row r="100" customFormat="false" ht="13.8" hidden="false" customHeight="false" outlineLevel="0" collapsed="false">
      <c r="A100" s="0" t="s">
        <v>49</v>
      </c>
      <c r="B100" s="0" t="s">
        <v>5</v>
      </c>
      <c r="C100" s="0" t="s">
        <v>13</v>
      </c>
      <c r="D100" s="0" t="n">
        <v>2</v>
      </c>
      <c r="E100" s="0" t="n">
        <v>3</v>
      </c>
      <c r="F100" s="0" t="n">
        <v>14</v>
      </c>
      <c r="G100" s="0" t="str">
        <f aca="false">IF(D100=E100,"-",IF(D100&gt;E100,B100,C100))</f>
        <v>Paraguay</v>
      </c>
      <c r="H100" s="0" t="str">
        <f aca="false">IF(D100=E100,"-",IF(D100&lt;E100,B100,C100))</f>
        <v>Chile</v>
      </c>
    </row>
    <row r="101" customFormat="false" ht="13.8" hidden="false" customHeight="false" outlineLevel="0" collapsed="false">
      <c r="A101" s="0" t="s">
        <v>50</v>
      </c>
      <c r="B101" s="0" t="s">
        <v>16</v>
      </c>
      <c r="C101" s="0" t="s">
        <v>4</v>
      </c>
      <c r="D101" s="0" t="n">
        <v>2</v>
      </c>
      <c r="E101" s="0" t="n">
        <v>3</v>
      </c>
      <c r="F101" s="0" t="n">
        <v>14</v>
      </c>
      <c r="G101" s="0" t="str">
        <f aca="false">IF(D101=E101,"-",IF(D101&gt;E101,B101,C101))</f>
        <v>Brazil</v>
      </c>
      <c r="H101" s="0" t="str">
        <f aca="false">IF(D101=E101,"-",IF(D101&lt;E101,B101,C101))</f>
        <v>Uruguay</v>
      </c>
    </row>
    <row r="102" customFormat="false" ht="13.8" hidden="false" customHeight="false" outlineLevel="0" collapsed="false">
      <c r="A102" s="0" t="s">
        <v>51</v>
      </c>
      <c r="B102" s="0" t="s">
        <v>5</v>
      </c>
      <c r="C102" s="0" t="s">
        <v>14</v>
      </c>
      <c r="D102" s="0" t="n">
        <v>2</v>
      </c>
      <c r="E102" s="0" t="n">
        <v>2</v>
      </c>
      <c r="F102" s="0" t="n">
        <v>14</v>
      </c>
      <c r="G102" s="0" t="str">
        <f aca="false">IF(D102=E102,"-",IF(D102&gt;E102,B102,C102))</f>
        <v>-</v>
      </c>
      <c r="H102" s="0" t="str">
        <f aca="false">IF(D102=E102,"-",IF(D102&lt;E102,B102,C102))</f>
        <v>-</v>
      </c>
    </row>
    <row r="103" customFormat="false" ht="13.8" hidden="false" customHeight="false" outlineLevel="0" collapsed="false">
      <c r="A103" s="0" t="s">
        <v>52</v>
      </c>
      <c r="B103" s="0" t="s">
        <v>2</v>
      </c>
      <c r="C103" s="0" t="s">
        <v>16</v>
      </c>
      <c r="D103" s="0" t="n">
        <v>2</v>
      </c>
      <c r="E103" s="0" t="n">
        <v>3</v>
      </c>
      <c r="F103" s="0" t="n">
        <v>14</v>
      </c>
      <c r="G103" s="0" t="str">
        <f aca="false">IF(D103=E103,"-",IF(D103&gt;E103,B103,C103))</f>
        <v>Uruguay</v>
      </c>
      <c r="H103" s="0" t="str">
        <f aca="false">IF(D103=E103,"-",IF(D103&lt;E103,B103,C103))</f>
        <v>Argentina</v>
      </c>
    </row>
    <row r="104" customFormat="false" ht="13.8" hidden="false" customHeight="false" outlineLevel="0" collapsed="false">
      <c r="A104" s="0" t="s">
        <v>53</v>
      </c>
      <c r="B104" s="0" t="s">
        <v>13</v>
      </c>
      <c r="C104" s="0" t="s">
        <v>14</v>
      </c>
      <c r="D104" s="0" t="n">
        <v>0</v>
      </c>
      <c r="E104" s="0" t="n">
        <v>1</v>
      </c>
      <c r="F104" s="0" t="n">
        <v>14</v>
      </c>
      <c r="G104" s="0" t="str">
        <f aca="false">IF(D104=E104,"-",IF(D104&gt;E104,B104,C104))</f>
        <v>Peru</v>
      </c>
      <c r="H104" s="0" t="str">
        <f aca="false">IF(D104=E104,"-",IF(D104&lt;E104,B104,C104))</f>
        <v>Paraguay</v>
      </c>
    </row>
    <row r="105" customFormat="false" ht="13.8" hidden="false" customHeight="false" outlineLevel="0" collapsed="false">
      <c r="A105" s="0" t="s">
        <v>54</v>
      </c>
      <c r="B105" s="0" t="s">
        <v>2</v>
      </c>
      <c r="C105" s="0" t="s">
        <v>4</v>
      </c>
      <c r="D105" s="0" t="n">
        <v>1</v>
      </c>
      <c r="E105" s="0" t="n">
        <v>0</v>
      </c>
      <c r="F105" s="0" t="n">
        <v>14</v>
      </c>
      <c r="G105" s="0" t="str">
        <f aca="false">IF(D105=E105,"-",IF(D105&gt;E105,B105,C105))</f>
        <v>Argentina</v>
      </c>
      <c r="H105" s="0" t="str">
        <f aca="false">IF(D105=E105,"-",IF(D105&lt;E105,B105,C105))</f>
        <v>Brazil</v>
      </c>
    </row>
    <row r="106" customFormat="false" ht="13.8" hidden="false" customHeight="false" outlineLevel="0" collapsed="false">
      <c r="A106" s="11" t="n">
        <v>13547</v>
      </c>
      <c r="B106" s="0" t="s">
        <v>2</v>
      </c>
      <c r="C106" s="0" t="s">
        <v>4</v>
      </c>
      <c r="D106" s="0" t="n">
        <v>2</v>
      </c>
      <c r="E106" s="0" t="n">
        <v>0</v>
      </c>
      <c r="F106" s="0" t="n">
        <v>14</v>
      </c>
      <c r="G106" s="0" t="str">
        <f aca="false">IF(D106=E106,"-",IF(D106&gt;E106,B106,C106))</f>
        <v>Argentina</v>
      </c>
      <c r="H106" s="0" t="str">
        <f aca="false">IF(D106=E106,"-",IF(D106&lt;E106,B106,C106))</f>
        <v>Brazil</v>
      </c>
    </row>
    <row r="107" customFormat="false" ht="13.8" hidden="false" customHeight="false" outlineLevel="0" collapsed="false">
      <c r="A107" s="0" t="s">
        <v>55</v>
      </c>
      <c r="B107" s="0" t="s">
        <v>8</v>
      </c>
      <c r="C107" s="0" t="s">
        <v>14</v>
      </c>
      <c r="D107" s="0" t="n">
        <v>2</v>
      </c>
      <c r="E107" s="0" t="n">
        <v>5</v>
      </c>
      <c r="F107" s="0" t="n">
        <v>15</v>
      </c>
      <c r="G107" s="0" t="str">
        <f aca="false">IF(D107=E107,"-",IF(D107&gt;E107,B107,C107))</f>
        <v>Peru</v>
      </c>
      <c r="H107" s="0" t="str">
        <f aca="false">IF(D107=E107,"-",IF(D107&lt;E107,B107,C107))</f>
        <v>Ecuador</v>
      </c>
    </row>
    <row r="108" customFormat="false" ht="13.8" hidden="false" customHeight="false" outlineLevel="0" collapsed="false">
      <c r="A108" s="0" t="s">
        <v>55</v>
      </c>
      <c r="B108" s="0" t="s">
        <v>5</v>
      </c>
      <c r="C108" s="0" t="s">
        <v>13</v>
      </c>
      <c r="D108" s="0" t="n">
        <v>1</v>
      </c>
      <c r="E108" s="0" t="n">
        <v>5</v>
      </c>
      <c r="F108" s="0" t="n">
        <v>15</v>
      </c>
      <c r="G108" s="0" t="str">
        <f aca="false">IF(D108=E108,"-",IF(D108&gt;E108,B108,C108))</f>
        <v>Paraguay</v>
      </c>
      <c r="H108" s="0" t="str">
        <f aca="false">IF(D108=E108,"-",IF(D108&lt;E108,B108,C108))</f>
        <v>Chile</v>
      </c>
    </row>
    <row r="109" customFormat="false" ht="13.8" hidden="false" customHeight="false" outlineLevel="0" collapsed="false">
      <c r="A109" s="0" t="s">
        <v>56</v>
      </c>
      <c r="B109" s="0" t="s">
        <v>5</v>
      </c>
      <c r="C109" s="0" t="s">
        <v>14</v>
      </c>
      <c r="D109" s="0" t="n">
        <v>1</v>
      </c>
      <c r="E109" s="0" t="n">
        <v>3</v>
      </c>
      <c r="F109" s="0" t="n">
        <v>15</v>
      </c>
      <c r="G109" s="0" t="str">
        <f aca="false">IF(D109=E109,"-",IF(D109&gt;E109,B109,C109))</f>
        <v>Peru</v>
      </c>
      <c r="H109" s="0" t="str">
        <f aca="false">IF(D109=E109,"-",IF(D109&lt;E109,B109,C109))</f>
        <v>Chile</v>
      </c>
    </row>
    <row r="110" customFormat="false" ht="13.8" hidden="false" customHeight="false" outlineLevel="0" collapsed="false">
      <c r="A110" s="0" t="s">
        <v>56</v>
      </c>
      <c r="B110" s="0" t="s">
        <v>8</v>
      </c>
      <c r="C110" s="0" t="s">
        <v>16</v>
      </c>
      <c r="D110" s="0" t="n">
        <v>0</v>
      </c>
      <c r="E110" s="0" t="n">
        <v>6</v>
      </c>
      <c r="F110" s="0" t="n">
        <v>15</v>
      </c>
      <c r="G110" s="0" t="str">
        <f aca="false">IF(D110=E110,"-",IF(D110&gt;E110,B110,C110))</f>
        <v>Uruguay</v>
      </c>
      <c r="H110" s="0" t="str">
        <f aca="false">IF(D110=E110,"-",IF(D110&lt;E110,B110,C110))</f>
        <v>Ecuador</v>
      </c>
    </row>
    <row r="111" customFormat="false" ht="13.8" hidden="false" customHeight="false" outlineLevel="0" collapsed="false">
      <c r="A111" s="0" t="s">
        <v>57</v>
      </c>
      <c r="B111" s="0" t="s">
        <v>5</v>
      </c>
      <c r="C111" s="0" t="s">
        <v>16</v>
      </c>
      <c r="D111" s="0" t="n">
        <v>2</v>
      </c>
      <c r="E111" s="0" t="n">
        <v>3</v>
      </c>
      <c r="F111" s="0" t="n">
        <v>15</v>
      </c>
      <c r="G111" s="0" t="str">
        <f aca="false">IF(D111=E111,"-",IF(D111&gt;E111,B111,C111))</f>
        <v>Uruguay</v>
      </c>
      <c r="H111" s="0" t="str">
        <f aca="false">IF(D111=E111,"-",IF(D111&lt;E111,B111,C111))</f>
        <v>Chile</v>
      </c>
    </row>
    <row r="112" customFormat="false" ht="13.8" hidden="false" customHeight="false" outlineLevel="0" collapsed="false">
      <c r="A112" s="0" t="s">
        <v>57</v>
      </c>
      <c r="B112" s="0" t="s">
        <v>13</v>
      </c>
      <c r="C112" s="0" t="s">
        <v>14</v>
      </c>
      <c r="D112" s="0" t="n">
        <v>0</v>
      </c>
      <c r="E112" s="0" t="n">
        <v>3</v>
      </c>
      <c r="F112" s="0" t="n">
        <v>15</v>
      </c>
      <c r="G112" s="0" t="str">
        <f aca="false">IF(D112=E112,"-",IF(D112&gt;E112,B112,C112))</f>
        <v>Peru</v>
      </c>
      <c r="H112" s="0" t="str">
        <f aca="false">IF(D112=E112,"-",IF(D112&lt;E112,B112,C112))</f>
        <v>Paraguay</v>
      </c>
    </row>
    <row r="113" customFormat="false" ht="13.8" hidden="false" customHeight="false" outlineLevel="0" collapsed="false">
      <c r="A113" s="11" t="n">
        <v>14281</v>
      </c>
      <c r="B113" s="0" t="s">
        <v>5</v>
      </c>
      <c r="C113" s="0" t="s">
        <v>8</v>
      </c>
      <c r="D113" s="0" t="n">
        <v>4</v>
      </c>
      <c r="E113" s="0" t="n">
        <v>1</v>
      </c>
      <c r="F113" s="0" t="n">
        <v>15</v>
      </c>
      <c r="G113" s="0" t="str">
        <f aca="false">IF(D113=E113,"-",IF(D113&gt;E113,B113,C113))</f>
        <v>Chile</v>
      </c>
      <c r="H113" s="0" t="str">
        <f aca="false">IF(D113=E113,"-",IF(D113&lt;E113,B113,C113))</f>
        <v>Ecuador</v>
      </c>
    </row>
    <row r="114" customFormat="false" ht="13.8" hidden="false" customHeight="false" outlineLevel="0" collapsed="false">
      <c r="A114" s="11" t="n">
        <v>14281</v>
      </c>
      <c r="B114" s="0" t="s">
        <v>13</v>
      </c>
      <c r="C114" s="0" t="s">
        <v>16</v>
      </c>
      <c r="D114" s="0" t="n">
        <v>1</v>
      </c>
      <c r="E114" s="0" t="n">
        <v>3</v>
      </c>
      <c r="F114" s="0" t="n">
        <v>15</v>
      </c>
      <c r="G114" s="0" t="str">
        <f aca="false">IF(D114=E114,"-",IF(D114&gt;E114,B114,C114))</f>
        <v>Uruguay</v>
      </c>
      <c r="H114" s="0" t="str">
        <f aca="false">IF(D114=E114,"-",IF(D114&lt;E114,B114,C114))</f>
        <v>Paraguay</v>
      </c>
    </row>
    <row r="115" customFormat="false" ht="13.8" hidden="false" customHeight="false" outlineLevel="0" collapsed="false">
      <c r="A115" s="11" t="n">
        <v>14288</v>
      </c>
      <c r="B115" s="0" t="s">
        <v>14</v>
      </c>
      <c r="C115" s="0" t="s">
        <v>16</v>
      </c>
      <c r="D115" s="0" t="n">
        <v>2</v>
      </c>
      <c r="E115" s="0" t="n">
        <v>1</v>
      </c>
      <c r="F115" s="0" t="n">
        <v>15</v>
      </c>
      <c r="G115" s="0" t="str">
        <f aca="false">IF(D115=E115,"-",IF(D115&gt;E115,B115,C115))</f>
        <v>Peru</v>
      </c>
      <c r="H115" s="0" t="str">
        <f aca="false">IF(D115=E115,"-",IF(D115&lt;E115,B115,C115))</f>
        <v>Uruguay</v>
      </c>
    </row>
    <row r="116" customFormat="false" ht="13.8" hidden="false" customHeight="false" outlineLevel="0" collapsed="false">
      <c r="A116" s="11" t="n">
        <v>14288</v>
      </c>
      <c r="B116" s="0" t="s">
        <v>8</v>
      </c>
      <c r="C116" s="0" t="s">
        <v>13</v>
      </c>
      <c r="D116" s="0" t="n">
        <v>1</v>
      </c>
      <c r="E116" s="0" t="n">
        <v>3</v>
      </c>
      <c r="F116" s="0" t="n">
        <v>15</v>
      </c>
      <c r="G116" s="0" t="str">
        <f aca="false">IF(D116=E116,"-",IF(D116&gt;E116,B116,C116))</f>
        <v>Paraguay</v>
      </c>
      <c r="H116" s="0" t="str">
        <f aca="false">IF(D116=E116,"-",IF(D116&lt;E116,B116,C116))</f>
        <v>Ecuador</v>
      </c>
    </row>
    <row r="117" customFormat="false" ht="13.8" hidden="false" customHeight="false" outlineLevel="0" collapsed="false">
      <c r="A117" s="11" t="n">
        <v>15009</v>
      </c>
      <c r="B117" s="0" t="s">
        <v>5</v>
      </c>
      <c r="C117" s="0" t="s">
        <v>8</v>
      </c>
      <c r="D117" s="0" t="n">
        <v>5</v>
      </c>
      <c r="E117" s="0" t="n">
        <v>0</v>
      </c>
      <c r="F117" s="0" t="n">
        <v>16</v>
      </c>
      <c r="G117" s="0" t="str">
        <f aca="false">IF(D117=E117,"-",IF(D117&gt;E117,B117,C117))</f>
        <v>Chile</v>
      </c>
      <c r="H117" s="0" t="str">
        <f aca="false">IF(D117=E117,"-",IF(D117&lt;E117,B117,C117))</f>
        <v>Ecuador</v>
      </c>
    </row>
    <row r="118" customFormat="false" ht="13.8" hidden="false" customHeight="false" outlineLevel="0" collapsed="false">
      <c r="A118" s="11" t="n">
        <v>15016</v>
      </c>
      <c r="B118" s="0" t="s">
        <v>8</v>
      </c>
      <c r="C118" s="0" t="s">
        <v>16</v>
      </c>
      <c r="D118" s="0" t="n">
        <v>0</v>
      </c>
      <c r="E118" s="0" t="n">
        <v>6</v>
      </c>
      <c r="F118" s="0" t="n">
        <v>16</v>
      </c>
      <c r="G118" s="0" t="str">
        <f aca="false">IF(D118=E118,"-",IF(D118&gt;E118,B118,C118))</f>
        <v>Uruguay</v>
      </c>
      <c r="H118" s="0" t="str">
        <f aca="false">IF(D118=E118,"-",IF(D118&lt;E118,B118,C118))</f>
        <v>Ecuador</v>
      </c>
    </row>
    <row r="119" customFormat="false" ht="13.8" hidden="false" customHeight="false" outlineLevel="0" collapsed="false">
      <c r="A119" s="11" t="n">
        <v>15016</v>
      </c>
      <c r="B119" s="0" t="s">
        <v>5</v>
      </c>
      <c r="C119" s="0" t="s">
        <v>14</v>
      </c>
      <c r="D119" s="0" t="n">
        <v>1</v>
      </c>
      <c r="E119" s="0" t="n">
        <v>0</v>
      </c>
      <c r="F119" s="0" t="n">
        <v>16</v>
      </c>
      <c r="G119" s="0" t="str">
        <f aca="false">IF(D119=E119,"-",IF(D119&gt;E119,B119,C119))</f>
        <v>Chile</v>
      </c>
      <c r="H119" s="0" t="str">
        <f aca="false">IF(D119=E119,"-",IF(D119&lt;E119,B119,C119))</f>
        <v>Peru</v>
      </c>
    </row>
    <row r="120" customFormat="false" ht="13.8" hidden="false" customHeight="false" outlineLevel="0" collapsed="false">
      <c r="A120" s="11" t="n">
        <v>15019</v>
      </c>
      <c r="B120" s="0" t="s">
        <v>2</v>
      </c>
      <c r="C120" s="0" t="s">
        <v>14</v>
      </c>
      <c r="D120" s="0" t="n">
        <v>2</v>
      </c>
      <c r="E120" s="0" t="n">
        <v>1</v>
      </c>
      <c r="F120" s="0" t="n">
        <v>16</v>
      </c>
      <c r="G120" s="0" t="str">
        <f aca="false">IF(D120=E120,"-",IF(D120&gt;E120,B120,C120))</f>
        <v>Argentina</v>
      </c>
      <c r="H120" s="0" t="str">
        <f aca="false">IF(D120=E120,"-",IF(D120&lt;E120,B120,C120))</f>
        <v>Peru</v>
      </c>
    </row>
    <row r="121" customFormat="false" ht="13.8" hidden="false" customHeight="false" outlineLevel="0" collapsed="false">
      <c r="A121" s="11" t="n">
        <v>15023</v>
      </c>
      <c r="B121" s="0" t="s">
        <v>2</v>
      </c>
      <c r="C121" s="0" t="s">
        <v>8</v>
      </c>
      <c r="D121" s="0" t="n">
        <v>6</v>
      </c>
      <c r="E121" s="0" t="n">
        <v>1</v>
      </c>
      <c r="F121" s="0" t="n">
        <v>16</v>
      </c>
      <c r="G121" s="0" t="str">
        <f aca="false">IF(D121=E121,"-",IF(D121&gt;E121,B121,C121))</f>
        <v>Argentina</v>
      </c>
      <c r="H121" s="0" t="str">
        <f aca="false">IF(D121=E121,"-",IF(D121&lt;E121,B121,C121))</f>
        <v>Ecuador</v>
      </c>
    </row>
    <row r="122" customFormat="false" ht="13.8" hidden="false" customHeight="false" outlineLevel="0" collapsed="false">
      <c r="A122" s="11" t="n">
        <v>15023</v>
      </c>
      <c r="B122" s="0" t="s">
        <v>5</v>
      </c>
      <c r="C122" s="0" t="s">
        <v>16</v>
      </c>
      <c r="D122" s="0" t="n">
        <v>0</v>
      </c>
      <c r="E122" s="0" t="n">
        <v>2</v>
      </c>
      <c r="F122" s="0" t="n">
        <v>16</v>
      </c>
      <c r="G122" s="0" t="str">
        <f aca="false">IF(D122=E122,"-",IF(D122&gt;E122,B122,C122))</f>
        <v>Uruguay</v>
      </c>
      <c r="H122" s="0" t="str">
        <f aca="false">IF(D122=E122,"-",IF(D122&lt;E122,B122,C122))</f>
        <v>Chile</v>
      </c>
    </row>
    <row r="123" customFormat="false" ht="13.8" hidden="false" customHeight="false" outlineLevel="0" collapsed="false">
      <c r="A123" s="11" t="n">
        <v>15030</v>
      </c>
      <c r="B123" s="0" t="s">
        <v>8</v>
      </c>
      <c r="C123" s="0" t="s">
        <v>14</v>
      </c>
      <c r="D123" s="0" t="n">
        <v>0</v>
      </c>
      <c r="E123" s="0" t="n">
        <v>4</v>
      </c>
      <c r="F123" s="0" t="n">
        <v>16</v>
      </c>
      <c r="G123" s="0" t="str">
        <f aca="false">IF(D123=E123,"-",IF(D123&gt;E123,B123,C123))</f>
        <v>Peru</v>
      </c>
      <c r="H123" s="0" t="str">
        <f aca="false">IF(D123=E123,"-",IF(D123&lt;E123,B123,C123))</f>
        <v>Ecuador</v>
      </c>
    </row>
    <row r="124" customFormat="false" ht="13.8" hidden="false" customHeight="false" outlineLevel="0" collapsed="false">
      <c r="A124" s="11" t="n">
        <v>15030</v>
      </c>
      <c r="B124" s="0" t="s">
        <v>2</v>
      </c>
      <c r="C124" s="0" t="s">
        <v>16</v>
      </c>
      <c r="D124" s="0" t="n">
        <v>1</v>
      </c>
      <c r="E124" s="0" t="n">
        <v>0</v>
      </c>
      <c r="F124" s="0" t="n">
        <v>16</v>
      </c>
      <c r="G124" s="0" t="str">
        <f aca="false">IF(D124=E124,"-",IF(D124&gt;E124,B124,C124))</f>
        <v>Argentina</v>
      </c>
      <c r="H124" s="0" t="str">
        <f aca="false">IF(D124=E124,"-",IF(D124&lt;E124,B124,C124))</f>
        <v>Uruguay</v>
      </c>
    </row>
    <row r="125" customFormat="false" ht="13.8" hidden="false" customHeight="false" outlineLevel="0" collapsed="false">
      <c r="A125" s="11" t="n">
        <v>15033</v>
      </c>
      <c r="B125" s="0" t="s">
        <v>14</v>
      </c>
      <c r="C125" s="0" t="s">
        <v>16</v>
      </c>
      <c r="D125" s="0" t="n">
        <v>0</v>
      </c>
      <c r="E125" s="0" t="n">
        <v>2</v>
      </c>
      <c r="F125" s="0" t="n">
        <v>16</v>
      </c>
      <c r="G125" s="0" t="str">
        <f aca="false">IF(D125=E125,"-",IF(D125&gt;E125,B125,C125))</f>
        <v>Uruguay</v>
      </c>
      <c r="H125" s="0" t="str">
        <f aca="false">IF(D125=E125,"-",IF(D125&lt;E125,B125,C125))</f>
        <v>Peru</v>
      </c>
    </row>
    <row r="126" customFormat="false" ht="13.8" hidden="false" customHeight="false" outlineLevel="0" collapsed="false">
      <c r="A126" s="11" t="n">
        <v>15039</v>
      </c>
      <c r="B126" s="0" t="s">
        <v>2</v>
      </c>
      <c r="C126" s="0" t="s">
        <v>5</v>
      </c>
      <c r="D126" s="0" t="n">
        <v>1</v>
      </c>
      <c r="E126" s="0" t="n">
        <v>0</v>
      </c>
      <c r="F126" s="0" t="n">
        <v>16</v>
      </c>
      <c r="G126" s="0" t="str">
        <f aca="false">IF(D126=E126,"-",IF(D126&gt;E126,B126,C126))</f>
        <v>Argentina</v>
      </c>
      <c r="H126" s="0" t="str">
        <f aca="false">IF(D126=E126,"-",IF(D126&lt;E126,B126,C126))</f>
        <v>Chile</v>
      </c>
    </row>
    <row r="127" customFormat="false" ht="13.8" hidden="false" customHeight="false" outlineLevel="0" collapsed="false">
      <c r="A127" s="0" t="s">
        <v>58</v>
      </c>
      <c r="B127" s="0" t="s">
        <v>5</v>
      </c>
      <c r="C127" s="0" t="s">
        <v>16</v>
      </c>
      <c r="D127" s="0" t="n">
        <v>1</v>
      </c>
      <c r="E127" s="0" t="n">
        <v>6</v>
      </c>
      <c r="F127" s="0" t="n">
        <v>17</v>
      </c>
      <c r="G127" s="0" t="str">
        <f aca="false">IF(D127=E127,"-",IF(D127&gt;E127,B127,C127))</f>
        <v>Uruguay</v>
      </c>
      <c r="H127" s="0" t="str">
        <f aca="false">IF(D127=E127,"-",IF(D127&lt;E127,B127,C127))</f>
        <v>Chile</v>
      </c>
    </row>
    <row r="128" customFormat="false" ht="13.8" hidden="false" customHeight="false" outlineLevel="0" collapsed="false">
      <c r="A128" s="0" t="s">
        <v>59</v>
      </c>
      <c r="B128" s="0" t="s">
        <v>2</v>
      </c>
      <c r="C128" s="0" t="s">
        <v>13</v>
      </c>
      <c r="D128" s="0" t="n">
        <v>4</v>
      </c>
      <c r="E128" s="0" t="n">
        <v>3</v>
      </c>
      <c r="F128" s="0" t="n">
        <v>17</v>
      </c>
      <c r="G128" s="0" t="str">
        <f aca="false">IF(D128=E128,"-",IF(D128&gt;E128,B128,C128))</f>
        <v>Argentina</v>
      </c>
      <c r="H128" s="0" t="str">
        <f aca="false">IF(D128=E128,"-",IF(D128&lt;E128,B128,C128))</f>
        <v>Paraguay</v>
      </c>
    </row>
    <row r="129" customFormat="false" ht="13.8" hidden="false" customHeight="false" outlineLevel="0" collapsed="false">
      <c r="A129" s="14" t="s">
        <v>60</v>
      </c>
      <c r="B129" s="14" t="s">
        <v>5</v>
      </c>
      <c r="C129" s="14" t="s">
        <v>4</v>
      </c>
      <c r="D129" s="14" t="n">
        <v>1</v>
      </c>
      <c r="E129" s="14" t="n">
        <v>6</v>
      </c>
      <c r="F129" s="14" t="n">
        <v>17</v>
      </c>
      <c r="G129" s="14" t="str">
        <f aca="false">IF(D129=E129,"-",IF(D129&gt;E129,B129,C129))</f>
        <v>Brazil</v>
      </c>
      <c r="H129" s="14" t="str">
        <f aca="false">IF(D129=E129,"-",IF(D129&lt;E129,B129,C129))</f>
        <v>Chile</v>
      </c>
    </row>
    <row r="130" customFormat="false" ht="13.8" hidden="false" customHeight="false" outlineLevel="0" collapsed="false">
      <c r="A130" s="0" t="s">
        <v>61</v>
      </c>
      <c r="B130" s="0" t="s">
        <v>2</v>
      </c>
      <c r="C130" s="0" t="s">
        <v>4</v>
      </c>
      <c r="D130" s="0" t="n">
        <v>2</v>
      </c>
      <c r="E130" s="0" t="n">
        <v>1</v>
      </c>
      <c r="F130" s="0" t="n">
        <v>17</v>
      </c>
      <c r="G130" s="0" t="str">
        <f aca="false">IF(D130=E130,"-",IF(D130&gt;E130,B130,C130))</f>
        <v>Argentina</v>
      </c>
      <c r="H130" s="0" t="str">
        <f aca="false">IF(D130=E130,"-",IF(D130&lt;E130,B130,C130))</f>
        <v>Brazil</v>
      </c>
    </row>
    <row r="131" customFormat="false" ht="13.8" hidden="false" customHeight="false" outlineLevel="0" collapsed="false">
      <c r="A131" s="0" t="s">
        <v>62</v>
      </c>
      <c r="B131" s="0" t="s">
        <v>13</v>
      </c>
      <c r="C131" s="0" t="s">
        <v>14</v>
      </c>
      <c r="D131" s="0" t="n">
        <v>1</v>
      </c>
      <c r="E131" s="0" t="n">
        <v>1</v>
      </c>
      <c r="F131" s="0" t="n">
        <v>17</v>
      </c>
      <c r="G131" s="0" t="str">
        <f aca="false">IF(D131=E131,"-",IF(D131&gt;E131,B131,C131))</f>
        <v>-</v>
      </c>
      <c r="H131" s="0" t="str">
        <f aca="false">IF(D131=E131,"-",IF(D131&lt;E131,B131,C131))</f>
        <v>-</v>
      </c>
    </row>
    <row r="132" customFormat="false" ht="13.8" hidden="false" customHeight="false" outlineLevel="0" collapsed="false">
      <c r="A132" s="0" t="s">
        <v>62</v>
      </c>
      <c r="B132" s="0" t="s">
        <v>8</v>
      </c>
      <c r="C132" s="0" t="s">
        <v>16</v>
      </c>
      <c r="D132" s="0" t="n">
        <v>0</v>
      </c>
      <c r="E132" s="0" t="n">
        <v>7</v>
      </c>
      <c r="F132" s="0" t="n">
        <v>17</v>
      </c>
      <c r="G132" s="0" t="str">
        <f aca="false">IF(D132=E132,"-",IF(D132&gt;E132,B132,C132))</f>
        <v>Uruguay</v>
      </c>
      <c r="H132" s="0" t="str">
        <f aca="false">IF(D132=E132,"-",IF(D132&lt;E132,B132,C132))</f>
        <v>Ecuador</v>
      </c>
    </row>
    <row r="133" customFormat="false" ht="13.8" hidden="false" customHeight="false" outlineLevel="0" collapsed="false">
      <c r="A133" s="0" t="s">
        <v>63</v>
      </c>
      <c r="B133" s="0" t="s">
        <v>14</v>
      </c>
      <c r="C133" s="0" t="s">
        <v>4</v>
      </c>
      <c r="D133" s="0" t="n">
        <v>1</v>
      </c>
      <c r="E133" s="0" t="n">
        <v>2</v>
      </c>
      <c r="F133" s="0" t="n">
        <v>17</v>
      </c>
      <c r="G133" s="0" t="str">
        <f aca="false">IF(D133=E133,"-",IF(D133&gt;E133,B133,C133))</f>
        <v>Brazil</v>
      </c>
      <c r="H133" s="0" t="str">
        <f aca="false">IF(D133=E133,"-",IF(D133&lt;E133,B133,C133))</f>
        <v>Peru</v>
      </c>
    </row>
    <row r="134" customFormat="false" ht="13.8" hidden="false" customHeight="false" outlineLevel="0" collapsed="false">
      <c r="A134" s="0" t="s">
        <v>64</v>
      </c>
      <c r="B134" s="0" t="s">
        <v>5</v>
      </c>
      <c r="C134" s="0" t="s">
        <v>13</v>
      </c>
      <c r="D134" s="0" t="n">
        <v>0</v>
      </c>
      <c r="E134" s="0" t="n">
        <v>2</v>
      </c>
      <c r="F134" s="0" t="n">
        <v>17</v>
      </c>
      <c r="G134" s="0" t="str">
        <f aca="false">IF(D134=E134,"-",IF(D134&gt;E134,B134,C134))</f>
        <v>Paraguay</v>
      </c>
      <c r="H134" s="0" t="str">
        <f aca="false">IF(D134=E134,"-",IF(D134&lt;E134,B134,C134))</f>
        <v>Chile</v>
      </c>
    </row>
    <row r="135" customFormat="false" ht="13.8" hidden="false" customHeight="false" outlineLevel="0" collapsed="false">
      <c r="A135" s="0" t="s">
        <v>64</v>
      </c>
      <c r="B135" s="0" t="s">
        <v>2</v>
      </c>
      <c r="C135" s="0" t="s">
        <v>8</v>
      </c>
      <c r="D135" s="0" t="n">
        <v>12</v>
      </c>
      <c r="E135" s="0" t="n">
        <v>0</v>
      </c>
      <c r="F135" s="0" t="n">
        <v>17</v>
      </c>
      <c r="G135" s="0" t="str">
        <f aca="false">IF(D135=E135,"-",IF(D135&gt;E135,B135,C135))</f>
        <v>Argentina</v>
      </c>
      <c r="H135" s="0" t="str">
        <f aca="false">IF(D135=E135,"-",IF(D135&lt;E135,B135,C135))</f>
        <v>Ecuador</v>
      </c>
    </row>
    <row r="136" customFormat="false" ht="13.8" hidden="false" customHeight="false" outlineLevel="0" collapsed="false">
      <c r="A136" s="0" t="s">
        <v>65</v>
      </c>
      <c r="B136" s="0" t="s">
        <v>16</v>
      </c>
      <c r="C136" s="0" t="s">
        <v>4</v>
      </c>
      <c r="D136" s="0" t="n">
        <v>1</v>
      </c>
      <c r="E136" s="0" t="n">
        <v>0</v>
      </c>
      <c r="F136" s="0" t="n">
        <v>17</v>
      </c>
      <c r="G136" s="0" t="str">
        <f aca="false">IF(D136=E136,"-",IF(D136&gt;E136,B136,C136))</f>
        <v>Uruguay</v>
      </c>
      <c r="H136" s="0" t="str">
        <f aca="false">IF(D136=E136,"-",IF(D136&lt;E136,B136,C136))</f>
        <v>Brazil</v>
      </c>
    </row>
    <row r="137" customFormat="false" ht="13.8" hidden="false" customHeight="false" outlineLevel="0" collapsed="false">
      <c r="A137" s="0" t="s">
        <v>66</v>
      </c>
      <c r="B137" s="0" t="s">
        <v>8</v>
      </c>
      <c r="C137" s="0" t="s">
        <v>13</v>
      </c>
      <c r="D137" s="0" t="n">
        <v>1</v>
      </c>
      <c r="E137" s="0" t="n">
        <v>3</v>
      </c>
      <c r="F137" s="0" t="n">
        <v>17</v>
      </c>
      <c r="G137" s="0" t="str">
        <f aca="false">IF(D137=E137,"-",IF(D137&gt;E137,B137,C137))</f>
        <v>Paraguay</v>
      </c>
      <c r="H137" s="0" t="str">
        <f aca="false">IF(D137=E137,"-",IF(D137&lt;E137,B137,C137))</f>
        <v>Ecuador</v>
      </c>
    </row>
    <row r="138" customFormat="false" ht="13.8" hidden="false" customHeight="false" outlineLevel="0" collapsed="false">
      <c r="A138" s="0" t="s">
        <v>66</v>
      </c>
      <c r="B138" s="0" t="s">
        <v>2</v>
      </c>
      <c r="C138" s="0" t="s">
        <v>14</v>
      </c>
      <c r="D138" s="0" t="n">
        <v>3</v>
      </c>
      <c r="E138" s="0" t="n">
        <v>1</v>
      </c>
      <c r="F138" s="0" t="n">
        <v>17</v>
      </c>
      <c r="G138" s="0" t="str">
        <f aca="false">IF(D138=E138,"-",IF(D138&gt;E138,B138,C138))</f>
        <v>Argentina</v>
      </c>
      <c r="H138" s="0" t="str">
        <f aca="false">IF(D138=E138,"-",IF(D138&lt;E138,B138,C138))</f>
        <v>Peru</v>
      </c>
    </row>
    <row r="139" customFormat="false" ht="13.8" hidden="false" customHeight="false" outlineLevel="0" collapsed="false">
      <c r="A139" s="0" t="s">
        <v>67</v>
      </c>
      <c r="B139" s="0" t="s">
        <v>13</v>
      </c>
      <c r="C139" s="0" t="s">
        <v>16</v>
      </c>
      <c r="D139" s="0" t="n">
        <v>1</v>
      </c>
      <c r="E139" s="0" t="n">
        <v>3</v>
      </c>
      <c r="F139" s="0" t="n">
        <v>17</v>
      </c>
      <c r="G139" s="0" t="str">
        <f aca="false">IF(D139=E139,"-",IF(D139&gt;E139,B139,C139))</f>
        <v>Uruguay</v>
      </c>
      <c r="H139" s="0" t="str">
        <f aca="false">IF(D139=E139,"-",IF(D139&lt;E139,B139,C139))</f>
        <v>Paraguay</v>
      </c>
    </row>
    <row r="140" customFormat="false" ht="13.8" hidden="false" customHeight="false" outlineLevel="0" collapsed="false">
      <c r="A140" s="0" t="s">
        <v>67</v>
      </c>
      <c r="B140" s="0" t="s">
        <v>8</v>
      </c>
      <c r="C140" s="0" t="s">
        <v>14</v>
      </c>
      <c r="D140" s="0" t="n">
        <v>1</v>
      </c>
      <c r="E140" s="0" t="n">
        <v>2</v>
      </c>
      <c r="F140" s="0" t="n">
        <v>17</v>
      </c>
      <c r="G140" s="0" t="str">
        <f aca="false">IF(D140=E140,"-",IF(D140&gt;E140,B140,C140))</f>
        <v>Peru</v>
      </c>
      <c r="H140" s="0" t="str">
        <f aca="false">IF(D140=E140,"-",IF(D140&lt;E140,B140,C140))</f>
        <v>Ecuador</v>
      </c>
    </row>
    <row r="141" customFormat="false" ht="13.8" hidden="false" customHeight="false" outlineLevel="0" collapsed="false">
      <c r="A141" s="0" t="s">
        <v>68</v>
      </c>
      <c r="B141" s="0" t="s">
        <v>2</v>
      </c>
      <c r="C141" s="0" t="s">
        <v>5</v>
      </c>
      <c r="D141" s="0" t="n">
        <v>0</v>
      </c>
      <c r="E141" s="0" t="n">
        <v>0</v>
      </c>
      <c r="F141" s="0" t="n">
        <v>17</v>
      </c>
      <c r="G141" s="0" t="str">
        <f aca="false">IF(D141=E141,"-",IF(D141&gt;E141,B141,C141))</f>
        <v>-</v>
      </c>
      <c r="H141" s="0" t="str">
        <f aca="false">IF(D141=E141,"-",IF(D141&lt;E141,B141,C141))</f>
        <v>-</v>
      </c>
    </row>
    <row r="142" customFormat="false" ht="13.8" hidden="false" customHeight="false" outlineLevel="0" collapsed="false">
      <c r="A142" s="11" t="n">
        <v>15373</v>
      </c>
      <c r="B142" s="0" t="s">
        <v>8</v>
      </c>
      <c r="C142" s="0" t="s">
        <v>4</v>
      </c>
      <c r="D142" s="0" t="n">
        <v>1</v>
      </c>
      <c r="E142" s="0" t="n">
        <v>5</v>
      </c>
      <c r="F142" s="0" t="n">
        <v>17</v>
      </c>
      <c r="G142" s="0" t="str">
        <f aca="false">IF(D142=E142,"-",IF(D142&gt;E142,B142,C142))</f>
        <v>Brazil</v>
      </c>
      <c r="H142" s="0" t="str">
        <f aca="false">IF(D142=E142,"-",IF(D142&lt;E142,B142,C142))</f>
        <v>Ecuador</v>
      </c>
    </row>
    <row r="143" customFormat="false" ht="13.8" hidden="false" customHeight="false" outlineLevel="0" collapsed="false">
      <c r="A143" s="11" t="n">
        <v>15373</v>
      </c>
      <c r="B143" s="0" t="s">
        <v>14</v>
      </c>
      <c r="C143" s="0" t="s">
        <v>16</v>
      </c>
      <c r="D143" s="0" t="n">
        <v>0</v>
      </c>
      <c r="E143" s="0" t="n">
        <v>3</v>
      </c>
      <c r="F143" s="0" t="n">
        <v>17</v>
      </c>
      <c r="G143" s="0" t="str">
        <f aca="false">IF(D143=E143,"-",IF(D143&gt;E143,B143,C143))</f>
        <v>Uruguay</v>
      </c>
      <c r="H143" s="0" t="str">
        <f aca="false">IF(D143=E143,"-",IF(D143&lt;E143,B143,C143))</f>
        <v>Peru</v>
      </c>
    </row>
    <row r="144" customFormat="false" ht="13.8" hidden="false" customHeight="false" outlineLevel="0" collapsed="false">
      <c r="A144" s="11" t="n">
        <v>15377</v>
      </c>
      <c r="B144" s="0" t="s">
        <v>13</v>
      </c>
      <c r="C144" s="0" t="s">
        <v>4</v>
      </c>
      <c r="D144" s="0" t="n">
        <v>1</v>
      </c>
      <c r="E144" s="0" t="n">
        <v>1</v>
      </c>
      <c r="F144" s="0" t="n">
        <v>17</v>
      </c>
      <c r="G144" s="0" t="str">
        <f aca="false">IF(D144=E144,"-",IF(D144&gt;E144,B144,C144))</f>
        <v>-</v>
      </c>
      <c r="H144" s="0" t="str">
        <f aca="false">IF(D144=E144,"-",IF(D144&lt;E144,B144,C144))</f>
        <v>-</v>
      </c>
    </row>
    <row r="145" customFormat="false" ht="13.8" hidden="false" customHeight="false" outlineLevel="0" collapsed="false">
      <c r="A145" s="11" t="n">
        <v>15377</v>
      </c>
      <c r="B145" s="0" t="s">
        <v>5</v>
      </c>
      <c r="C145" s="0" t="s">
        <v>8</v>
      </c>
      <c r="D145" s="0" t="n">
        <v>2</v>
      </c>
      <c r="E145" s="0" t="n">
        <v>1</v>
      </c>
      <c r="F145" s="0" t="n">
        <v>17</v>
      </c>
      <c r="G145" s="0" t="str">
        <f aca="false">IF(D145=E145,"-",IF(D145&gt;E145,B145,C145))</f>
        <v>Chile</v>
      </c>
      <c r="H145" s="0" t="str">
        <f aca="false">IF(D145=E145,"-",IF(D145&lt;E145,B145,C145))</f>
        <v>Ecuador</v>
      </c>
    </row>
    <row r="146" customFormat="false" ht="13.8" hidden="false" customHeight="false" outlineLevel="0" collapsed="false">
      <c r="A146" s="11" t="n">
        <v>15379</v>
      </c>
      <c r="B146" s="0" t="s">
        <v>2</v>
      </c>
      <c r="C146" s="0" t="s">
        <v>16</v>
      </c>
      <c r="D146" s="0" t="n">
        <v>0</v>
      </c>
      <c r="E146" s="0" t="n">
        <v>1</v>
      </c>
      <c r="F146" s="0" t="n">
        <v>17</v>
      </c>
      <c r="G146" s="0" t="str">
        <f aca="false">IF(D146=E146,"-",IF(D146&gt;E146,B146,C146))</f>
        <v>Uruguay</v>
      </c>
      <c r="H146" s="0" t="str">
        <f aca="false">IF(D146=E146,"-",IF(D146&lt;E146,B146,C146))</f>
        <v>Argentina</v>
      </c>
    </row>
    <row r="147" customFormat="false" ht="13.8" hidden="false" customHeight="false" outlineLevel="0" collapsed="false">
      <c r="A147" s="11" t="n">
        <v>15379</v>
      </c>
      <c r="B147" s="0" t="s">
        <v>5</v>
      </c>
      <c r="C147" s="0" t="s">
        <v>14</v>
      </c>
      <c r="D147" s="0" t="n">
        <v>0</v>
      </c>
      <c r="E147" s="0" t="n">
        <v>0</v>
      </c>
      <c r="F147" s="0" t="n">
        <v>17</v>
      </c>
      <c r="G147" s="0" t="str">
        <f aca="false">IF(D147=E147,"-",IF(D147&gt;E147,B147,C147))</f>
        <v>-</v>
      </c>
      <c r="H147" s="0" t="str">
        <f aca="false">IF(D147=E147,"-",IF(D147&lt;E147,B147,C147))</f>
        <v>-</v>
      </c>
    </row>
    <row r="148" customFormat="false" ht="13.8" hidden="false" customHeight="false" outlineLevel="0" collapsed="false">
      <c r="A148" s="0" t="s">
        <v>69</v>
      </c>
      <c r="B148" s="0" t="s">
        <v>5</v>
      </c>
      <c r="C148" s="0" t="s">
        <v>8</v>
      </c>
      <c r="D148" s="0" t="n">
        <v>6</v>
      </c>
      <c r="E148" s="0" t="n">
        <v>3</v>
      </c>
      <c r="F148" s="0" t="n">
        <v>18</v>
      </c>
      <c r="G148" s="0" t="str">
        <f aca="false">IF(D148=E148,"-",IF(D148&gt;E148,B148,C148))</f>
        <v>Chile</v>
      </c>
      <c r="H148" s="0" t="str">
        <f aca="false">IF(D148=E148,"-",IF(D148&lt;E148,B148,C148))</f>
        <v>Ecuador</v>
      </c>
    </row>
    <row r="149" customFormat="false" ht="13.8" hidden="false" customHeight="false" outlineLevel="0" collapsed="false">
      <c r="A149" s="0" t="s">
        <v>70</v>
      </c>
      <c r="B149" s="0" t="s">
        <v>2</v>
      </c>
      <c r="C149" s="0" t="s">
        <v>3</v>
      </c>
      <c r="D149" s="0" t="n">
        <v>4</v>
      </c>
      <c r="E149" s="0" t="n">
        <v>0</v>
      </c>
      <c r="F149" s="0" t="n">
        <v>18</v>
      </c>
      <c r="G149" s="0" t="str">
        <f aca="false">IF(D149=E149,"-",IF(D149&gt;E149,B149,C149))</f>
        <v>Argentina</v>
      </c>
      <c r="H149" s="0" t="str">
        <f aca="false">IF(D149=E149,"-",IF(D149&lt;E149,B149,C149))</f>
        <v>Bolivia</v>
      </c>
    </row>
    <row r="150" customFormat="false" ht="13.8" hidden="false" customHeight="false" outlineLevel="0" collapsed="false">
      <c r="A150" s="0" t="s">
        <v>71</v>
      </c>
      <c r="B150" s="0" t="s">
        <v>6</v>
      </c>
      <c r="C150" s="0" t="s">
        <v>4</v>
      </c>
      <c r="D150" s="0" t="n">
        <v>0</v>
      </c>
      <c r="E150" s="0" t="n">
        <v>3</v>
      </c>
      <c r="F150" s="0" t="n">
        <v>18</v>
      </c>
      <c r="G150" s="0" t="str">
        <f aca="false">IF(D150=E150,"-",IF(D150&gt;E150,B150,C150))</f>
        <v>Brazil</v>
      </c>
      <c r="H150" s="0" t="str">
        <f aca="false">IF(D150=E150,"-",IF(D150&lt;E150,B150,C150))</f>
        <v>Colombia</v>
      </c>
    </row>
    <row r="151" customFormat="false" ht="13.8" hidden="false" customHeight="false" outlineLevel="0" collapsed="false">
      <c r="A151" s="0" t="s">
        <v>72</v>
      </c>
      <c r="B151" s="0" t="s">
        <v>8</v>
      </c>
      <c r="C151" s="0" t="s">
        <v>16</v>
      </c>
      <c r="D151" s="0" t="n">
        <v>1</v>
      </c>
      <c r="E151" s="0" t="n">
        <v>5</v>
      </c>
      <c r="F151" s="0" t="n">
        <v>18</v>
      </c>
      <c r="G151" s="0" t="str">
        <f aca="false">IF(D151=E151,"-",IF(D151&gt;E151,B151,C151))</f>
        <v>Uruguay</v>
      </c>
      <c r="H151" s="0" t="str">
        <f aca="false">IF(D151=E151,"-",IF(D151&lt;E151,B151,C151))</f>
        <v>Ecuador</v>
      </c>
    </row>
    <row r="152" customFormat="false" ht="13.8" hidden="false" customHeight="false" outlineLevel="0" collapsed="false">
      <c r="A152" s="0" t="s">
        <v>72</v>
      </c>
      <c r="B152" s="0" t="s">
        <v>3</v>
      </c>
      <c r="C152" s="0" t="s">
        <v>5</v>
      </c>
      <c r="D152" s="0" t="n">
        <v>0</v>
      </c>
      <c r="E152" s="0" t="n">
        <v>5</v>
      </c>
      <c r="F152" s="0" t="n">
        <v>18</v>
      </c>
      <c r="G152" s="0" t="str">
        <f aca="false">IF(D152=E152,"-",IF(D152&gt;E152,B152,C152))</f>
        <v>Chile</v>
      </c>
      <c r="H152" s="0" t="str">
        <f aca="false">IF(D152=E152,"-",IF(D152&lt;E152,B152,C152))</f>
        <v>Bolivia</v>
      </c>
    </row>
    <row r="153" customFormat="false" ht="13.8" hidden="false" customHeight="false" outlineLevel="0" collapsed="false">
      <c r="A153" s="0" t="s">
        <v>73</v>
      </c>
      <c r="B153" s="0" t="s">
        <v>6</v>
      </c>
      <c r="C153" s="0" t="s">
        <v>16</v>
      </c>
      <c r="D153" s="0" t="n">
        <v>0</v>
      </c>
      <c r="E153" s="0" t="n">
        <v>7</v>
      </c>
      <c r="F153" s="0" t="n">
        <v>18</v>
      </c>
      <c r="G153" s="0" t="str">
        <f aca="false">IF(D153=E153,"-",IF(D153&gt;E153,B153,C153))</f>
        <v>Uruguay</v>
      </c>
      <c r="H153" s="0" t="str">
        <f aca="false">IF(D153=E153,"-",IF(D153&lt;E153,B153,C153))</f>
        <v>Colombia</v>
      </c>
    </row>
    <row r="154" customFormat="false" ht="13.8" hidden="false" customHeight="false" outlineLevel="0" collapsed="false">
      <c r="A154" s="0" t="s">
        <v>73</v>
      </c>
      <c r="B154" s="0" t="s">
        <v>3</v>
      </c>
      <c r="C154" s="0" t="s">
        <v>4</v>
      </c>
      <c r="D154" s="0" t="n">
        <v>0</v>
      </c>
      <c r="E154" s="0" t="n">
        <v>2</v>
      </c>
      <c r="F154" s="0" t="n">
        <v>18</v>
      </c>
      <c r="G154" s="0" t="str">
        <f aca="false">IF(D154=E154,"-",IF(D154&gt;E154,B154,C154))</f>
        <v>Brazil</v>
      </c>
      <c r="H154" s="0" t="str">
        <f aca="false">IF(D154=E154,"-",IF(D154&lt;E154,B154,C154))</f>
        <v>Bolivia</v>
      </c>
    </row>
    <row r="155" customFormat="false" ht="13.8" hidden="false" customHeight="false" outlineLevel="0" collapsed="false">
      <c r="A155" s="0" t="s">
        <v>74</v>
      </c>
      <c r="B155" s="0" t="s">
        <v>2</v>
      </c>
      <c r="C155" s="0" t="s">
        <v>8</v>
      </c>
      <c r="D155" s="0" t="n">
        <v>4</v>
      </c>
      <c r="E155" s="0" t="n">
        <v>2</v>
      </c>
      <c r="F155" s="0" t="n">
        <v>18</v>
      </c>
      <c r="G155" s="0" t="str">
        <f aca="false">IF(D155=E155,"-",IF(D155&gt;E155,B155,C155))</f>
        <v>Argentina</v>
      </c>
      <c r="H155" s="0" t="str">
        <f aca="false">IF(D155=E155,"-",IF(D155&lt;E155,B155,C155))</f>
        <v>Ecuador</v>
      </c>
    </row>
    <row r="156" customFormat="false" ht="13.8" hidden="false" customHeight="false" outlineLevel="0" collapsed="false">
      <c r="A156" s="0" t="s">
        <v>74</v>
      </c>
      <c r="B156" s="0" t="s">
        <v>5</v>
      </c>
      <c r="C156" s="0" t="s">
        <v>6</v>
      </c>
      <c r="D156" s="0" t="n">
        <v>2</v>
      </c>
      <c r="E156" s="0" t="n">
        <v>0</v>
      </c>
      <c r="F156" s="0" t="n">
        <v>18</v>
      </c>
      <c r="G156" s="0" t="str">
        <f aca="false">IF(D156=E156,"-",IF(D156&gt;E156,B156,C156))</f>
        <v>Chile</v>
      </c>
      <c r="H156" s="0" t="str">
        <f aca="false">IF(D156=E156,"-",IF(D156&lt;E156,B156,C156))</f>
        <v>Colombia</v>
      </c>
    </row>
    <row r="157" customFormat="false" ht="13.8" hidden="false" customHeight="false" outlineLevel="0" collapsed="false">
      <c r="A157" s="11" t="n">
        <v>16475</v>
      </c>
      <c r="B157" s="0" t="s">
        <v>2</v>
      </c>
      <c r="C157" s="0" t="s">
        <v>6</v>
      </c>
      <c r="D157" s="0" t="n">
        <v>9</v>
      </c>
      <c r="E157" s="0" t="n">
        <v>1</v>
      </c>
      <c r="F157" s="0" t="n">
        <v>18</v>
      </c>
      <c r="G157" s="0" t="str">
        <f aca="false">IF(D157=E157,"-",IF(D157&gt;E157,B157,C157))</f>
        <v>Argentina</v>
      </c>
      <c r="H157" s="0" t="str">
        <f aca="false">IF(D157=E157,"-",IF(D157&lt;E157,B157,C157))</f>
        <v>Colombia</v>
      </c>
    </row>
    <row r="158" customFormat="false" ht="13.8" hidden="false" customHeight="false" outlineLevel="0" collapsed="false">
      <c r="A158" s="11" t="n">
        <v>16475</v>
      </c>
      <c r="B158" s="0" t="s">
        <v>16</v>
      </c>
      <c r="C158" s="0" t="s">
        <v>4</v>
      </c>
      <c r="D158" s="0" t="n">
        <v>0</v>
      </c>
      <c r="E158" s="0" t="n">
        <v>3</v>
      </c>
      <c r="F158" s="0" t="n">
        <v>18</v>
      </c>
      <c r="G158" s="0" t="str">
        <f aca="false">IF(D158=E158,"-",IF(D158&gt;E158,B158,C158))</f>
        <v>Brazil</v>
      </c>
      <c r="H158" s="0" t="str">
        <f aca="false">IF(D158=E158,"-",IF(D158&lt;E158,B158,C158))</f>
        <v>Uruguay</v>
      </c>
    </row>
    <row r="159" customFormat="false" ht="13.8" hidden="false" customHeight="false" outlineLevel="0" collapsed="false">
      <c r="A159" s="11" t="n">
        <v>16479</v>
      </c>
      <c r="B159" s="0" t="s">
        <v>3</v>
      </c>
      <c r="C159" s="0" t="s">
        <v>8</v>
      </c>
      <c r="D159" s="0" t="n">
        <v>0</v>
      </c>
      <c r="E159" s="0" t="n">
        <v>0</v>
      </c>
      <c r="F159" s="0" t="n">
        <v>18</v>
      </c>
      <c r="G159" s="0" t="str">
        <f aca="false">IF(D159=E159,"-",IF(D159&gt;E159,B159,C159))</f>
        <v>-</v>
      </c>
      <c r="H159" s="0" t="str">
        <f aca="false">IF(D159=E159,"-",IF(D159&lt;E159,B159,C159))</f>
        <v>-</v>
      </c>
    </row>
    <row r="160" customFormat="false" ht="13.8" hidden="false" customHeight="false" outlineLevel="0" collapsed="false">
      <c r="A160" s="11" t="n">
        <v>16479</v>
      </c>
      <c r="B160" s="0" t="s">
        <v>2</v>
      </c>
      <c r="C160" s="0" t="s">
        <v>5</v>
      </c>
      <c r="D160" s="0" t="n">
        <v>1</v>
      </c>
      <c r="E160" s="0" t="n">
        <v>1</v>
      </c>
      <c r="F160" s="0" t="n">
        <v>18</v>
      </c>
      <c r="G160" s="0" t="str">
        <f aca="false">IF(D160=E160,"-",IF(D160&gt;E160,B160,C160))</f>
        <v>-</v>
      </c>
      <c r="H160" s="0" t="str">
        <f aca="false">IF(D160=E160,"-",IF(D160&lt;E160,B160,C160))</f>
        <v>-</v>
      </c>
    </row>
    <row r="161" customFormat="false" ht="13.8" hidden="false" customHeight="false" outlineLevel="0" collapsed="false">
      <c r="A161" s="11" t="n">
        <v>16483</v>
      </c>
      <c r="B161" s="0" t="s">
        <v>2</v>
      </c>
      <c r="C161" s="0" t="s">
        <v>4</v>
      </c>
      <c r="D161" s="0" t="n">
        <v>3</v>
      </c>
      <c r="E161" s="0" t="n">
        <v>1</v>
      </c>
      <c r="F161" s="0" t="n">
        <v>18</v>
      </c>
      <c r="G161" s="0" t="str">
        <f aca="false">IF(D161=E161,"-",IF(D161&gt;E161,B161,C161))</f>
        <v>Argentina</v>
      </c>
      <c r="H161" s="0" t="str">
        <f aca="false">IF(D161=E161,"-",IF(D161&lt;E161,B161,C161))</f>
        <v>Brazil</v>
      </c>
    </row>
    <row r="162" customFormat="false" ht="13.8" hidden="false" customHeight="false" outlineLevel="0" collapsed="false">
      <c r="A162" s="11" t="n">
        <v>16483</v>
      </c>
      <c r="B162" s="0" t="s">
        <v>3</v>
      </c>
      <c r="C162" s="0" t="s">
        <v>16</v>
      </c>
      <c r="D162" s="0" t="n">
        <v>0</v>
      </c>
      <c r="E162" s="0" t="n">
        <v>2</v>
      </c>
      <c r="F162" s="0" t="n">
        <v>18</v>
      </c>
      <c r="G162" s="0" t="str">
        <f aca="false">IF(D162=E162,"-",IF(D162&gt;E162,B162,C162))</f>
        <v>Uruguay</v>
      </c>
      <c r="H162" s="0" t="str">
        <f aca="false">IF(D162=E162,"-",IF(D162&lt;E162,B162,C162))</f>
        <v>Bolivia</v>
      </c>
    </row>
    <row r="163" customFormat="false" ht="13.8" hidden="false" customHeight="false" outlineLevel="0" collapsed="false">
      <c r="A163" s="11" t="n">
        <v>16486</v>
      </c>
      <c r="B163" s="0" t="s">
        <v>6</v>
      </c>
      <c r="C163" s="0" t="s">
        <v>8</v>
      </c>
      <c r="D163" s="0" t="n">
        <v>3</v>
      </c>
      <c r="E163" s="0" t="n">
        <v>1</v>
      </c>
      <c r="F163" s="0" t="n">
        <v>18</v>
      </c>
      <c r="G163" s="0" t="str">
        <f aca="false">IF(D163=E163,"-",IF(D163&gt;E163,B163,C163))</f>
        <v>Colombia</v>
      </c>
      <c r="H163" s="0" t="str">
        <f aca="false">IF(D163=E163,"-",IF(D163&lt;E163,B163,C163))</f>
        <v>Ecuador</v>
      </c>
    </row>
    <row r="164" customFormat="false" ht="13.8" hidden="false" customHeight="false" outlineLevel="0" collapsed="false">
      <c r="A164" s="11" t="n">
        <v>16486</v>
      </c>
      <c r="B164" s="0" t="s">
        <v>5</v>
      </c>
      <c r="C164" s="0" t="s">
        <v>16</v>
      </c>
      <c r="D164" s="0" t="n">
        <v>1</v>
      </c>
      <c r="E164" s="0" t="n">
        <v>0</v>
      </c>
      <c r="F164" s="0" t="n">
        <v>18</v>
      </c>
      <c r="G164" s="0" t="str">
        <f aca="false">IF(D164=E164,"-",IF(D164&gt;E164,B164,C164))</f>
        <v>Chile</v>
      </c>
      <c r="H164" s="0" t="str">
        <f aca="false">IF(D164=E164,"-",IF(D164&lt;E164,B164,C164))</f>
        <v>Uruguay</v>
      </c>
    </row>
    <row r="165" customFormat="false" ht="13.8" hidden="false" customHeight="false" outlineLevel="0" collapsed="false">
      <c r="A165" s="11" t="n">
        <v>16489</v>
      </c>
      <c r="B165" s="0" t="s">
        <v>3</v>
      </c>
      <c r="C165" s="0" t="s">
        <v>6</v>
      </c>
      <c r="D165" s="0" t="n">
        <v>3</v>
      </c>
      <c r="E165" s="0" t="n">
        <v>3</v>
      </c>
      <c r="F165" s="0" t="n">
        <v>18</v>
      </c>
      <c r="G165" s="0" t="str">
        <f aca="false">IF(D165=E165,"-",IF(D165&gt;E165,B165,C165))</f>
        <v>-</v>
      </c>
      <c r="H165" s="0" t="str">
        <f aca="false">IF(D165=E165,"-",IF(D165&lt;E165,B165,C165))</f>
        <v>-</v>
      </c>
    </row>
    <row r="166" customFormat="false" ht="13.8" hidden="false" customHeight="false" outlineLevel="0" collapsed="false">
      <c r="A166" s="11" t="n">
        <v>16489</v>
      </c>
      <c r="B166" s="0" t="s">
        <v>8</v>
      </c>
      <c r="C166" s="0" t="s">
        <v>4</v>
      </c>
      <c r="D166" s="0" t="n">
        <v>2</v>
      </c>
      <c r="E166" s="0" t="n">
        <v>9</v>
      </c>
      <c r="F166" s="0" t="n">
        <v>18</v>
      </c>
      <c r="G166" s="0" t="str">
        <f aca="false">IF(D166=E166,"-",IF(D166&gt;E166,B166,C166))</f>
        <v>Brazil</v>
      </c>
      <c r="H166" s="0" t="str">
        <f aca="false">IF(D166=E166,"-",IF(D166&lt;E166,B166,C166))</f>
        <v>Ecuador</v>
      </c>
    </row>
    <row r="167" customFormat="false" ht="13.8" hidden="false" customHeight="false" outlineLevel="0" collapsed="false">
      <c r="A167" s="11" t="n">
        <v>16493</v>
      </c>
      <c r="B167" s="0" t="s">
        <v>2</v>
      </c>
      <c r="C167" s="0" t="s">
        <v>16</v>
      </c>
      <c r="D167" s="0" t="n">
        <v>1</v>
      </c>
      <c r="E167" s="0" t="n">
        <v>0</v>
      </c>
      <c r="F167" s="0" t="n">
        <v>18</v>
      </c>
      <c r="G167" s="0" t="str">
        <f aca="false">IF(D167=E167,"-",IF(D167&gt;E167,B167,C167))</f>
        <v>Argentina</v>
      </c>
      <c r="H167" s="0" t="str">
        <f aca="false">IF(D167=E167,"-",IF(D167&lt;E167,B167,C167))</f>
        <v>Uruguay</v>
      </c>
    </row>
    <row r="168" customFormat="false" ht="13.8" hidden="false" customHeight="false" outlineLevel="0" collapsed="false">
      <c r="A168" s="13" t="n">
        <v>16496</v>
      </c>
      <c r="B168" s="14" t="s">
        <v>5</v>
      </c>
      <c r="C168" s="14" t="s">
        <v>4</v>
      </c>
      <c r="D168" s="14" t="n">
        <v>0</v>
      </c>
      <c r="E168" s="14" t="n">
        <v>1</v>
      </c>
      <c r="F168" s="14" t="n">
        <v>18</v>
      </c>
      <c r="G168" s="14" t="str">
        <f aca="false">IF(D168=E168,"-",IF(D168&gt;E168,B168,C168))</f>
        <v>Brazil</v>
      </c>
      <c r="H168" s="14" t="str">
        <f aca="false">IF(D168=E168,"-",IF(D168&lt;E168,B168,C168))</f>
        <v>Chile</v>
      </c>
    </row>
    <row r="169" customFormat="false" ht="13.8" hidden="false" customHeight="false" outlineLevel="0" collapsed="false">
      <c r="A169" s="0" t="s">
        <v>75</v>
      </c>
      <c r="B169" s="0" t="s">
        <v>2</v>
      </c>
      <c r="C169" s="0" t="s">
        <v>13</v>
      </c>
      <c r="D169" s="0" t="n">
        <v>2</v>
      </c>
      <c r="E169" s="0" t="n">
        <v>0</v>
      </c>
      <c r="F169" s="0" t="n">
        <v>19</v>
      </c>
      <c r="G169" s="0" t="str">
        <f aca="false">IF(D169=E169,"-",IF(D169&gt;E169,B169,C169))</f>
        <v>Argentina</v>
      </c>
      <c r="H169" s="0" t="str">
        <f aca="false">IF(D169=E169,"-",IF(D169&lt;E169,B169,C169))</f>
        <v>Paraguay</v>
      </c>
    </row>
    <row r="170" customFormat="false" ht="13.8" hidden="false" customHeight="false" outlineLevel="0" collapsed="false">
      <c r="A170" s="0" t="s">
        <v>76</v>
      </c>
      <c r="B170" s="0" t="s">
        <v>3</v>
      </c>
      <c r="C170" s="0" t="s">
        <v>4</v>
      </c>
      <c r="D170" s="0" t="n">
        <v>0</v>
      </c>
      <c r="E170" s="0" t="n">
        <v>3</v>
      </c>
      <c r="F170" s="0" t="n">
        <v>19</v>
      </c>
      <c r="G170" s="0" t="str">
        <f aca="false">IF(D170=E170,"-",IF(D170&gt;E170,B170,C170))</f>
        <v>Brazil</v>
      </c>
      <c r="H170" s="0" t="str">
        <f aca="false">IF(D170=E170,"-",IF(D170&lt;E170,B170,C170))</f>
        <v>Bolivia</v>
      </c>
    </row>
    <row r="171" customFormat="false" ht="13.8" hidden="false" customHeight="false" outlineLevel="0" collapsed="false">
      <c r="A171" s="0" t="s">
        <v>76</v>
      </c>
      <c r="B171" s="0" t="s">
        <v>5</v>
      </c>
      <c r="C171" s="0" t="s">
        <v>16</v>
      </c>
      <c r="D171" s="0" t="n">
        <v>0</v>
      </c>
      <c r="E171" s="0" t="n">
        <v>1</v>
      </c>
      <c r="F171" s="0" t="n">
        <v>19</v>
      </c>
      <c r="G171" s="0" t="str">
        <f aca="false">IF(D171=E171,"-",IF(D171&gt;E171,B171,C171))</f>
        <v>Uruguay</v>
      </c>
      <c r="H171" s="0" t="str">
        <f aca="false">IF(D171=E171,"-",IF(D171&lt;E171,B171,C171))</f>
        <v>Chile</v>
      </c>
    </row>
    <row r="172" customFormat="false" ht="13.8" hidden="false" customHeight="false" outlineLevel="0" collapsed="false">
      <c r="A172" s="0" t="s">
        <v>77</v>
      </c>
      <c r="B172" s="0" t="s">
        <v>2</v>
      </c>
      <c r="C172" s="0" t="s">
        <v>3</v>
      </c>
      <c r="D172" s="0" t="n">
        <v>7</v>
      </c>
      <c r="E172" s="0" t="n">
        <v>1</v>
      </c>
      <c r="F172" s="0" t="n">
        <v>19</v>
      </c>
      <c r="G172" s="0" t="str">
        <f aca="false">IF(D172=E172,"-",IF(D172&gt;E172,B172,C172))</f>
        <v>Argentina</v>
      </c>
      <c r="H172" s="0" t="str">
        <f aca="false">IF(D172=E172,"-",IF(D172&lt;E172,B172,C172))</f>
        <v>Bolivia</v>
      </c>
    </row>
    <row r="173" customFormat="false" ht="13.8" hidden="false" customHeight="false" outlineLevel="0" collapsed="false">
      <c r="A173" s="0" t="s">
        <v>77</v>
      </c>
      <c r="B173" s="0" t="s">
        <v>5</v>
      </c>
      <c r="C173" s="0" t="s">
        <v>13</v>
      </c>
      <c r="D173" s="0" t="n">
        <v>2</v>
      </c>
      <c r="E173" s="0" t="n">
        <v>1</v>
      </c>
      <c r="F173" s="0" t="n">
        <v>19</v>
      </c>
      <c r="G173" s="0" t="str">
        <f aca="false">IF(D173=E173,"-",IF(D173&gt;E173,B173,C173))</f>
        <v>Chile</v>
      </c>
      <c r="H173" s="0" t="str">
        <f aca="false">IF(D173=E173,"-",IF(D173&lt;E173,B173,C173))</f>
        <v>Paraguay</v>
      </c>
    </row>
    <row r="174" customFormat="false" ht="13.8" hidden="false" customHeight="false" outlineLevel="0" collapsed="false">
      <c r="A174" s="0" t="s">
        <v>78</v>
      </c>
      <c r="B174" s="0" t="s">
        <v>16</v>
      </c>
      <c r="C174" s="0" t="s">
        <v>4</v>
      </c>
      <c r="D174" s="0" t="n">
        <v>3</v>
      </c>
      <c r="E174" s="0" t="n">
        <v>4</v>
      </c>
      <c r="F174" s="0" t="n">
        <v>19</v>
      </c>
      <c r="G174" s="0" t="str">
        <f aca="false">IF(D174=E174,"-",IF(D174&gt;E174,B174,C174))</f>
        <v>Brazil</v>
      </c>
      <c r="H174" s="0" t="str">
        <f aca="false">IF(D174=E174,"-",IF(D174&lt;E174,B174,C174))</f>
        <v>Uruguay</v>
      </c>
    </row>
    <row r="175" customFormat="false" ht="13.8" hidden="false" customHeight="false" outlineLevel="0" collapsed="false">
      <c r="A175" s="0" t="s">
        <v>79</v>
      </c>
      <c r="B175" s="0" t="s">
        <v>2</v>
      </c>
      <c r="C175" s="0" t="s">
        <v>5</v>
      </c>
      <c r="D175" s="0" t="n">
        <v>3</v>
      </c>
      <c r="E175" s="0" t="n">
        <v>1</v>
      </c>
      <c r="F175" s="0" t="n">
        <v>19</v>
      </c>
      <c r="G175" s="0" t="str">
        <f aca="false">IF(D175=E175,"-",IF(D175&gt;E175,B175,C175))</f>
        <v>Argentina</v>
      </c>
      <c r="H175" s="0" t="str">
        <f aca="false">IF(D175=E175,"-",IF(D175&lt;E175,B175,C175))</f>
        <v>Chile</v>
      </c>
    </row>
    <row r="176" customFormat="false" ht="13.8" hidden="false" customHeight="false" outlineLevel="0" collapsed="false">
      <c r="A176" s="0" t="s">
        <v>79</v>
      </c>
      <c r="B176" s="0" t="s">
        <v>3</v>
      </c>
      <c r="C176" s="0" t="s">
        <v>13</v>
      </c>
      <c r="D176" s="0" t="n">
        <v>2</v>
      </c>
      <c r="E176" s="0" t="n">
        <v>4</v>
      </c>
      <c r="F176" s="0" t="n">
        <v>19</v>
      </c>
      <c r="G176" s="0" t="str">
        <f aca="false">IF(D176=E176,"-",IF(D176&gt;E176,B176,C176))</f>
        <v>Paraguay</v>
      </c>
      <c r="H176" s="0" t="str">
        <f aca="false">IF(D176=E176,"-",IF(D176&lt;E176,B176,C176))</f>
        <v>Bolivia</v>
      </c>
    </row>
    <row r="177" customFormat="false" ht="13.8" hidden="false" customHeight="false" outlineLevel="0" collapsed="false">
      <c r="A177" s="0" t="s">
        <v>80</v>
      </c>
      <c r="B177" s="0" t="s">
        <v>3</v>
      </c>
      <c r="C177" s="0" t="s">
        <v>16</v>
      </c>
      <c r="D177" s="0" t="n">
        <v>0</v>
      </c>
      <c r="E177" s="0" t="n">
        <v>5</v>
      </c>
      <c r="F177" s="0" t="n">
        <v>19</v>
      </c>
      <c r="G177" s="0" t="str">
        <f aca="false">IF(D177=E177,"-",IF(D177&gt;E177,B177,C177))</f>
        <v>Uruguay</v>
      </c>
      <c r="H177" s="0" t="str">
        <f aca="false">IF(D177=E177,"-",IF(D177&lt;E177,B177,C177))</f>
        <v>Bolivia</v>
      </c>
    </row>
    <row r="178" customFormat="false" ht="13.8" hidden="false" customHeight="false" outlineLevel="0" collapsed="false">
      <c r="A178" s="0" t="s">
        <v>80</v>
      </c>
      <c r="B178" s="0" t="s">
        <v>13</v>
      </c>
      <c r="C178" s="0" t="s">
        <v>4</v>
      </c>
      <c r="D178" s="0" t="n">
        <v>1</v>
      </c>
      <c r="E178" s="0" t="n">
        <v>1</v>
      </c>
      <c r="F178" s="0" t="n">
        <v>19</v>
      </c>
      <c r="G178" s="0" t="str">
        <f aca="false">IF(D178=E178,"-",IF(D178&gt;E178,B178,C178))</f>
        <v>-</v>
      </c>
      <c r="H178" s="0" t="str">
        <f aca="false">IF(D178=E178,"-",IF(D178&lt;E178,B178,C178))</f>
        <v>-</v>
      </c>
    </row>
    <row r="179" customFormat="false" ht="13.8" hidden="false" customHeight="false" outlineLevel="0" collapsed="false">
      <c r="A179" s="11" t="n">
        <v>16835</v>
      </c>
      <c r="B179" s="0" t="s">
        <v>2</v>
      </c>
      <c r="C179" s="0" t="s">
        <v>16</v>
      </c>
      <c r="D179" s="0" t="n">
        <v>3</v>
      </c>
      <c r="E179" s="0" t="n">
        <v>1</v>
      </c>
      <c r="F179" s="0" t="n">
        <v>19</v>
      </c>
      <c r="G179" s="0" t="str">
        <f aca="false">IF(D179=E179,"-",IF(D179&gt;E179,B179,C179))</f>
        <v>Argentina</v>
      </c>
      <c r="H179" s="0" t="str">
        <f aca="false">IF(D179=E179,"-",IF(D179&lt;E179,B179,C179))</f>
        <v>Uruguay</v>
      </c>
    </row>
    <row r="180" customFormat="false" ht="13.8" hidden="false" customHeight="false" outlineLevel="0" collapsed="false">
      <c r="A180" s="13" t="n">
        <v>16836</v>
      </c>
      <c r="B180" s="14" t="s">
        <v>5</v>
      </c>
      <c r="C180" s="14" t="s">
        <v>4</v>
      </c>
      <c r="D180" s="14" t="n">
        <v>1</v>
      </c>
      <c r="E180" s="14" t="n">
        <v>5</v>
      </c>
      <c r="F180" s="14" t="n">
        <v>19</v>
      </c>
      <c r="G180" s="14" t="str">
        <f aca="false">IF(D180=E180,"-",IF(D180&gt;E180,B180,C180))</f>
        <v>Brazil</v>
      </c>
      <c r="H180" s="14" t="str">
        <f aca="false">IF(D180=E180,"-",IF(D180&lt;E180,B180,C180))</f>
        <v>Chile</v>
      </c>
    </row>
    <row r="181" customFormat="false" ht="13.8" hidden="false" customHeight="false" outlineLevel="0" collapsed="false">
      <c r="A181" s="11" t="n">
        <v>16841</v>
      </c>
      <c r="B181" s="0" t="s">
        <v>3</v>
      </c>
      <c r="C181" s="0" t="s">
        <v>5</v>
      </c>
      <c r="D181" s="0" t="n">
        <v>1</v>
      </c>
      <c r="E181" s="0" t="n">
        <v>4</v>
      </c>
      <c r="F181" s="0" t="n">
        <v>19</v>
      </c>
      <c r="G181" s="0" t="str">
        <f aca="false">IF(D181=E181,"-",IF(D181&gt;E181,B181,C181))</f>
        <v>Chile</v>
      </c>
      <c r="H181" s="0" t="str">
        <f aca="false">IF(D181=E181,"-",IF(D181&lt;E181,B181,C181))</f>
        <v>Bolivia</v>
      </c>
    </row>
    <row r="182" customFormat="false" ht="13.8" hidden="false" customHeight="false" outlineLevel="0" collapsed="false">
      <c r="A182" s="11" t="n">
        <v>16841</v>
      </c>
      <c r="B182" s="0" t="s">
        <v>13</v>
      </c>
      <c r="C182" s="0" t="s">
        <v>16</v>
      </c>
      <c r="D182" s="0" t="n">
        <v>2</v>
      </c>
      <c r="E182" s="0" t="n">
        <v>1</v>
      </c>
      <c r="F182" s="0" t="n">
        <v>19</v>
      </c>
      <c r="G182" s="0" t="str">
        <f aca="false">IF(D182=E182,"-",IF(D182&gt;E182,B182,C182))</f>
        <v>Paraguay</v>
      </c>
      <c r="H182" s="0" t="str">
        <f aca="false">IF(D182=E182,"-",IF(D182&lt;E182,B182,C182))</f>
        <v>Uruguay</v>
      </c>
    </row>
    <row r="183" customFormat="false" ht="13.8" hidden="false" customHeight="false" outlineLevel="0" collapsed="false">
      <c r="A183" s="11" t="n">
        <v>16843</v>
      </c>
      <c r="B183" s="0" t="s">
        <v>2</v>
      </c>
      <c r="C183" s="0" t="s">
        <v>4</v>
      </c>
      <c r="D183" s="0" t="n">
        <v>2</v>
      </c>
      <c r="E183" s="0" t="n">
        <v>0</v>
      </c>
      <c r="F183" s="0" t="n">
        <v>19</v>
      </c>
      <c r="G183" s="0" t="str">
        <f aca="false">IF(D183=E183,"-",IF(D183&gt;E183,B183,C183))</f>
        <v>Argentina</v>
      </c>
      <c r="H183" s="0" t="str">
        <f aca="false">IF(D183=E183,"-",IF(D183&lt;E183,B183,C183))</f>
        <v>Brazil</v>
      </c>
    </row>
    <row r="184" customFormat="false" ht="13.8" hidden="false" customHeight="false" outlineLevel="0" collapsed="false">
      <c r="A184" s="11" t="n">
        <v>17501</v>
      </c>
      <c r="B184" s="0" t="s">
        <v>3</v>
      </c>
      <c r="C184" s="0" t="s">
        <v>8</v>
      </c>
      <c r="D184" s="0" t="n">
        <v>2</v>
      </c>
      <c r="E184" s="0" t="n">
        <v>2</v>
      </c>
      <c r="F184" s="0" t="n">
        <v>20</v>
      </c>
      <c r="G184" s="0" t="str">
        <f aca="false">IF(D184=E184,"-",IF(D184&gt;E184,B184,C184))</f>
        <v>-</v>
      </c>
      <c r="H184" s="0" t="str">
        <f aca="false">IF(D184=E184,"-",IF(D184&lt;E184,B184,C184))</f>
        <v>-</v>
      </c>
    </row>
    <row r="185" customFormat="false" ht="13.8" hidden="false" customHeight="false" outlineLevel="0" collapsed="false">
      <c r="A185" s="0" t="s">
        <v>81</v>
      </c>
      <c r="B185" s="0" t="s">
        <v>2</v>
      </c>
      <c r="C185" s="0" t="s">
        <v>13</v>
      </c>
      <c r="D185" s="0" t="n">
        <v>6</v>
      </c>
      <c r="E185" s="0" t="n">
        <v>0</v>
      </c>
      <c r="F185" s="0" t="n">
        <v>20</v>
      </c>
      <c r="G185" s="0" t="str">
        <f aca="false">IF(D185=E185,"-",IF(D185&gt;E185,B185,C185))</f>
        <v>Argentina</v>
      </c>
      <c r="H185" s="0" t="str">
        <f aca="false">IF(D185=E185,"-",IF(D185&lt;E185,B185,C185))</f>
        <v>Paraguay</v>
      </c>
    </row>
    <row r="186" customFormat="false" ht="13.8" hidden="false" customHeight="false" outlineLevel="0" collapsed="false">
      <c r="A186" s="0" t="s">
        <v>81</v>
      </c>
      <c r="B186" s="0" t="s">
        <v>6</v>
      </c>
      <c r="C186" s="0" t="s">
        <v>16</v>
      </c>
      <c r="D186" s="0" t="n">
        <v>0</v>
      </c>
      <c r="E186" s="0" t="n">
        <v>2</v>
      </c>
      <c r="F186" s="0" t="n">
        <v>20</v>
      </c>
      <c r="G186" s="0" t="str">
        <f aca="false">IF(D186=E186,"-",IF(D186&gt;E186,B186,C186))</f>
        <v>Uruguay</v>
      </c>
      <c r="H186" s="0" t="str">
        <f aca="false">IF(D186=E186,"-",IF(D186&lt;E186,B186,C186))</f>
        <v>Colombia</v>
      </c>
    </row>
    <row r="187" customFormat="false" ht="13.8" hidden="false" customHeight="false" outlineLevel="0" collapsed="false">
      <c r="A187" s="0" t="s">
        <v>82</v>
      </c>
      <c r="B187" s="0" t="s">
        <v>6</v>
      </c>
      <c r="C187" s="0" t="s">
        <v>8</v>
      </c>
      <c r="D187" s="0" t="n">
        <v>0</v>
      </c>
      <c r="E187" s="0" t="n">
        <v>0</v>
      </c>
      <c r="F187" s="0" t="n">
        <v>20</v>
      </c>
      <c r="G187" s="0" t="str">
        <f aca="false">IF(D187=E187,"-",IF(D187&gt;E187,B187,C187))</f>
        <v>-</v>
      </c>
      <c r="H187" s="0" t="str">
        <f aca="false">IF(D187=E187,"-",IF(D187&lt;E187,B187,C187))</f>
        <v>-</v>
      </c>
    </row>
    <row r="188" customFormat="false" ht="13.8" hidden="false" customHeight="false" outlineLevel="0" collapsed="false">
      <c r="A188" s="0" t="s">
        <v>82</v>
      </c>
      <c r="B188" s="0" t="s">
        <v>2</v>
      </c>
      <c r="C188" s="0" t="s">
        <v>3</v>
      </c>
      <c r="D188" s="0" t="n">
        <v>7</v>
      </c>
      <c r="E188" s="0" t="n">
        <v>0</v>
      </c>
      <c r="F188" s="0" t="n">
        <v>20</v>
      </c>
      <c r="G188" s="0" t="str">
        <f aca="false">IF(D188=E188,"-",IF(D188&gt;E188,B188,C188))</f>
        <v>Argentina</v>
      </c>
      <c r="H188" s="0" t="str">
        <f aca="false">IF(D188=E188,"-",IF(D188&lt;E188,B188,C188))</f>
        <v>Bolivia</v>
      </c>
    </row>
    <row r="189" customFormat="false" ht="13.8" hidden="false" customHeight="false" outlineLevel="0" collapsed="false">
      <c r="A189" s="0" t="s">
        <v>83</v>
      </c>
      <c r="B189" s="0" t="s">
        <v>5</v>
      </c>
      <c r="C189" s="0" t="s">
        <v>16</v>
      </c>
      <c r="D189" s="0" t="n">
        <v>0</v>
      </c>
      <c r="E189" s="0" t="n">
        <v>6</v>
      </c>
      <c r="F189" s="0" t="n">
        <v>20</v>
      </c>
      <c r="G189" s="0" t="str">
        <f aca="false">IF(D189=E189,"-",IF(D189&gt;E189,B189,C189))</f>
        <v>Uruguay</v>
      </c>
      <c r="H189" s="0" t="str">
        <f aca="false">IF(D189=E189,"-",IF(D189&lt;E189,B189,C189))</f>
        <v>Chile</v>
      </c>
    </row>
    <row r="190" customFormat="false" ht="13.8" hidden="false" customHeight="false" outlineLevel="0" collapsed="false">
      <c r="A190" s="0" t="s">
        <v>83</v>
      </c>
      <c r="B190" s="0" t="s">
        <v>13</v>
      </c>
      <c r="C190" s="0" t="s">
        <v>14</v>
      </c>
      <c r="D190" s="0" t="n">
        <v>2</v>
      </c>
      <c r="E190" s="0" t="n">
        <v>2</v>
      </c>
      <c r="F190" s="0" t="n">
        <v>20</v>
      </c>
      <c r="G190" s="0" t="str">
        <f aca="false">IF(D190=E190,"-",IF(D190&gt;E190,B190,C190))</f>
        <v>-</v>
      </c>
      <c r="H190" s="0" t="str">
        <f aca="false">IF(D190=E190,"-",IF(D190&lt;E190,B190,C190))</f>
        <v>-</v>
      </c>
    </row>
    <row r="191" customFormat="false" ht="13.8" hidden="false" customHeight="false" outlineLevel="0" collapsed="false">
      <c r="A191" s="0" t="s">
        <v>84</v>
      </c>
      <c r="B191" s="0" t="s">
        <v>5</v>
      </c>
      <c r="C191" s="0" t="s">
        <v>14</v>
      </c>
      <c r="D191" s="0" t="n">
        <v>2</v>
      </c>
      <c r="E191" s="0" t="n">
        <v>1</v>
      </c>
      <c r="F191" s="0" t="n">
        <v>20</v>
      </c>
      <c r="G191" s="0" t="str">
        <f aca="false">IF(D191=E191,"-",IF(D191&gt;E191,B191,C191))</f>
        <v>Chile</v>
      </c>
      <c r="H191" s="0" t="str">
        <f aca="false">IF(D191=E191,"-",IF(D191&lt;E191,B191,C191))</f>
        <v>Peru</v>
      </c>
    </row>
    <row r="192" customFormat="false" ht="13.8" hidden="false" customHeight="false" outlineLevel="0" collapsed="false">
      <c r="A192" s="0" t="s">
        <v>84</v>
      </c>
      <c r="B192" s="0" t="s">
        <v>3</v>
      </c>
      <c r="C192" s="0" t="s">
        <v>16</v>
      </c>
      <c r="D192" s="0" t="n">
        <v>0</v>
      </c>
      <c r="E192" s="0" t="n">
        <v>3</v>
      </c>
      <c r="F192" s="0" t="n">
        <v>20</v>
      </c>
      <c r="G192" s="0" t="str">
        <f aca="false">IF(D192=E192,"-",IF(D192&gt;E192,B192,C192))</f>
        <v>Uruguay</v>
      </c>
      <c r="H192" s="0" t="str">
        <f aca="false">IF(D192=E192,"-",IF(D192&lt;E192,B192,C192))</f>
        <v>Bolivia</v>
      </c>
    </row>
    <row r="193" customFormat="false" ht="13.8" hidden="false" customHeight="false" outlineLevel="0" collapsed="false">
      <c r="A193" s="0" t="s">
        <v>85</v>
      </c>
      <c r="B193" s="0" t="s">
        <v>5</v>
      </c>
      <c r="C193" s="0" t="s">
        <v>8</v>
      </c>
      <c r="D193" s="0" t="n">
        <v>3</v>
      </c>
      <c r="E193" s="0" t="n">
        <v>0</v>
      </c>
      <c r="F193" s="0" t="n">
        <v>20</v>
      </c>
      <c r="G193" s="0" t="str">
        <f aca="false">IF(D193=E193,"-",IF(D193&gt;E193,B193,C193))</f>
        <v>Chile</v>
      </c>
      <c r="H193" s="0" t="str">
        <f aca="false">IF(D193=E193,"-",IF(D193&lt;E193,B193,C193))</f>
        <v>Ecuador</v>
      </c>
    </row>
    <row r="194" customFormat="false" ht="13.8" hidden="false" customHeight="false" outlineLevel="0" collapsed="false">
      <c r="A194" s="0" t="s">
        <v>85</v>
      </c>
      <c r="B194" s="0" t="s">
        <v>2</v>
      </c>
      <c r="C194" s="0" t="s">
        <v>14</v>
      </c>
      <c r="D194" s="0" t="n">
        <v>3</v>
      </c>
      <c r="E194" s="0" t="n">
        <v>2</v>
      </c>
      <c r="F194" s="0" t="n">
        <v>20</v>
      </c>
      <c r="G194" s="0" t="str">
        <f aca="false">IF(D194=E194,"-",IF(D194&gt;E194,B194,C194))</f>
        <v>Argentina</v>
      </c>
      <c r="H194" s="0" t="str">
        <f aca="false">IF(D194=E194,"-",IF(D194&lt;E194,B194,C194))</f>
        <v>Peru</v>
      </c>
    </row>
    <row r="195" customFormat="false" ht="13.8" hidden="false" customHeight="false" outlineLevel="0" collapsed="false">
      <c r="A195" s="0" t="s">
        <v>86</v>
      </c>
      <c r="B195" s="0" t="s">
        <v>3</v>
      </c>
      <c r="C195" s="0" t="s">
        <v>6</v>
      </c>
      <c r="D195" s="0" t="n">
        <v>0</v>
      </c>
      <c r="E195" s="0" t="n">
        <v>0</v>
      </c>
      <c r="F195" s="0" t="n">
        <v>20</v>
      </c>
      <c r="G195" s="0" t="str">
        <f aca="false">IF(D195=E195,"-",IF(D195&gt;E195,B195,C195))</f>
        <v>-</v>
      </c>
      <c r="H195" s="0" t="str">
        <f aca="false">IF(D195=E195,"-",IF(D195&lt;E195,B195,C195))</f>
        <v>-</v>
      </c>
    </row>
    <row r="196" customFormat="false" ht="13.8" hidden="false" customHeight="false" outlineLevel="0" collapsed="false">
      <c r="A196" s="0" t="s">
        <v>86</v>
      </c>
      <c r="B196" s="0" t="s">
        <v>13</v>
      </c>
      <c r="C196" s="0" t="s">
        <v>16</v>
      </c>
      <c r="D196" s="0" t="n">
        <v>4</v>
      </c>
      <c r="E196" s="0" t="n">
        <v>2</v>
      </c>
      <c r="F196" s="0" t="n">
        <v>20</v>
      </c>
      <c r="G196" s="0" t="str">
        <f aca="false">IF(D196=E196,"-",IF(D196&gt;E196,B196,C196))</f>
        <v>Paraguay</v>
      </c>
      <c r="H196" s="0" t="str">
        <f aca="false">IF(D196=E196,"-",IF(D196&lt;E196,B196,C196))</f>
        <v>Uruguay</v>
      </c>
    </row>
    <row r="197" customFormat="false" ht="13.8" hidden="false" customHeight="false" outlineLevel="0" collapsed="false">
      <c r="A197" s="0" t="s">
        <v>87</v>
      </c>
      <c r="B197" s="0" t="s">
        <v>2</v>
      </c>
      <c r="C197" s="0" t="s">
        <v>5</v>
      </c>
      <c r="D197" s="0" t="n">
        <v>1</v>
      </c>
      <c r="E197" s="0" t="n">
        <v>1</v>
      </c>
      <c r="F197" s="0" t="n">
        <v>20</v>
      </c>
      <c r="G197" s="0" t="str">
        <f aca="false">IF(D197=E197,"-",IF(D197&gt;E197,B197,C197))</f>
        <v>-</v>
      </c>
      <c r="H197" s="0" t="str">
        <f aca="false">IF(D197=E197,"-",IF(D197&lt;E197,B197,C197))</f>
        <v>-</v>
      </c>
    </row>
    <row r="198" customFormat="false" ht="13.8" hidden="false" customHeight="false" outlineLevel="0" collapsed="false">
      <c r="A198" s="0" t="s">
        <v>87</v>
      </c>
      <c r="B198" s="0" t="s">
        <v>8</v>
      </c>
      <c r="C198" s="0" t="s">
        <v>16</v>
      </c>
      <c r="D198" s="0" t="n">
        <v>1</v>
      </c>
      <c r="E198" s="0" t="n">
        <v>6</v>
      </c>
      <c r="F198" s="0" t="n">
        <v>20</v>
      </c>
      <c r="G198" s="0" t="str">
        <f aca="false">IF(D198=E198,"-",IF(D198&gt;E198,B198,C198))</f>
        <v>Uruguay</v>
      </c>
      <c r="H198" s="0" t="str">
        <f aca="false">IF(D198=E198,"-",IF(D198&lt;E198,B198,C198))</f>
        <v>Ecuador</v>
      </c>
    </row>
    <row r="199" customFormat="false" ht="13.8" hidden="false" customHeight="false" outlineLevel="0" collapsed="false">
      <c r="A199" s="0" t="s">
        <v>88</v>
      </c>
      <c r="B199" s="0" t="s">
        <v>3</v>
      </c>
      <c r="C199" s="0" t="s">
        <v>13</v>
      </c>
      <c r="D199" s="0" t="n">
        <v>1</v>
      </c>
      <c r="E199" s="0" t="n">
        <v>3</v>
      </c>
      <c r="F199" s="0" t="n">
        <v>20</v>
      </c>
      <c r="G199" s="0" t="str">
        <f aca="false">IF(D199=E199,"-",IF(D199&gt;E199,B199,C199))</f>
        <v>Paraguay</v>
      </c>
      <c r="H199" s="0" t="str">
        <f aca="false">IF(D199=E199,"-",IF(D199&lt;E199,B199,C199))</f>
        <v>Bolivia</v>
      </c>
    </row>
    <row r="200" customFormat="false" ht="13.8" hidden="false" customHeight="false" outlineLevel="0" collapsed="false">
      <c r="A200" s="0" t="s">
        <v>88</v>
      </c>
      <c r="B200" s="0" t="s">
        <v>2</v>
      </c>
      <c r="C200" s="0" t="s">
        <v>6</v>
      </c>
      <c r="D200" s="0" t="n">
        <v>6</v>
      </c>
      <c r="E200" s="0" t="n">
        <v>0</v>
      </c>
      <c r="F200" s="0" t="n">
        <v>20</v>
      </c>
      <c r="G200" s="0" t="str">
        <f aca="false">IF(D200=E200,"-",IF(D200&gt;E200,B200,C200))</f>
        <v>Argentina</v>
      </c>
      <c r="H200" s="0" t="str">
        <f aca="false">IF(D200=E200,"-",IF(D200&lt;E200,B200,C200))</f>
        <v>Colombia</v>
      </c>
    </row>
    <row r="201" customFormat="false" ht="13.8" hidden="false" customHeight="false" outlineLevel="0" collapsed="false">
      <c r="A201" s="0" t="s">
        <v>89</v>
      </c>
      <c r="B201" s="0" t="s">
        <v>6</v>
      </c>
      <c r="C201" s="0" t="s">
        <v>13</v>
      </c>
      <c r="D201" s="0" t="n">
        <v>0</v>
      </c>
      <c r="E201" s="0" t="n">
        <v>2</v>
      </c>
      <c r="F201" s="0" t="n">
        <v>20</v>
      </c>
      <c r="G201" s="0" t="str">
        <f aca="false">IF(D201=E201,"-",IF(D201&gt;E201,B201,C201))</f>
        <v>Paraguay</v>
      </c>
      <c r="H201" s="0" t="str">
        <f aca="false">IF(D201=E201,"-",IF(D201&lt;E201,B201,C201))</f>
        <v>Colombia</v>
      </c>
    </row>
    <row r="202" customFormat="false" ht="13.8" hidden="false" customHeight="false" outlineLevel="0" collapsed="false">
      <c r="A202" s="0" t="s">
        <v>89</v>
      </c>
      <c r="B202" s="0" t="s">
        <v>8</v>
      </c>
      <c r="C202" s="0" t="s">
        <v>14</v>
      </c>
      <c r="D202" s="0" t="n">
        <v>0</v>
      </c>
      <c r="E202" s="0" t="n">
        <v>0</v>
      </c>
      <c r="F202" s="0" t="n">
        <v>20</v>
      </c>
      <c r="G202" s="0" t="str">
        <f aca="false">IF(D202=E202,"-",IF(D202&gt;E202,B202,C202))</f>
        <v>-</v>
      </c>
      <c r="H202" s="0" t="str">
        <f aca="false">IF(D202=E202,"-",IF(D202&lt;E202,B202,C202))</f>
        <v>-</v>
      </c>
    </row>
    <row r="203" customFormat="false" ht="13.8" hidden="false" customHeight="false" outlineLevel="0" collapsed="false">
      <c r="A203" s="0" t="s">
        <v>90</v>
      </c>
      <c r="B203" s="0" t="s">
        <v>5</v>
      </c>
      <c r="C203" s="0" t="s">
        <v>13</v>
      </c>
      <c r="D203" s="0" t="n">
        <v>0</v>
      </c>
      <c r="E203" s="0" t="n">
        <v>1</v>
      </c>
      <c r="F203" s="0" t="n">
        <v>20</v>
      </c>
      <c r="G203" s="0" t="str">
        <f aca="false">IF(D203=E203,"-",IF(D203&gt;E203,B203,C203))</f>
        <v>Paraguay</v>
      </c>
      <c r="H203" s="0" t="str">
        <f aca="false">IF(D203=E203,"-",IF(D203&lt;E203,B203,C203))</f>
        <v>Chile</v>
      </c>
    </row>
    <row r="204" customFormat="false" ht="13.8" hidden="false" customHeight="false" outlineLevel="0" collapsed="false">
      <c r="A204" s="0" t="s">
        <v>90</v>
      </c>
      <c r="B204" s="0" t="s">
        <v>6</v>
      </c>
      <c r="C204" s="0" t="s">
        <v>14</v>
      </c>
      <c r="D204" s="0" t="n">
        <v>1</v>
      </c>
      <c r="E204" s="0" t="n">
        <v>5</v>
      </c>
      <c r="F204" s="0" t="n">
        <v>20</v>
      </c>
      <c r="G204" s="0" t="str">
        <f aca="false">IF(D204=E204,"-",IF(D204&gt;E204,B204,C204))</f>
        <v>Peru</v>
      </c>
      <c r="H204" s="0" t="str">
        <f aca="false">IF(D204=E204,"-",IF(D204&lt;E204,B204,C204))</f>
        <v>Colombia</v>
      </c>
    </row>
    <row r="205" customFormat="false" ht="13.8" hidden="false" customHeight="false" outlineLevel="0" collapsed="false">
      <c r="A205" s="0" t="s">
        <v>91</v>
      </c>
      <c r="B205" s="0" t="s">
        <v>2</v>
      </c>
      <c r="C205" s="0" t="s">
        <v>8</v>
      </c>
      <c r="D205" s="0" t="n">
        <v>2</v>
      </c>
      <c r="E205" s="0" t="n">
        <v>0</v>
      </c>
      <c r="F205" s="0" t="n">
        <v>20</v>
      </c>
      <c r="G205" s="0" t="str">
        <f aca="false">IF(D205=E205,"-",IF(D205&gt;E205,B205,C205))</f>
        <v>Argentina</v>
      </c>
      <c r="H205" s="0" t="str">
        <f aca="false">IF(D205=E205,"-",IF(D205&lt;E205,B205,C205))</f>
        <v>Ecuador</v>
      </c>
    </row>
    <row r="206" customFormat="false" ht="13.8" hidden="false" customHeight="false" outlineLevel="0" collapsed="false">
      <c r="A206" s="0" t="s">
        <v>92</v>
      </c>
      <c r="B206" s="0" t="s">
        <v>14</v>
      </c>
      <c r="C206" s="0" t="s">
        <v>16</v>
      </c>
      <c r="D206" s="0" t="n">
        <v>0</v>
      </c>
      <c r="E206" s="0" t="n">
        <v>1</v>
      </c>
      <c r="F206" s="0" t="n">
        <v>20</v>
      </c>
      <c r="G206" s="0" t="str">
        <f aca="false">IF(D206=E206,"-",IF(D206&gt;E206,B206,C206))</f>
        <v>Uruguay</v>
      </c>
      <c r="H206" s="0" t="str">
        <f aca="false">IF(D206=E206,"-",IF(D206&lt;E206,B206,C206))</f>
        <v>Peru</v>
      </c>
    </row>
    <row r="207" customFormat="false" ht="13.8" hidden="false" customHeight="false" outlineLevel="0" collapsed="false">
      <c r="A207" s="0" t="s">
        <v>93</v>
      </c>
      <c r="B207" s="0" t="s">
        <v>3</v>
      </c>
      <c r="C207" s="0" t="s">
        <v>14</v>
      </c>
      <c r="D207" s="0" t="n">
        <v>0</v>
      </c>
      <c r="E207" s="0" t="n">
        <v>2</v>
      </c>
      <c r="F207" s="0" t="n">
        <v>20</v>
      </c>
      <c r="G207" s="0" t="str">
        <f aca="false">IF(D207=E207,"-",IF(D207&gt;E207,B207,C207))</f>
        <v>Peru</v>
      </c>
      <c r="H207" s="0" t="str">
        <f aca="false">IF(D207=E207,"-",IF(D207&lt;E207,B207,C207))</f>
        <v>Bolivia</v>
      </c>
    </row>
    <row r="208" customFormat="false" ht="13.8" hidden="false" customHeight="false" outlineLevel="0" collapsed="false">
      <c r="A208" s="0" t="s">
        <v>94</v>
      </c>
      <c r="B208" s="0" t="s">
        <v>2</v>
      </c>
      <c r="C208" s="0" t="s">
        <v>16</v>
      </c>
      <c r="D208" s="0" t="n">
        <v>3</v>
      </c>
      <c r="E208" s="0" t="n">
        <v>1</v>
      </c>
      <c r="F208" s="0" t="n">
        <v>20</v>
      </c>
      <c r="G208" s="0" t="str">
        <f aca="false">IF(D208=E208,"-",IF(D208&gt;E208,B208,C208))</f>
        <v>Argentina</v>
      </c>
      <c r="H208" s="0" t="str">
        <f aca="false">IF(D208=E208,"-",IF(D208&lt;E208,B208,C208))</f>
        <v>Uruguay</v>
      </c>
    </row>
    <row r="209" customFormat="false" ht="13.8" hidden="false" customHeight="false" outlineLevel="0" collapsed="false">
      <c r="A209" s="0" t="s">
        <v>95</v>
      </c>
      <c r="B209" s="0" t="s">
        <v>5</v>
      </c>
      <c r="C209" s="0" t="s">
        <v>6</v>
      </c>
      <c r="D209" s="0" t="n">
        <v>4</v>
      </c>
      <c r="E209" s="0" t="n">
        <v>1</v>
      </c>
      <c r="F209" s="0" t="n">
        <v>20</v>
      </c>
      <c r="G209" s="0" t="str">
        <f aca="false">IF(D209=E209,"-",IF(D209&gt;E209,B209,C209))</f>
        <v>Chile</v>
      </c>
      <c r="H209" s="0" t="str">
        <f aca="false">IF(D209=E209,"-",IF(D209&lt;E209,B209,C209))</f>
        <v>Colombia</v>
      </c>
    </row>
    <row r="210" customFormat="false" ht="13.8" hidden="false" customHeight="false" outlineLevel="0" collapsed="false">
      <c r="A210" s="0" t="s">
        <v>95</v>
      </c>
      <c r="B210" s="0" t="s">
        <v>8</v>
      </c>
      <c r="C210" s="0" t="s">
        <v>13</v>
      </c>
      <c r="D210" s="0" t="n">
        <v>0</v>
      </c>
      <c r="E210" s="0" t="n">
        <v>4</v>
      </c>
      <c r="F210" s="0" t="n">
        <v>20</v>
      </c>
      <c r="G210" s="0" t="str">
        <f aca="false">IF(D210=E210,"-",IF(D210&gt;E210,B210,C210))</f>
        <v>Paraguay</v>
      </c>
      <c r="H210" s="0" t="str">
        <f aca="false">IF(D210=E210,"-",IF(D210&lt;E210,B210,C210))</f>
        <v>Ecuador</v>
      </c>
    </row>
    <row r="211" customFormat="false" ht="13.8" hidden="false" customHeight="false" outlineLevel="0" collapsed="false">
      <c r="A211" s="0" t="s">
        <v>96</v>
      </c>
      <c r="B211" s="0" t="s">
        <v>3</v>
      </c>
      <c r="C211" s="0" t="s">
        <v>5</v>
      </c>
      <c r="D211" s="0" t="n">
        <v>3</v>
      </c>
      <c r="E211" s="0" t="n">
        <v>4</v>
      </c>
      <c r="F211" s="0" t="n">
        <v>20</v>
      </c>
      <c r="G211" s="0" t="str">
        <f aca="false">IF(D211=E211,"-",IF(D211&gt;E211,B211,C211))</f>
        <v>Chile</v>
      </c>
      <c r="H211" s="0" t="str">
        <f aca="false">IF(D211=E211,"-",IF(D211&lt;E211,B211,C211))</f>
        <v>Bolivia</v>
      </c>
    </row>
    <row r="212" customFormat="false" ht="13.8" hidden="false" customHeight="false" outlineLevel="0" collapsed="false">
      <c r="A212" s="0" t="s">
        <v>97</v>
      </c>
      <c r="B212" s="0" t="s">
        <v>8</v>
      </c>
      <c r="C212" s="0" t="s">
        <v>4</v>
      </c>
      <c r="D212" s="0" t="n">
        <v>1</v>
      </c>
      <c r="E212" s="0" t="n">
        <v>9</v>
      </c>
      <c r="F212" s="0" t="n">
        <v>21</v>
      </c>
      <c r="G212" s="0" t="str">
        <f aca="false">IF(D212=E212,"-",IF(D212&gt;E212,B212,C212))</f>
        <v>Brazil</v>
      </c>
      <c r="H212" s="0" t="str">
        <f aca="false">IF(D212=E212,"-",IF(D212&lt;E212,B212,C212))</f>
        <v>Ecuador</v>
      </c>
    </row>
    <row r="213" customFormat="false" ht="13.8" hidden="false" customHeight="false" outlineLevel="0" collapsed="false">
      <c r="A213" s="0" t="s">
        <v>98</v>
      </c>
      <c r="B213" s="0" t="s">
        <v>3</v>
      </c>
      <c r="C213" s="0" t="s">
        <v>5</v>
      </c>
      <c r="D213" s="0" t="n">
        <v>3</v>
      </c>
      <c r="E213" s="0" t="n">
        <v>2</v>
      </c>
      <c r="F213" s="0" t="n">
        <v>21</v>
      </c>
      <c r="G213" s="0" t="str">
        <f aca="false">IF(D213=E213,"-",IF(D213&gt;E213,B213,C213))</f>
        <v>Bolivia</v>
      </c>
      <c r="H213" s="0" t="str">
        <f aca="false">IF(D213=E213,"-",IF(D213&lt;E213,B213,C213))</f>
        <v>Chile</v>
      </c>
    </row>
    <row r="214" customFormat="false" ht="13.8" hidden="false" customHeight="false" outlineLevel="0" collapsed="false">
      <c r="A214" s="0" t="s">
        <v>98</v>
      </c>
      <c r="B214" s="0" t="s">
        <v>6</v>
      </c>
      <c r="C214" s="0" t="s">
        <v>13</v>
      </c>
      <c r="D214" s="0" t="n">
        <v>0</v>
      </c>
      <c r="E214" s="0" t="n">
        <v>3</v>
      </c>
      <c r="F214" s="0" t="n">
        <v>21</v>
      </c>
      <c r="G214" s="0" t="str">
        <f aca="false">IF(D214=E214,"-",IF(D214&gt;E214,B214,C214))</f>
        <v>Paraguay</v>
      </c>
      <c r="H214" s="0" t="str">
        <f aca="false">IF(D214=E214,"-",IF(D214&lt;E214,B214,C214))</f>
        <v>Colombia</v>
      </c>
    </row>
    <row r="215" customFormat="false" ht="13.8" hidden="false" customHeight="false" outlineLevel="0" collapsed="false">
      <c r="A215" s="0" t="s">
        <v>99</v>
      </c>
      <c r="B215" s="0" t="s">
        <v>3</v>
      </c>
      <c r="C215" s="0" t="s">
        <v>4</v>
      </c>
      <c r="D215" s="0" t="n">
        <v>1</v>
      </c>
      <c r="E215" s="0" t="n">
        <v>10</v>
      </c>
      <c r="F215" s="0" t="n">
        <v>21</v>
      </c>
      <c r="G215" s="0" t="str">
        <f aca="false">IF(D215=E215,"-",IF(D215&gt;E215,B215,C215))</f>
        <v>Brazil</v>
      </c>
      <c r="H215" s="0" t="str">
        <f aca="false">IF(D215=E215,"-",IF(D215&lt;E215,B215,C215))</f>
        <v>Bolivia</v>
      </c>
    </row>
    <row r="216" customFormat="false" ht="13.8" hidden="false" customHeight="false" outlineLevel="0" collapsed="false">
      <c r="A216" s="0" t="s">
        <v>99</v>
      </c>
      <c r="B216" s="0" t="s">
        <v>6</v>
      </c>
      <c r="C216" s="0" t="s">
        <v>14</v>
      </c>
      <c r="D216" s="0" t="n">
        <v>0</v>
      </c>
      <c r="E216" s="0" t="n">
        <v>4</v>
      </c>
      <c r="F216" s="0" t="n">
        <v>21</v>
      </c>
      <c r="G216" s="0" t="str">
        <f aca="false">IF(D216=E216,"-",IF(D216&gt;E216,B216,C216))</f>
        <v>Peru</v>
      </c>
      <c r="H216" s="0" t="str">
        <f aca="false">IF(D216=E216,"-",IF(D216&lt;E216,B216,C216))</f>
        <v>Colombia</v>
      </c>
    </row>
    <row r="217" customFormat="false" ht="13.8" hidden="false" customHeight="false" outlineLevel="0" collapsed="false">
      <c r="A217" s="0" t="s">
        <v>99</v>
      </c>
      <c r="B217" s="0" t="s">
        <v>8</v>
      </c>
      <c r="C217" s="0" t="s">
        <v>13</v>
      </c>
      <c r="D217" s="0" t="n">
        <v>0</v>
      </c>
      <c r="E217" s="0" t="n">
        <v>1</v>
      </c>
      <c r="F217" s="0" t="n">
        <v>21</v>
      </c>
      <c r="G217" s="0" t="str">
        <f aca="false">IF(D217=E217,"-",IF(D217&gt;E217,B217,C217))</f>
        <v>Paraguay</v>
      </c>
      <c r="H217" s="0" t="str">
        <f aca="false">IF(D217=E217,"-",IF(D217&lt;E217,B217,C217))</f>
        <v>Ecuador</v>
      </c>
    </row>
    <row r="218" customFormat="false" ht="13.8" hidden="false" customHeight="false" outlineLevel="0" collapsed="false">
      <c r="A218" s="0" t="s">
        <v>100</v>
      </c>
      <c r="B218" s="0" t="s">
        <v>13</v>
      </c>
      <c r="C218" s="0" t="s">
        <v>14</v>
      </c>
      <c r="D218" s="0" t="n">
        <v>3</v>
      </c>
      <c r="E218" s="0" t="n">
        <v>1</v>
      </c>
      <c r="F218" s="0" t="n">
        <v>21</v>
      </c>
      <c r="G218" s="0" t="str">
        <f aca="false">IF(D218=E218,"-",IF(D218&gt;E218,B218,C218))</f>
        <v>Paraguay</v>
      </c>
      <c r="H218" s="0" t="str">
        <f aca="false">IF(D218=E218,"-",IF(D218&lt;E218,B218,C218))</f>
        <v>Peru</v>
      </c>
    </row>
    <row r="219" customFormat="false" ht="13.8" hidden="false" customHeight="false" outlineLevel="0" collapsed="false">
      <c r="A219" s="14" t="s">
        <v>100</v>
      </c>
      <c r="B219" s="14" t="s">
        <v>5</v>
      </c>
      <c r="C219" s="14" t="s">
        <v>4</v>
      </c>
      <c r="D219" s="14" t="n">
        <v>1</v>
      </c>
      <c r="E219" s="14" t="n">
        <v>2</v>
      </c>
      <c r="F219" s="14" t="n">
        <v>21</v>
      </c>
      <c r="G219" s="14" t="str">
        <f aca="false">IF(D219=E219,"-",IF(D219&gt;E219,B219,C219))</f>
        <v>Brazil</v>
      </c>
      <c r="H219" s="14" t="str">
        <f aca="false">IF(D219=E219,"-",IF(D219&lt;E219,B219,C219))</f>
        <v>Chile</v>
      </c>
    </row>
    <row r="220" customFormat="false" ht="13.8" hidden="false" customHeight="false" outlineLevel="0" collapsed="false">
      <c r="A220" s="0" t="s">
        <v>100</v>
      </c>
      <c r="B220" s="0" t="s">
        <v>8</v>
      </c>
      <c r="C220" s="0" t="s">
        <v>16</v>
      </c>
      <c r="D220" s="0" t="n">
        <v>2</v>
      </c>
      <c r="E220" s="0" t="n">
        <v>3</v>
      </c>
      <c r="F220" s="0" t="n">
        <v>21</v>
      </c>
      <c r="G220" s="0" t="str">
        <f aca="false">IF(D220=E220,"-",IF(D220&gt;E220,B220,C220))</f>
        <v>Uruguay</v>
      </c>
      <c r="H220" s="0" t="str">
        <f aca="false">IF(D220=E220,"-",IF(D220&lt;E220,B220,C220))</f>
        <v>Ecuador</v>
      </c>
    </row>
    <row r="221" customFormat="false" ht="13.8" hidden="false" customHeight="false" outlineLevel="0" collapsed="false">
      <c r="A221" s="0" t="s">
        <v>101</v>
      </c>
      <c r="B221" s="0" t="s">
        <v>5</v>
      </c>
      <c r="C221" s="0" t="s">
        <v>8</v>
      </c>
      <c r="D221" s="0" t="n">
        <v>1</v>
      </c>
      <c r="E221" s="0" t="n">
        <v>0</v>
      </c>
      <c r="F221" s="0" t="n">
        <v>21</v>
      </c>
      <c r="G221" s="0" t="str">
        <f aca="false">IF(D221=E221,"-",IF(D221&gt;E221,B221,C221))</f>
        <v>Chile</v>
      </c>
      <c r="H221" s="0" t="str">
        <f aca="false">IF(D221=E221,"-",IF(D221&lt;E221,B221,C221))</f>
        <v>Ecuador</v>
      </c>
    </row>
    <row r="222" customFormat="false" ht="13.8" hidden="false" customHeight="false" outlineLevel="0" collapsed="false">
      <c r="A222" s="0" t="s">
        <v>101</v>
      </c>
      <c r="B222" s="0" t="s">
        <v>6</v>
      </c>
      <c r="C222" s="0" t="s">
        <v>4</v>
      </c>
      <c r="D222" s="0" t="n">
        <v>0</v>
      </c>
      <c r="E222" s="0" t="n">
        <v>5</v>
      </c>
      <c r="F222" s="0" t="n">
        <v>21</v>
      </c>
      <c r="G222" s="0" t="str">
        <f aca="false">IF(D222=E222,"-",IF(D222&gt;E222,B222,C222))</f>
        <v>Brazil</v>
      </c>
      <c r="H222" s="0" t="str">
        <f aca="false">IF(D222=E222,"-",IF(D222&lt;E222,B222,C222))</f>
        <v>Colombia</v>
      </c>
    </row>
    <row r="223" customFormat="false" ht="13.8" hidden="false" customHeight="false" outlineLevel="0" collapsed="false">
      <c r="A223" s="0" t="s">
        <v>101</v>
      </c>
      <c r="B223" s="0" t="s">
        <v>3</v>
      </c>
      <c r="C223" s="0" t="s">
        <v>16</v>
      </c>
      <c r="D223" s="0" t="n">
        <v>3</v>
      </c>
      <c r="E223" s="0" t="n">
        <v>2</v>
      </c>
      <c r="F223" s="0" t="n">
        <v>21</v>
      </c>
      <c r="G223" s="0" t="str">
        <f aca="false">IF(D223=E223,"-",IF(D223&gt;E223,B223,C223))</f>
        <v>Bolivia</v>
      </c>
      <c r="H223" s="0" t="str">
        <f aca="false">IF(D223=E223,"-",IF(D223&lt;E223,B223,C223))</f>
        <v>Uruguay</v>
      </c>
    </row>
    <row r="224" customFormat="false" ht="13.8" hidden="false" customHeight="false" outlineLevel="0" collapsed="false">
      <c r="A224" s="0" t="s">
        <v>102</v>
      </c>
      <c r="B224" s="0" t="s">
        <v>5</v>
      </c>
      <c r="C224" s="0" t="s">
        <v>6</v>
      </c>
      <c r="D224" s="0" t="n">
        <v>1</v>
      </c>
      <c r="E224" s="0" t="n">
        <v>1</v>
      </c>
      <c r="F224" s="0" t="n">
        <v>21</v>
      </c>
      <c r="G224" s="0" t="str">
        <f aca="false">IF(D224=E224,"-",IF(D224&gt;E224,B224,C224))</f>
        <v>-</v>
      </c>
      <c r="H224" s="0" t="str">
        <f aca="false">IF(D224=E224,"-",IF(D224&lt;E224,B224,C224))</f>
        <v>-</v>
      </c>
    </row>
    <row r="225" customFormat="false" ht="13.8" hidden="false" customHeight="false" outlineLevel="0" collapsed="false">
      <c r="A225" s="0" t="s">
        <v>102</v>
      </c>
      <c r="B225" s="0" t="s">
        <v>8</v>
      </c>
      <c r="C225" s="0" t="s">
        <v>14</v>
      </c>
      <c r="D225" s="0" t="n">
        <v>0</v>
      </c>
      <c r="E225" s="0" t="n">
        <v>4</v>
      </c>
      <c r="F225" s="0" t="n">
        <v>21</v>
      </c>
      <c r="G225" s="0" t="str">
        <f aca="false">IF(D225=E225,"-",IF(D225&gt;E225,B225,C225))</f>
        <v>Peru</v>
      </c>
      <c r="H225" s="0" t="str">
        <f aca="false">IF(D225=E225,"-",IF(D225&lt;E225,B225,C225))</f>
        <v>Ecuador</v>
      </c>
    </row>
    <row r="226" customFormat="false" ht="13.8" hidden="false" customHeight="false" outlineLevel="0" collapsed="false">
      <c r="A226" s="0" t="s">
        <v>102</v>
      </c>
      <c r="B226" s="0" t="s">
        <v>13</v>
      </c>
      <c r="C226" s="0" t="s">
        <v>16</v>
      </c>
      <c r="D226" s="0" t="n">
        <v>1</v>
      </c>
      <c r="E226" s="0" t="n">
        <v>2</v>
      </c>
      <c r="F226" s="0" t="n">
        <v>21</v>
      </c>
      <c r="G226" s="0" t="str">
        <f aca="false">IF(D226=E226,"-",IF(D226&gt;E226,B226,C226))</f>
        <v>Uruguay</v>
      </c>
      <c r="H226" s="0" t="str">
        <f aca="false">IF(D226=E226,"-",IF(D226&lt;E226,B226,C226))</f>
        <v>Paraguay</v>
      </c>
    </row>
    <row r="227" customFormat="false" ht="13.8" hidden="false" customHeight="false" outlineLevel="0" collapsed="false">
      <c r="A227" s="0" t="s">
        <v>103</v>
      </c>
      <c r="B227" s="0" t="s">
        <v>3</v>
      </c>
      <c r="C227" s="0" t="s">
        <v>8</v>
      </c>
      <c r="D227" s="0" t="n">
        <v>2</v>
      </c>
      <c r="E227" s="0" t="n">
        <v>0</v>
      </c>
      <c r="F227" s="0" t="n">
        <v>21</v>
      </c>
      <c r="G227" s="0" t="str">
        <f aca="false">IF(D227=E227,"-",IF(D227&gt;E227,B227,C227))</f>
        <v>Bolivia</v>
      </c>
      <c r="H227" s="0" t="str">
        <f aca="false">IF(D227=E227,"-",IF(D227&lt;E227,B227,C227))</f>
        <v>Ecuador</v>
      </c>
    </row>
    <row r="228" customFormat="false" ht="13.8" hidden="false" customHeight="false" outlineLevel="0" collapsed="false">
      <c r="A228" s="0" t="s">
        <v>103</v>
      </c>
      <c r="B228" s="0" t="s">
        <v>6</v>
      </c>
      <c r="C228" s="0" t="s">
        <v>16</v>
      </c>
      <c r="D228" s="0" t="n">
        <v>2</v>
      </c>
      <c r="E228" s="0" t="n">
        <v>2</v>
      </c>
      <c r="F228" s="0" t="n">
        <v>21</v>
      </c>
      <c r="G228" s="0" t="str">
        <f aca="false">IF(D228=E228,"-",IF(D228&gt;E228,B228,C228))</f>
        <v>-</v>
      </c>
      <c r="H228" s="0" t="str">
        <f aca="false">IF(D228=E228,"-",IF(D228&lt;E228,B228,C228))</f>
        <v>-</v>
      </c>
    </row>
    <row r="229" customFormat="false" ht="13.8" hidden="false" customHeight="false" outlineLevel="0" collapsed="false">
      <c r="A229" s="0" t="s">
        <v>103</v>
      </c>
      <c r="B229" s="0" t="s">
        <v>14</v>
      </c>
      <c r="C229" s="0" t="s">
        <v>4</v>
      </c>
      <c r="D229" s="0" t="n">
        <v>1</v>
      </c>
      <c r="E229" s="0" t="n">
        <v>7</v>
      </c>
      <c r="F229" s="0" t="n">
        <v>21</v>
      </c>
      <c r="G229" s="0" t="str">
        <f aca="false">IF(D229=E229,"-",IF(D229&gt;E229,B229,C229))</f>
        <v>Brazil</v>
      </c>
      <c r="H229" s="0" t="str">
        <f aca="false">IF(D229=E229,"-",IF(D229&lt;E229,B229,C229))</f>
        <v>Peru</v>
      </c>
    </row>
    <row r="230" customFormat="false" ht="13.8" hidden="false" customHeight="false" outlineLevel="0" collapsed="false">
      <c r="A230" s="0" t="s">
        <v>104</v>
      </c>
      <c r="B230" s="0" t="s">
        <v>5</v>
      </c>
      <c r="C230" s="0" t="s">
        <v>13</v>
      </c>
      <c r="D230" s="0" t="n">
        <v>2</v>
      </c>
      <c r="E230" s="0" t="n">
        <v>4</v>
      </c>
      <c r="F230" s="0" t="n">
        <v>21</v>
      </c>
      <c r="G230" s="0" t="str">
        <f aca="false">IF(D230=E230,"-",IF(D230&gt;E230,B230,C230))</f>
        <v>Paraguay</v>
      </c>
      <c r="H230" s="0" t="str">
        <f aca="false">IF(D230=E230,"-",IF(D230&lt;E230,B230,C230))</f>
        <v>Chile</v>
      </c>
    </row>
    <row r="231" customFormat="false" ht="13.8" hidden="false" customHeight="false" outlineLevel="0" collapsed="false">
      <c r="A231" s="0" t="s">
        <v>104</v>
      </c>
      <c r="B231" s="0" t="s">
        <v>3</v>
      </c>
      <c r="C231" s="0" t="s">
        <v>14</v>
      </c>
      <c r="D231" s="0" t="n">
        <v>0</v>
      </c>
      <c r="E231" s="0" t="n">
        <v>3</v>
      </c>
      <c r="F231" s="0" t="n">
        <v>21</v>
      </c>
      <c r="G231" s="0" t="str">
        <f aca="false">IF(D231=E231,"-",IF(D231&gt;E231,B231,C231))</f>
        <v>Peru</v>
      </c>
      <c r="H231" s="0" t="str">
        <f aca="false">IF(D231=E231,"-",IF(D231&lt;E231,B231,C231))</f>
        <v>Bolivia</v>
      </c>
    </row>
    <row r="232" customFormat="false" ht="13.8" hidden="false" customHeight="false" outlineLevel="0" collapsed="false">
      <c r="A232" s="0" t="s">
        <v>105</v>
      </c>
      <c r="B232" s="0" t="s">
        <v>16</v>
      </c>
      <c r="C232" s="0" t="s">
        <v>4</v>
      </c>
      <c r="D232" s="0" t="n">
        <v>1</v>
      </c>
      <c r="E232" s="0" t="n">
        <v>5</v>
      </c>
      <c r="F232" s="0" t="n">
        <v>21</v>
      </c>
      <c r="G232" s="0" t="str">
        <f aca="false">IF(D232=E232,"-",IF(D232&gt;E232,B232,C232))</f>
        <v>Brazil</v>
      </c>
      <c r="H232" s="0" t="str">
        <f aca="false">IF(D232=E232,"-",IF(D232&lt;E232,B232,C232))</f>
        <v>Uruguay</v>
      </c>
    </row>
    <row r="233" customFormat="false" ht="13.8" hidden="false" customHeight="false" outlineLevel="0" collapsed="false">
      <c r="A233" s="0" t="s">
        <v>105</v>
      </c>
      <c r="B233" s="0" t="s">
        <v>3</v>
      </c>
      <c r="C233" s="0" t="s">
        <v>13</v>
      </c>
      <c r="D233" s="0" t="n">
        <v>0</v>
      </c>
      <c r="E233" s="0" t="n">
        <v>7</v>
      </c>
      <c r="F233" s="0" t="n">
        <v>21</v>
      </c>
      <c r="G233" s="0" t="str">
        <f aca="false">IF(D233=E233,"-",IF(D233&gt;E233,B233,C233))</f>
        <v>Paraguay</v>
      </c>
      <c r="H233" s="0" t="str">
        <f aca="false">IF(D233=E233,"-",IF(D233&lt;E233,B233,C233))</f>
        <v>Bolivia</v>
      </c>
    </row>
    <row r="234" customFormat="false" ht="13.8" hidden="false" customHeight="false" outlineLevel="0" collapsed="false">
      <c r="A234" s="0" t="s">
        <v>105</v>
      </c>
      <c r="B234" s="0" t="s">
        <v>5</v>
      </c>
      <c r="C234" s="0" t="s">
        <v>14</v>
      </c>
      <c r="D234" s="0" t="n">
        <v>0</v>
      </c>
      <c r="E234" s="0" t="n">
        <v>3</v>
      </c>
      <c r="F234" s="0" t="n">
        <v>21</v>
      </c>
      <c r="G234" s="0" t="str">
        <f aca="false">IF(D234=E234,"-",IF(D234&gt;E234,B234,C234))</f>
        <v>Peru</v>
      </c>
      <c r="H234" s="0" t="str">
        <f aca="false">IF(D234=E234,"-",IF(D234&lt;E234,B234,C234))</f>
        <v>Chile</v>
      </c>
    </row>
    <row r="235" customFormat="false" ht="13.8" hidden="false" customHeight="false" outlineLevel="0" collapsed="false">
      <c r="A235" s="11" t="n">
        <v>18021</v>
      </c>
      <c r="B235" s="0" t="s">
        <v>6</v>
      </c>
      <c r="C235" s="0" t="s">
        <v>8</v>
      </c>
      <c r="D235" s="0" t="n">
        <v>1</v>
      </c>
      <c r="E235" s="0" t="n">
        <v>4</v>
      </c>
      <c r="F235" s="0" t="n">
        <v>21</v>
      </c>
      <c r="G235" s="0" t="str">
        <f aca="false">IF(D235=E235,"-",IF(D235&gt;E235,B235,C235))</f>
        <v>Ecuador</v>
      </c>
      <c r="H235" s="0" t="str">
        <f aca="false">IF(D235=E235,"-",IF(D235&lt;E235,B235,C235))</f>
        <v>Colombia</v>
      </c>
    </row>
    <row r="236" customFormat="false" ht="13.8" hidden="false" customHeight="false" outlineLevel="0" collapsed="false">
      <c r="A236" s="11" t="n">
        <v>18022</v>
      </c>
      <c r="B236" s="0" t="s">
        <v>14</v>
      </c>
      <c r="C236" s="0" t="s">
        <v>16</v>
      </c>
      <c r="D236" s="0" t="n">
        <v>4</v>
      </c>
      <c r="E236" s="0" t="n">
        <v>3</v>
      </c>
      <c r="F236" s="0" t="n">
        <v>21</v>
      </c>
      <c r="G236" s="0" t="str">
        <f aca="false">IF(D236=E236,"-",IF(D236&gt;E236,B236,C236))</f>
        <v>Peru</v>
      </c>
      <c r="H236" s="0" t="str">
        <f aca="false">IF(D236=E236,"-",IF(D236&lt;E236,B236,C236))</f>
        <v>Uruguay</v>
      </c>
    </row>
    <row r="237" customFormat="false" ht="13.8" hidden="false" customHeight="false" outlineLevel="0" collapsed="false">
      <c r="A237" s="11" t="n">
        <v>18024</v>
      </c>
      <c r="B237" s="0" t="s">
        <v>3</v>
      </c>
      <c r="C237" s="0" t="s">
        <v>6</v>
      </c>
      <c r="D237" s="0" t="n">
        <v>4</v>
      </c>
      <c r="E237" s="0" t="n">
        <v>0</v>
      </c>
      <c r="F237" s="0" t="n">
        <v>21</v>
      </c>
      <c r="G237" s="0" t="str">
        <f aca="false">IF(D237=E237,"-",IF(D237&gt;E237,B237,C237))</f>
        <v>Bolivia</v>
      </c>
      <c r="H237" s="0" t="str">
        <f aca="false">IF(D237=E237,"-",IF(D237&lt;E237,B237,C237))</f>
        <v>Colombia</v>
      </c>
    </row>
    <row r="238" customFormat="false" ht="13.8" hidden="false" customHeight="false" outlineLevel="0" collapsed="false">
      <c r="A238" s="11" t="n">
        <v>18026</v>
      </c>
      <c r="B238" s="0" t="s">
        <v>5</v>
      </c>
      <c r="C238" s="0" t="s">
        <v>16</v>
      </c>
      <c r="D238" s="0" t="n">
        <v>3</v>
      </c>
      <c r="E238" s="0" t="n">
        <v>1</v>
      </c>
      <c r="F238" s="0" t="n">
        <v>21</v>
      </c>
      <c r="G238" s="0" t="str">
        <f aca="false">IF(D238=E238,"-",IF(D238&gt;E238,B238,C238))</f>
        <v>Chile</v>
      </c>
      <c r="H238" s="0" t="str">
        <f aca="false">IF(D238=E238,"-",IF(D238&lt;E238,B238,C238))</f>
        <v>Uruguay</v>
      </c>
    </row>
    <row r="239" customFormat="false" ht="13.8" hidden="false" customHeight="false" outlineLevel="0" collapsed="false">
      <c r="A239" s="11" t="n">
        <v>18026</v>
      </c>
      <c r="B239" s="0" t="s">
        <v>13</v>
      </c>
      <c r="C239" s="0" t="s">
        <v>4</v>
      </c>
      <c r="D239" s="0" t="n">
        <v>2</v>
      </c>
      <c r="E239" s="0" t="n">
        <v>1</v>
      </c>
      <c r="F239" s="0" t="n">
        <v>21</v>
      </c>
      <c r="G239" s="0" t="str">
        <f aca="false">IF(D239=E239,"-",IF(D239&gt;E239,B239,C239))</f>
        <v>Paraguay</v>
      </c>
      <c r="H239" s="0" t="str">
        <f aca="false">IF(D239=E239,"-",IF(D239&lt;E239,B239,C239))</f>
        <v>Brazil</v>
      </c>
    </row>
    <row r="240" customFormat="false" ht="13.8" hidden="false" customHeight="false" outlineLevel="0" collapsed="false">
      <c r="A240" s="11" t="n">
        <v>18029</v>
      </c>
      <c r="B240" s="0" t="s">
        <v>13</v>
      </c>
      <c r="C240" s="0" t="s">
        <v>4</v>
      </c>
      <c r="D240" s="0" t="n">
        <v>0</v>
      </c>
      <c r="E240" s="0" t="n">
        <v>7</v>
      </c>
      <c r="F240" s="0" t="n">
        <v>21</v>
      </c>
      <c r="G240" s="0" t="str">
        <f aca="false">IF(D240=E240,"-",IF(D240&gt;E240,B240,C240))</f>
        <v>Brazil</v>
      </c>
      <c r="H240" s="0" t="str">
        <f aca="false">IF(D240=E240,"-",IF(D240&lt;E240,B240,C240))</f>
        <v>Paraguay</v>
      </c>
    </row>
    <row r="241" customFormat="false" ht="13.8" hidden="false" customHeight="false" outlineLevel="0" collapsed="false">
      <c r="A241" s="11" t="n">
        <v>19412</v>
      </c>
      <c r="B241" s="0" t="s">
        <v>3</v>
      </c>
      <c r="C241" s="0" t="s">
        <v>14</v>
      </c>
      <c r="D241" s="0" t="n">
        <v>1</v>
      </c>
      <c r="E241" s="0" t="n">
        <v>0</v>
      </c>
      <c r="F241" s="0" t="n">
        <v>22</v>
      </c>
      <c r="G241" s="0" t="str">
        <f aca="false">IF(D241=E241,"-",IF(D241&gt;E241,B241,C241))</f>
        <v>Bolivia</v>
      </c>
      <c r="H241" s="0" t="str">
        <f aca="false">IF(D241=E241,"-",IF(D241&lt;E241,B241,C241))</f>
        <v>Peru</v>
      </c>
    </row>
    <row r="242" customFormat="false" ht="13.8" hidden="false" customHeight="false" outlineLevel="0" collapsed="false">
      <c r="A242" s="11" t="n">
        <v>19415</v>
      </c>
      <c r="B242" s="0" t="s">
        <v>3</v>
      </c>
      <c r="C242" s="0" t="s">
        <v>16</v>
      </c>
      <c r="D242" s="0" t="n">
        <v>0</v>
      </c>
      <c r="E242" s="0" t="n">
        <v>2</v>
      </c>
      <c r="F242" s="0" t="n">
        <v>22</v>
      </c>
      <c r="G242" s="0" t="str">
        <f aca="false">IF(D242=E242,"-",IF(D242&gt;E242,B242,C242))</f>
        <v>Uruguay</v>
      </c>
      <c r="H242" s="0" t="str">
        <f aca="false">IF(D242=E242,"-",IF(D242&lt;E242,B242,C242))</f>
        <v>Bolivia</v>
      </c>
    </row>
    <row r="243" customFormat="false" ht="13.8" hidden="false" customHeight="false" outlineLevel="0" collapsed="false">
      <c r="A243" s="11" t="n">
        <v>19415</v>
      </c>
      <c r="B243" s="0" t="s">
        <v>5</v>
      </c>
      <c r="C243" s="0" t="s">
        <v>13</v>
      </c>
      <c r="D243" s="0" t="n">
        <v>0</v>
      </c>
      <c r="E243" s="0" t="n">
        <v>3</v>
      </c>
      <c r="F243" s="0" t="n">
        <v>22</v>
      </c>
      <c r="G243" s="0" t="str">
        <f aca="false">IF(D243=E243,"-",IF(D243&gt;E243,B243,C243))</f>
        <v>Paraguay</v>
      </c>
      <c r="H243" s="0" t="str">
        <f aca="false">IF(D243=E243,"-",IF(D243&lt;E243,B243,C243))</f>
        <v>Chile</v>
      </c>
    </row>
    <row r="244" customFormat="false" ht="13.8" hidden="false" customHeight="false" outlineLevel="0" collapsed="false">
      <c r="A244" s="11" t="n">
        <v>19418</v>
      </c>
      <c r="B244" s="0" t="s">
        <v>8</v>
      </c>
      <c r="C244" s="0" t="s">
        <v>14</v>
      </c>
      <c r="D244" s="0" t="n">
        <v>0</v>
      </c>
      <c r="E244" s="0" t="n">
        <v>1</v>
      </c>
      <c r="F244" s="0" t="n">
        <v>22</v>
      </c>
      <c r="G244" s="0" t="str">
        <f aca="false">IF(D244=E244,"-",IF(D244&gt;E244,B244,C244))</f>
        <v>Peru</v>
      </c>
      <c r="H244" s="0" t="str">
        <f aca="false">IF(D244=E244,"-",IF(D244&lt;E244,B244,C244))</f>
        <v>Ecuador</v>
      </c>
    </row>
    <row r="245" customFormat="false" ht="13.8" hidden="false" customHeight="false" outlineLevel="0" collapsed="false">
      <c r="A245" s="11" t="n">
        <v>19419</v>
      </c>
      <c r="B245" s="0" t="s">
        <v>5</v>
      </c>
      <c r="C245" s="0" t="s">
        <v>16</v>
      </c>
      <c r="D245" s="0" t="n">
        <v>3</v>
      </c>
      <c r="E245" s="0" t="n">
        <v>2</v>
      </c>
      <c r="F245" s="0" t="n">
        <v>22</v>
      </c>
      <c r="G245" s="0" t="str">
        <f aca="false">IF(D245=E245,"-",IF(D245&gt;E245,B245,C245))</f>
        <v>Chile</v>
      </c>
      <c r="H245" s="0" t="str">
        <f aca="false">IF(D245=E245,"-",IF(D245&lt;E245,B245,C245))</f>
        <v>Uruguay</v>
      </c>
    </row>
    <row r="246" customFormat="false" ht="13.8" hidden="false" customHeight="false" outlineLevel="0" collapsed="false">
      <c r="A246" s="11" t="n">
        <v>19419</v>
      </c>
      <c r="B246" s="0" t="s">
        <v>3</v>
      </c>
      <c r="C246" s="0" t="s">
        <v>4</v>
      </c>
      <c r="D246" s="0" t="n">
        <v>1</v>
      </c>
      <c r="E246" s="0" t="n">
        <v>8</v>
      </c>
      <c r="F246" s="0" t="n">
        <v>22</v>
      </c>
      <c r="G246" s="0" t="str">
        <f aca="false">IF(D246=E246,"-",IF(D246&gt;E246,B246,C246))</f>
        <v>Brazil</v>
      </c>
      <c r="H246" s="0" t="str">
        <f aca="false">IF(D246=E246,"-",IF(D246&lt;E246,B246,C246))</f>
        <v>Bolivia</v>
      </c>
    </row>
    <row r="247" customFormat="false" ht="13.8" hidden="false" customHeight="false" outlineLevel="0" collapsed="false">
      <c r="A247" s="11" t="n">
        <v>19422</v>
      </c>
      <c r="B247" s="0" t="s">
        <v>8</v>
      </c>
      <c r="C247" s="0" t="s">
        <v>13</v>
      </c>
      <c r="D247" s="0" t="n">
        <v>0</v>
      </c>
      <c r="E247" s="0" t="n">
        <v>0</v>
      </c>
      <c r="F247" s="0" t="n">
        <v>22</v>
      </c>
      <c r="G247" s="0" t="str">
        <f aca="false">IF(D247=E247,"-",IF(D247&gt;E247,B247,C247))</f>
        <v>-</v>
      </c>
      <c r="H247" s="0" t="str">
        <f aca="false">IF(D247=E247,"-",IF(D247&lt;E247,B247,C247))</f>
        <v>-</v>
      </c>
    </row>
    <row r="248" customFormat="false" ht="13.8" hidden="false" customHeight="false" outlineLevel="0" collapsed="false">
      <c r="A248" s="11" t="n">
        <v>19422</v>
      </c>
      <c r="B248" s="0" t="s">
        <v>5</v>
      </c>
      <c r="C248" s="0" t="s">
        <v>14</v>
      </c>
      <c r="D248" s="0" t="n">
        <v>0</v>
      </c>
      <c r="E248" s="0" t="n">
        <v>0</v>
      </c>
      <c r="F248" s="0" t="n">
        <v>22</v>
      </c>
      <c r="G248" s="0" t="str">
        <f aca="false">IF(D248=E248,"-",IF(D248&gt;E248,B248,C248))</f>
        <v>-</v>
      </c>
      <c r="H248" s="0" t="str">
        <f aca="false">IF(D248=E248,"-",IF(D248&lt;E248,B248,C248))</f>
        <v>-</v>
      </c>
    </row>
    <row r="249" customFormat="false" ht="13.8" hidden="false" customHeight="false" outlineLevel="0" collapsed="false">
      <c r="A249" s="11" t="n">
        <v>19426</v>
      </c>
      <c r="B249" s="0" t="s">
        <v>13</v>
      </c>
      <c r="C249" s="0" t="s">
        <v>14</v>
      </c>
      <c r="D249" s="0" t="n">
        <v>2</v>
      </c>
      <c r="E249" s="0" t="n">
        <v>2</v>
      </c>
      <c r="F249" s="0" t="n">
        <v>22</v>
      </c>
      <c r="G249" s="0" t="str">
        <f aca="false">IF(D249=E249,"-",IF(D249&gt;E249,B249,C249))</f>
        <v>-</v>
      </c>
      <c r="H249" s="0" t="str">
        <f aca="false">IF(D249=E249,"-",IF(D249&lt;E249,B249,C249))</f>
        <v>-</v>
      </c>
    </row>
    <row r="250" customFormat="false" ht="13.8" hidden="false" customHeight="false" outlineLevel="0" collapsed="false">
      <c r="A250" s="11" t="n">
        <v>19426</v>
      </c>
      <c r="B250" s="0" t="s">
        <v>3</v>
      </c>
      <c r="C250" s="0" t="s">
        <v>8</v>
      </c>
      <c r="D250" s="0" t="n">
        <v>1</v>
      </c>
      <c r="E250" s="0" t="n">
        <v>1</v>
      </c>
      <c r="F250" s="0" t="n">
        <v>22</v>
      </c>
      <c r="G250" s="0" t="str">
        <f aca="false">IF(D250=E250,"-",IF(D250&gt;E250,B250,C250))</f>
        <v>-</v>
      </c>
      <c r="H250" s="0" t="str">
        <f aca="false">IF(D250=E250,"-",IF(D250&lt;E250,B250,C250))</f>
        <v>-</v>
      </c>
    </row>
    <row r="251" customFormat="false" ht="13.8" hidden="false" customHeight="false" outlineLevel="0" collapsed="false">
      <c r="A251" s="11" t="n">
        <v>19430</v>
      </c>
      <c r="B251" s="0" t="s">
        <v>13</v>
      </c>
      <c r="C251" s="0" t="s">
        <v>16</v>
      </c>
      <c r="D251" s="0" t="n">
        <v>2</v>
      </c>
      <c r="E251" s="0" t="n">
        <v>2</v>
      </c>
      <c r="F251" s="0" t="n">
        <v>22</v>
      </c>
      <c r="G251" s="0" t="str">
        <f aca="false">IF(D251=E251,"-",IF(D251&gt;E251,B251,C251))</f>
        <v>-</v>
      </c>
      <c r="H251" s="0" t="str">
        <f aca="false">IF(D251=E251,"-",IF(D251&lt;E251,B251,C251))</f>
        <v>-</v>
      </c>
    </row>
    <row r="252" customFormat="false" ht="13.8" hidden="false" customHeight="false" outlineLevel="0" collapsed="false">
      <c r="A252" s="11" t="n">
        <v>19430</v>
      </c>
      <c r="B252" s="0" t="s">
        <v>8</v>
      </c>
      <c r="C252" s="0" t="s">
        <v>4</v>
      </c>
      <c r="D252" s="0" t="n">
        <v>0</v>
      </c>
      <c r="E252" s="0" t="n">
        <v>2</v>
      </c>
      <c r="F252" s="0" t="n">
        <v>22</v>
      </c>
      <c r="G252" s="0" t="str">
        <f aca="false">IF(D252=E252,"-",IF(D252&gt;E252,B252,C252))</f>
        <v>Brazil</v>
      </c>
      <c r="H252" s="0" t="str">
        <f aca="false">IF(D252=E252,"-",IF(D252&lt;E252,B252,C252))</f>
        <v>Ecuador</v>
      </c>
    </row>
    <row r="253" customFormat="false" ht="13.8" hidden="false" customHeight="false" outlineLevel="0" collapsed="false">
      <c r="A253" s="11" t="n">
        <v>19433</v>
      </c>
      <c r="B253" s="0" t="s">
        <v>16</v>
      </c>
      <c r="C253" s="0" t="s">
        <v>4</v>
      </c>
      <c r="D253" s="0" t="n">
        <v>0</v>
      </c>
      <c r="E253" s="0" t="n">
        <v>1</v>
      </c>
      <c r="F253" s="0" t="n">
        <v>22</v>
      </c>
      <c r="G253" s="0" t="str">
        <f aca="false">IF(D253=E253,"-",IF(D253&gt;E253,B253,C253))</f>
        <v>Brazil</v>
      </c>
      <c r="H253" s="0" t="str">
        <f aca="false">IF(D253=E253,"-",IF(D253&lt;E253,B253,C253))</f>
        <v>Uruguay</v>
      </c>
    </row>
    <row r="254" customFormat="false" ht="13.8" hidden="false" customHeight="false" outlineLevel="0" collapsed="false">
      <c r="A254" s="11" t="n">
        <v>19434</v>
      </c>
      <c r="B254" s="0" t="s">
        <v>3</v>
      </c>
      <c r="C254" s="0" t="s">
        <v>13</v>
      </c>
      <c r="D254" s="0" t="n">
        <v>1</v>
      </c>
      <c r="E254" s="0" t="n">
        <v>2</v>
      </c>
      <c r="F254" s="0" t="n">
        <v>22</v>
      </c>
      <c r="G254" s="0" t="str">
        <f aca="false">IF(D254=E254,"-",IF(D254&gt;E254,B254,C254))</f>
        <v>Paraguay</v>
      </c>
      <c r="H254" s="0" t="str">
        <f aca="false">IF(D254=E254,"-",IF(D254&lt;E254,B254,C254))</f>
        <v>Bolivia</v>
      </c>
    </row>
    <row r="255" customFormat="false" ht="13.8" hidden="false" customHeight="false" outlineLevel="0" collapsed="false">
      <c r="A255" s="11" t="n">
        <v>19437</v>
      </c>
      <c r="B255" s="0" t="s">
        <v>5</v>
      </c>
      <c r="C255" s="0" t="s">
        <v>8</v>
      </c>
      <c r="D255" s="0" t="n">
        <v>3</v>
      </c>
      <c r="E255" s="0" t="n">
        <v>0</v>
      </c>
      <c r="F255" s="0" t="n">
        <v>22</v>
      </c>
      <c r="G255" s="0" t="str">
        <f aca="false">IF(D255=E255,"-",IF(D255&gt;E255,B255,C255))</f>
        <v>Chile</v>
      </c>
      <c r="H255" s="0" t="str">
        <f aca="false">IF(D255=E255,"-",IF(D255&lt;E255,B255,C255))</f>
        <v>Ecuador</v>
      </c>
    </row>
    <row r="256" customFormat="false" ht="13.8" hidden="false" customHeight="false" outlineLevel="0" collapsed="false">
      <c r="A256" s="11" t="n">
        <v>19437</v>
      </c>
      <c r="B256" s="0" t="s">
        <v>14</v>
      </c>
      <c r="C256" s="0" t="s">
        <v>4</v>
      </c>
      <c r="D256" s="0" t="n">
        <v>1</v>
      </c>
      <c r="E256" s="0" t="n">
        <v>0</v>
      </c>
      <c r="F256" s="0" t="n">
        <v>22</v>
      </c>
      <c r="G256" s="0" t="str">
        <f aca="false">IF(D256=E256,"-",IF(D256&gt;E256,B256,C256))</f>
        <v>Peru</v>
      </c>
      <c r="H256" s="0" t="str">
        <f aca="false">IF(D256=E256,"-",IF(D256&lt;E256,B256,C256))</f>
        <v>Brazil</v>
      </c>
    </row>
    <row r="257" customFormat="false" ht="13.8" hidden="false" customHeight="false" outlineLevel="0" collapsed="false">
      <c r="A257" s="13" t="n">
        <v>19441</v>
      </c>
      <c r="B257" s="14" t="s">
        <v>5</v>
      </c>
      <c r="C257" s="14" t="s">
        <v>4</v>
      </c>
      <c r="D257" s="14" t="n">
        <v>2</v>
      </c>
      <c r="E257" s="14" t="n">
        <v>3</v>
      </c>
      <c r="F257" s="14" t="n">
        <v>22</v>
      </c>
      <c r="G257" s="14" t="str">
        <f aca="false">IF(D257=E257,"-",IF(D257&gt;E257,B257,C257))</f>
        <v>Brazil</v>
      </c>
      <c r="H257" s="14" t="str">
        <f aca="false">IF(D257=E257,"-",IF(D257&lt;E257,B257,C257))</f>
        <v>Chile</v>
      </c>
    </row>
    <row r="258" customFormat="false" ht="13.8" hidden="false" customHeight="false" outlineLevel="0" collapsed="false">
      <c r="A258" s="11" t="n">
        <v>19441</v>
      </c>
      <c r="B258" s="0" t="s">
        <v>8</v>
      </c>
      <c r="C258" s="0" t="s">
        <v>16</v>
      </c>
      <c r="D258" s="0" t="n">
        <v>0</v>
      </c>
      <c r="E258" s="0" t="n">
        <v>6</v>
      </c>
      <c r="F258" s="0" t="n">
        <v>22</v>
      </c>
      <c r="G258" s="0" t="str">
        <f aca="false">IF(D258=E258,"-",IF(D258&gt;E258,B258,C258))</f>
        <v>Uruguay</v>
      </c>
      <c r="H258" s="0" t="str">
        <f aca="false">IF(D258=E258,"-",IF(D258&lt;E258,B258,C258))</f>
        <v>Ecuador</v>
      </c>
    </row>
    <row r="259" customFormat="false" ht="13.8" hidden="false" customHeight="false" outlineLevel="0" collapsed="false">
      <c r="A259" s="11" t="n">
        <v>19445</v>
      </c>
      <c r="B259" s="0" t="s">
        <v>13</v>
      </c>
      <c r="C259" s="0" t="s">
        <v>4</v>
      </c>
      <c r="D259" s="0" t="n">
        <v>2</v>
      </c>
      <c r="E259" s="0" t="n">
        <v>1</v>
      </c>
      <c r="F259" s="0" t="n">
        <v>22</v>
      </c>
      <c r="G259" s="0" t="str">
        <f aca="false">IF(D259=E259,"-",IF(D259&gt;E259,B259,C259))</f>
        <v>Paraguay</v>
      </c>
      <c r="H259" s="0" t="str">
        <f aca="false">IF(D259=E259,"-",IF(D259&lt;E259,B259,C259))</f>
        <v>Brazil</v>
      </c>
    </row>
    <row r="260" customFormat="false" ht="13.8" hidden="false" customHeight="false" outlineLevel="0" collapsed="false">
      <c r="A260" s="11" t="n">
        <v>19446</v>
      </c>
      <c r="B260" s="0" t="s">
        <v>14</v>
      </c>
      <c r="C260" s="0" t="s">
        <v>16</v>
      </c>
      <c r="D260" s="0" t="n">
        <v>0</v>
      </c>
      <c r="E260" s="0" t="n">
        <v>3</v>
      </c>
      <c r="F260" s="0" t="n">
        <v>22</v>
      </c>
      <c r="G260" s="0" t="str">
        <f aca="false">IF(D260=E260,"-",IF(D260&gt;E260,B260,C260))</f>
        <v>Uruguay</v>
      </c>
      <c r="H260" s="0" t="str">
        <f aca="false">IF(D260=E260,"-",IF(D260&lt;E260,B260,C260))</f>
        <v>Peru</v>
      </c>
    </row>
    <row r="261" customFormat="false" ht="13.8" hidden="false" customHeight="false" outlineLevel="0" collapsed="false">
      <c r="A261" s="11" t="n">
        <v>19446</v>
      </c>
      <c r="B261" s="0" t="s">
        <v>3</v>
      </c>
      <c r="C261" s="0" t="s">
        <v>5</v>
      </c>
      <c r="D261" s="0" t="n">
        <v>2</v>
      </c>
      <c r="E261" s="0" t="n">
        <v>2</v>
      </c>
      <c r="F261" s="0" t="n">
        <v>22</v>
      </c>
      <c r="G261" s="0" t="str">
        <f aca="false">IF(D261=E261,"-",IF(D261&gt;E261,B261,C261))</f>
        <v>-</v>
      </c>
      <c r="H261" s="0" t="str">
        <f aca="false">IF(D261=E261,"-",IF(D261&lt;E261,B261,C261))</f>
        <v>-</v>
      </c>
    </row>
    <row r="262" customFormat="false" ht="13.8" hidden="false" customHeight="false" outlineLevel="0" collapsed="false">
      <c r="A262" s="0" t="s">
        <v>106</v>
      </c>
      <c r="B262" s="0" t="s">
        <v>13</v>
      </c>
      <c r="C262" s="0" t="s">
        <v>4</v>
      </c>
      <c r="D262" s="0" t="n">
        <v>3</v>
      </c>
      <c r="E262" s="0" t="n">
        <v>2</v>
      </c>
      <c r="F262" s="0" t="n">
        <v>22</v>
      </c>
      <c r="G262" s="0" t="str">
        <f aca="false">IF(D262=E262,"-",IF(D262&gt;E262,B262,C262))</f>
        <v>Paraguay</v>
      </c>
      <c r="H262" s="0" t="str">
        <f aca="false">IF(D262=E262,"-",IF(D262&lt;E262,B262,C262))</f>
        <v>Brazil</v>
      </c>
    </row>
    <row r="263" customFormat="false" ht="13.8" hidden="false" customHeight="false" outlineLevel="0" collapsed="false">
      <c r="A263" s="11" t="n">
        <v>20147</v>
      </c>
      <c r="B263" s="0" t="s">
        <v>5</v>
      </c>
      <c r="C263" s="0" t="s">
        <v>8</v>
      </c>
      <c r="D263" s="0" t="n">
        <v>7</v>
      </c>
      <c r="E263" s="0" t="n">
        <v>1</v>
      </c>
      <c r="F263" s="0" t="n">
        <v>23</v>
      </c>
      <c r="G263" s="0" t="str">
        <f aca="false">IF(D263=E263,"-",IF(D263&gt;E263,B263,C263))</f>
        <v>Chile</v>
      </c>
      <c r="H263" s="0" t="str">
        <f aca="false">IF(D263=E263,"-",IF(D263&lt;E263,B263,C263))</f>
        <v>Ecuador</v>
      </c>
    </row>
    <row r="264" customFormat="false" ht="13.8" hidden="false" customHeight="false" outlineLevel="0" collapsed="false">
      <c r="A264" s="11" t="n">
        <v>20150</v>
      </c>
      <c r="B264" s="0" t="s">
        <v>2</v>
      </c>
      <c r="C264" s="0" t="s">
        <v>13</v>
      </c>
      <c r="D264" s="0" t="n">
        <v>5</v>
      </c>
      <c r="E264" s="0" t="n">
        <v>3</v>
      </c>
      <c r="F264" s="0" t="n">
        <v>23</v>
      </c>
      <c r="G264" s="0" t="str">
        <f aca="false">IF(D264=E264,"-",IF(D264&gt;E264,B264,C264))</f>
        <v>Argentina</v>
      </c>
      <c r="H264" s="0" t="str">
        <f aca="false">IF(D264=E264,"-",IF(D264&lt;E264,B264,C264))</f>
        <v>Paraguay</v>
      </c>
    </row>
    <row r="265" customFormat="false" ht="13.8" hidden="false" customHeight="false" outlineLevel="0" collapsed="false">
      <c r="A265" s="11" t="n">
        <v>20154</v>
      </c>
      <c r="B265" s="0" t="s">
        <v>5</v>
      </c>
      <c r="C265" s="0" t="s">
        <v>14</v>
      </c>
      <c r="D265" s="0" t="n">
        <v>5</v>
      </c>
      <c r="E265" s="0" t="n">
        <v>4</v>
      </c>
      <c r="F265" s="0" t="n">
        <v>23</v>
      </c>
      <c r="G265" s="0" t="str">
        <f aca="false">IF(D265=E265,"-",IF(D265&gt;E265,B265,C265))</f>
        <v>Chile</v>
      </c>
      <c r="H265" s="0" t="str">
        <f aca="false">IF(D265=E265,"-",IF(D265&lt;E265,B265,C265))</f>
        <v>Peru</v>
      </c>
    </row>
    <row r="266" customFormat="false" ht="13.8" hidden="false" customHeight="false" outlineLevel="0" collapsed="false">
      <c r="A266" s="11" t="n">
        <v>20157</v>
      </c>
      <c r="B266" s="0" t="s">
        <v>13</v>
      </c>
      <c r="C266" s="0" t="s">
        <v>16</v>
      </c>
      <c r="D266" s="0" t="n">
        <v>1</v>
      </c>
      <c r="E266" s="0" t="n">
        <v>3</v>
      </c>
      <c r="F266" s="0" t="n">
        <v>23</v>
      </c>
      <c r="G266" s="0" t="str">
        <f aca="false">IF(D266=E266,"-",IF(D266&gt;E266,B266,C266))</f>
        <v>Uruguay</v>
      </c>
      <c r="H266" s="0" t="str">
        <f aca="false">IF(D266=E266,"-",IF(D266&lt;E266,B266,C266))</f>
        <v>Paraguay</v>
      </c>
    </row>
    <row r="267" customFormat="false" ht="13.8" hidden="false" customHeight="false" outlineLevel="0" collapsed="false">
      <c r="A267" s="11" t="n">
        <v>20157</v>
      </c>
      <c r="B267" s="0" t="s">
        <v>2</v>
      </c>
      <c r="C267" s="0" t="s">
        <v>8</v>
      </c>
      <c r="D267" s="0" t="n">
        <v>4</v>
      </c>
      <c r="E267" s="0" t="n">
        <v>0</v>
      </c>
      <c r="F267" s="0" t="n">
        <v>23</v>
      </c>
      <c r="G267" s="0" t="str">
        <f aca="false">IF(D267=E267,"-",IF(D267&gt;E267,B267,C267))</f>
        <v>Argentina</v>
      </c>
      <c r="H267" s="0" t="str">
        <f aca="false">IF(D267=E267,"-",IF(D267&lt;E267,B267,C267))</f>
        <v>Ecuador</v>
      </c>
    </row>
    <row r="268" customFormat="false" ht="13.8" hidden="false" customHeight="false" outlineLevel="0" collapsed="false">
      <c r="A268" s="11" t="n">
        <v>20161</v>
      </c>
      <c r="B268" s="0" t="s">
        <v>5</v>
      </c>
      <c r="C268" s="0" t="s">
        <v>16</v>
      </c>
      <c r="D268" s="0" t="n">
        <v>2</v>
      </c>
      <c r="E268" s="0" t="n">
        <v>2</v>
      </c>
      <c r="F268" s="0" t="n">
        <v>23</v>
      </c>
      <c r="G268" s="0" t="str">
        <f aca="false">IF(D268=E268,"-",IF(D268&gt;E268,B268,C268))</f>
        <v>-</v>
      </c>
      <c r="H268" s="0" t="str">
        <f aca="false">IF(D268=E268,"-",IF(D268&lt;E268,B268,C268))</f>
        <v>-</v>
      </c>
    </row>
    <row r="269" customFormat="false" ht="13.8" hidden="false" customHeight="false" outlineLevel="0" collapsed="false">
      <c r="A269" s="11" t="n">
        <v>20161</v>
      </c>
      <c r="B269" s="0" t="s">
        <v>8</v>
      </c>
      <c r="C269" s="0" t="s">
        <v>14</v>
      </c>
      <c r="D269" s="0" t="n">
        <v>2</v>
      </c>
      <c r="E269" s="0" t="n">
        <v>4</v>
      </c>
      <c r="F269" s="0" t="n">
        <v>23</v>
      </c>
      <c r="G269" s="0" t="str">
        <f aca="false">IF(D269=E269,"-",IF(D269&gt;E269,B269,C269))</f>
        <v>Peru</v>
      </c>
      <c r="H269" s="0" t="str">
        <f aca="false">IF(D269=E269,"-",IF(D269&lt;E269,B269,C269))</f>
        <v>Ecuador</v>
      </c>
    </row>
    <row r="270" customFormat="false" ht="13.8" hidden="false" customHeight="false" outlineLevel="0" collapsed="false">
      <c r="A270" s="11" t="n">
        <v>20164</v>
      </c>
      <c r="B270" s="0" t="s">
        <v>8</v>
      </c>
      <c r="C270" s="0" t="s">
        <v>13</v>
      </c>
      <c r="D270" s="0" t="n">
        <v>0</v>
      </c>
      <c r="E270" s="0" t="n">
        <v>2</v>
      </c>
      <c r="F270" s="0" t="n">
        <v>23</v>
      </c>
      <c r="G270" s="0" t="str">
        <f aca="false">IF(D270=E270,"-",IF(D270&gt;E270,B270,C270))</f>
        <v>Paraguay</v>
      </c>
      <c r="H270" s="0" t="str">
        <f aca="false">IF(D270=E270,"-",IF(D270&lt;E270,B270,C270))</f>
        <v>Ecuador</v>
      </c>
    </row>
    <row r="271" customFormat="false" ht="13.8" hidden="false" customHeight="false" outlineLevel="0" collapsed="false">
      <c r="A271" s="11" t="n">
        <v>20164</v>
      </c>
      <c r="B271" s="0" t="s">
        <v>2</v>
      </c>
      <c r="C271" s="0" t="s">
        <v>14</v>
      </c>
      <c r="D271" s="0" t="n">
        <v>2</v>
      </c>
      <c r="E271" s="0" t="n">
        <v>2</v>
      </c>
      <c r="F271" s="0" t="n">
        <v>23</v>
      </c>
      <c r="G271" s="0" t="str">
        <f aca="false">IF(D271=E271,"-",IF(D271&gt;E271,B271,C271))</f>
        <v>-</v>
      </c>
      <c r="H271" s="0" t="str">
        <f aca="false">IF(D271=E271,"-",IF(D271&lt;E271,B271,C271))</f>
        <v>-</v>
      </c>
    </row>
    <row r="272" customFormat="false" ht="13.8" hidden="false" customHeight="false" outlineLevel="0" collapsed="false">
      <c r="A272" s="11" t="n">
        <v>20168</v>
      </c>
      <c r="B272" s="0" t="s">
        <v>5</v>
      </c>
      <c r="C272" s="0" t="s">
        <v>13</v>
      </c>
      <c r="D272" s="0" t="n">
        <v>5</v>
      </c>
      <c r="E272" s="0" t="n">
        <v>0</v>
      </c>
      <c r="F272" s="0" t="n">
        <v>23</v>
      </c>
      <c r="G272" s="0" t="str">
        <f aca="false">IF(D272=E272,"-",IF(D272&gt;E272,B272,C272))</f>
        <v>Chile</v>
      </c>
      <c r="H272" s="0" t="str">
        <f aca="false">IF(D272=E272,"-",IF(D272&lt;E272,B272,C272))</f>
        <v>Paraguay</v>
      </c>
    </row>
    <row r="273" customFormat="false" ht="13.8" hidden="false" customHeight="false" outlineLevel="0" collapsed="false">
      <c r="A273" s="11" t="n">
        <v>20171</v>
      </c>
      <c r="B273" s="0" t="s">
        <v>8</v>
      </c>
      <c r="C273" s="0" t="s">
        <v>16</v>
      </c>
      <c r="D273" s="0" t="n">
        <v>1</v>
      </c>
      <c r="E273" s="0" t="n">
        <v>5</v>
      </c>
      <c r="F273" s="0" t="n">
        <v>23</v>
      </c>
      <c r="G273" s="0" t="str">
        <f aca="false">IF(D273=E273,"-",IF(D273&gt;E273,B273,C273))</f>
        <v>Uruguay</v>
      </c>
      <c r="H273" s="0" t="str">
        <f aca="false">IF(D273=E273,"-",IF(D273&lt;E273,B273,C273))</f>
        <v>Ecuador</v>
      </c>
    </row>
    <row r="274" customFormat="false" ht="13.8" hidden="false" customHeight="false" outlineLevel="0" collapsed="false">
      <c r="A274" s="11" t="n">
        <v>20171</v>
      </c>
      <c r="B274" s="0" t="s">
        <v>13</v>
      </c>
      <c r="C274" s="0" t="s">
        <v>14</v>
      </c>
      <c r="D274" s="0" t="n">
        <v>1</v>
      </c>
      <c r="E274" s="0" t="n">
        <v>1</v>
      </c>
      <c r="F274" s="0" t="n">
        <v>23</v>
      </c>
      <c r="G274" s="0" t="str">
        <f aca="false">IF(D274=E274,"-",IF(D274&gt;E274,B274,C274))</f>
        <v>-</v>
      </c>
      <c r="H274" s="0" t="str">
        <f aca="false">IF(D274=E274,"-",IF(D274&lt;E274,B274,C274))</f>
        <v>-</v>
      </c>
    </row>
    <row r="275" customFormat="false" ht="13.8" hidden="false" customHeight="false" outlineLevel="0" collapsed="false">
      <c r="A275" s="11" t="n">
        <v>20175</v>
      </c>
      <c r="B275" s="0" t="s">
        <v>2</v>
      </c>
      <c r="C275" s="0" t="s">
        <v>16</v>
      </c>
      <c r="D275" s="0" t="n">
        <v>6</v>
      </c>
      <c r="E275" s="0" t="n">
        <v>1</v>
      </c>
      <c r="F275" s="0" t="n">
        <v>23</v>
      </c>
      <c r="G275" s="0" t="str">
        <f aca="false">IF(D275=E275,"-",IF(D275&gt;E275,B275,C275))</f>
        <v>Argentina</v>
      </c>
      <c r="H275" s="0" t="str">
        <f aca="false">IF(D275=E275,"-",IF(D275&lt;E275,B275,C275))</f>
        <v>Uruguay</v>
      </c>
    </row>
    <row r="276" customFormat="false" ht="13.8" hidden="false" customHeight="false" outlineLevel="0" collapsed="false">
      <c r="A276" s="11" t="n">
        <v>20178</v>
      </c>
      <c r="B276" s="0" t="s">
        <v>2</v>
      </c>
      <c r="C276" s="0" t="s">
        <v>5</v>
      </c>
      <c r="D276" s="0" t="n">
        <v>1</v>
      </c>
      <c r="E276" s="0" t="n">
        <v>0</v>
      </c>
      <c r="F276" s="0" t="n">
        <v>23</v>
      </c>
      <c r="G276" s="0" t="str">
        <f aca="false">IF(D276=E276,"-",IF(D276&gt;E276,B276,C276))</f>
        <v>Argentina</v>
      </c>
      <c r="H276" s="0" t="str">
        <f aca="false">IF(D276=E276,"-",IF(D276&lt;E276,B276,C276))</f>
        <v>Chile</v>
      </c>
    </row>
    <row r="277" customFormat="false" ht="13.8" hidden="false" customHeight="false" outlineLevel="0" collapsed="false">
      <c r="A277" s="11" t="n">
        <v>20178</v>
      </c>
      <c r="B277" s="0" t="s">
        <v>14</v>
      </c>
      <c r="C277" s="0" t="s">
        <v>16</v>
      </c>
      <c r="D277" s="0" t="n">
        <v>2</v>
      </c>
      <c r="E277" s="0" t="n">
        <v>1</v>
      </c>
      <c r="F277" s="0" t="n">
        <v>23</v>
      </c>
      <c r="G277" s="0" t="str">
        <f aca="false">IF(D277=E277,"-",IF(D277&gt;E277,B277,C277))</f>
        <v>Peru</v>
      </c>
      <c r="H277" s="0" t="str">
        <f aca="false">IF(D277=E277,"-",IF(D277&lt;E277,B277,C277))</f>
        <v>Uruguay</v>
      </c>
    </row>
    <row r="278" customFormat="false" ht="13.8" hidden="false" customHeight="false" outlineLevel="0" collapsed="false">
      <c r="A278" s="0" t="s">
        <v>107</v>
      </c>
      <c r="B278" s="0" t="s">
        <v>13</v>
      </c>
      <c r="C278" s="0" t="s">
        <v>16</v>
      </c>
      <c r="D278" s="0" t="n">
        <v>2</v>
      </c>
      <c r="E278" s="0" t="n">
        <v>4</v>
      </c>
      <c r="F278" s="0" t="n">
        <v>24</v>
      </c>
      <c r="G278" s="0" t="str">
        <f aca="false">IF(D278=E278,"-",IF(D278&gt;E278,B278,C278))</f>
        <v>Uruguay</v>
      </c>
      <c r="H278" s="0" t="str">
        <f aca="false">IF(D278=E278,"-",IF(D278&lt;E278,B278,C278))</f>
        <v>Paraguay</v>
      </c>
    </row>
    <row r="279" customFormat="false" ht="13.8" hidden="false" customHeight="false" outlineLevel="0" collapsed="false">
      <c r="A279" s="0" t="s">
        <v>108</v>
      </c>
      <c r="B279" s="0" t="s">
        <v>2</v>
      </c>
      <c r="C279" s="0" t="s">
        <v>14</v>
      </c>
      <c r="D279" s="0" t="n">
        <v>2</v>
      </c>
      <c r="E279" s="0" t="n">
        <v>1</v>
      </c>
      <c r="F279" s="0" t="n">
        <v>24</v>
      </c>
      <c r="G279" s="0" t="str">
        <f aca="false">IF(D279=E279,"-",IF(D279&gt;E279,B279,C279))</f>
        <v>Argentina</v>
      </c>
      <c r="H279" s="0" t="str">
        <f aca="false">IF(D279=E279,"-",IF(D279&lt;E279,B279,C279))</f>
        <v>Peru</v>
      </c>
    </row>
    <row r="280" customFormat="false" ht="13.8" hidden="false" customHeight="false" outlineLevel="0" collapsed="false">
      <c r="A280" s="0" t="s">
        <v>109</v>
      </c>
      <c r="B280" s="0" t="s">
        <v>5</v>
      </c>
      <c r="C280" s="0" t="s">
        <v>4</v>
      </c>
      <c r="D280" s="0" t="n">
        <v>4</v>
      </c>
      <c r="E280" s="0" t="n">
        <v>1</v>
      </c>
      <c r="F280" s="0" t="n">
        <v>24</v>
      </c>
      <c r="G280" s="0" t="str">
        <f aca="false">IF(D280=E280,"-",IF(D280&gt;E280,B280,C280))</f>
        <v>Chile</v>
      </c>
      <c r="H280" s="0" t="str">
        <f aca="false">IF(D280=E280,"-",IF(D280&lt;E280,B280,C280))</f>
        <v>Brazil</v>
      </c>
    </row>
    <row r="281" customFormat="false" ht="13.8" hidden="false" customHeight="false" outlineLevel="0" collapsed="false">
      <c r="A281" s="0" t="s">
        <v>110</v>
      </c>
      <c r="B281" s="0" t="s">
        <v>14</v>
      </c>
      <c r="C281" s="0" t="s">
        <v>16</v>
      </c>
      <c r="D281" s="0" t="n">
        <v>0</v>
      </c>
      <c r="E281" s="0" t="n">
        <v>2</v>
      </c>
      <c r="F281" s="0" t="n">
        <v>24</v>
      </c>
      <c r="G281" s="0" t="str">
        <f aca="false">IF(D281=E281,"-",IF(D281&gt;E281,B281,C281))</f>
        <v>Uruguay</v>
      </c>
      <c r="H281" s="0" t="str">
        <f aca="false">IF(D281=E281,"-",IF(D281&lt;E281,B281,C281))</f>
        <v>Peru</v>
      </c>
    </row>
    <row r="282" customFormat="false" ht="13.8" hidden="false" customHeight="false" outlineLevel="0" collapsed="false">
      <c r="A282" s="0" t="s">
        <v>111</v>
      </c>
      <c r="B282" s="0" t="s">
        <v>13</v>
      </c>
      <c r="C282" s="0" t="s">
        <v>4</v>
      </c>
      <c r="D282" s="0" t="n">
        <v>0</v>
      </c>
      <c r="E282" s="0" t="n">
        <v>0</v>
      </c>
      <c r="F282" s="0" t="n">
        <v>24</v>
      </c>
      <c r="G282" s="0" t="str">
        <f aca="false">IF(D282=E282,"-",IF(D282&gt;E282,B282,C282))</f>
        <v>-</v>
      </c>
      <c r="H282" s="0" t="str">
        <f aca="false">IF(D282=E282,"-",IF(D282&lt;E282,B282,C282))</f>
        <v>-</v>
      </c>
    </row>
    <row r="283" customFormat="false" ht="13.8" hidden="false" customHeight="false" outlineLevel="0" collapsed="false">
      <c r="A283" s="0" t="s">
        <v>111</v>
      </c>
      <c r="B283" s="0" t="s">
        <v>2</v>
      </c>
      <c r="C283" s="0" t="s">
        <v>5</v>
      </c>
      <c r="D283" s="0" t="n">
        <v>2</v>
      </c>
      <c r="E283" s="0" t="n">
        <v>0</v>
      </c>
      <c r="F283" s="0" t="n">
        <v>24</v>
      </c>
      <c r="G283" s="0" t="str">
        <f aca="false">IF(D283=E283,"-",IF(D283&gt;E283,B283,C283))</f>
        <v>Argentina</v>
      </c>
      <c r="H283" s="0" t="str">
        <f aca="false">IF(D283=E283,"-",IF(D283&lt;E283,B283,C283))</f>
        <v>Chile</v>
      </c>
    </row>
    <row r="284" customFormat="false" ht="13.8" hidden="false" customHeight="false" outlineLevel="0" collapsed="false">
      <c r="A284" s="11" t="n">
        <v>20486</v>
      </c>
      <c r="B284" s="0" t="s">
        <v>14</v>
      </c>
      <c r="C284" s="0" t="s">
        <v>4</v>
      </c>
      <c r="D284" s="0" t="n">
        <v>1</v>
      </c>
      <c r="E284" s="0" t="n">
        <v>2</v>
      </c>
      <c r="F284" s="0" t="n">
        <v>24</v>
      </c>
      <c r="G284" s="0" t="str">
        <f aca="false">IF(D284=E284,"-",IF(D284&gt;E284,B284,C284))</f>
        <v>Brazil</v>
      </c>
      <c r="H284" s="0" t="str">
        <f aca="false">IF(D284=E284,"-",IF(D284&lt;E284,B284,C284))</f>
        <v>Peru</v>
      </c>
    </row>
    <row r="285" customFormat="false" ht="13.8" hidden="false" customHeight="false" outlineLevel="0" collapsed="false">
      <c r="A285" s="11" t="n">
        <v>20486</v>
      </c>
      <c r="B285" s="0" t="s">
        <v>2</v>
      </c>
      <c r="C285" s="0" t="s">
        <v>13</v>
      </c>
      <c r="D285" s="0" t="n">
        <v>1</v>
      </c>
      <c r="E285" s="0" t="n">
        <v>0</v>
      </c>
      <c r="F285" s="0" t="n">
        <v>24</v>
      </c>
      <c r="G285" s="0" t="str">
        <f aca="false">IF(D285=E285,"-",IF(D285&gt;E285,B285,C285))</f>
        <v>Argentina</v>
      </c>
      <c r="H285" s="0" t="str">
        <f aca="false">IF(D285=E285,"-",IF(D285&lt;E285,B285,C285))</f>
        <v>Paraguay</v>
      </c>
    </row>
    <row r="286" customFormat="false" ht="13.8" hidden="false" customHeight="false" outlineLevel="0" collapsed="false">
      <c r="A286" s="11" t="n">
        <v>20490</v>
      </c>
      <c r="B286" s="0" t="s">
        <v>2</v>
      </c>
      <c r="C286" s="0" t="s">
        <v>4</v>
      </c>
      <c r="D286" s="0" t="n">
        <v>0</v>
      </c>
      <c r="E286" s="0" t="n">
        <v>1</v>
      </c>
      <c r="F286" s="0" t="n">
        <v>24</v>
      </c>
      <c r="G286" s="0" t="str">
        <f aca="false">IF(D286=E286,"-",IF(D286&gt;E286,B286,C286))</f>
        <v>Brazil</v>
      </c>
      <c r="H286" s="0" t="str">
        <f aca="false">IF(D286=E286,"-",IF(D286&lt;E286,B286,C286))</f>
        <v>Argentina</v>
      </c>
    </row>
    <row r="287" customFormat="false" ht="13.8" hidden="false" customHeight="false" outlineLevel="0" collapsed="false">
      <c r="A287" s="11" t="n">
        <v>20490</v>
      </c>
      <c r="B287" s="0" t="s">
        <v>13</v>
      </c>
      <c r="C287" s="0" t="s">
        <v>14</v>
      </c>
      <c r="D287" s="0" t="n">
        <v>1</v>
      </c>
      <c r="E287" s="0" t="n">
        <v>1</v>
      </c>
      <c r="F287" s="0" t="n">
        <v>24</v>
      </c>
      <c r="G287" s="0" t="str">
        <f aca="false">IF(D287=E287,"-",IF(D287&gt;E287,B287,C287))</f>
        <v>-</v>
      </c>
      <c r="H287" s="0" t="str">
        <f aca="false">IF(D287=E287,"-",IF(D287&lt;E287,B287,C287))</f>
        <v>-</v>
      </c>
    </row>
    <row r="288" customFormat="false" ht="13.8" hidden="false" customHeight="false" outlineLevel="0" collapsed="false">
      <c r="A288" s="11" t="n">
        <v>20491</v>
      </c>
      <c r="B288" s="0" t="s">
        <v>5</v>
      </c>
      <c r="C288" s="0" t="s">
        <v>16</v>
      </c>
      <c r="D288" s="0" t="n">
        <v>1</v>
      </c>
      <c r="E288" s="0" t="n">
        <v>2</v>
      </c>
      <c r="F288" s="0" t="n">
        <v>24</v>
      </c>
      <c r="G288" s="0" t="str">
        <f aca="false">IF(D288=E288,"-",IF(D288&gt;E288,B288,C288))</f>
        <v>Uruguay</v>
      </c>
      <c r="H288" s="0" t="str">
        <f aca="false">IF(D288=E288,"-",IF(D288&lt;E288,B288,C288))</f>
        <v>Chile</v>
      </c>
    </row>
    <row r="289" customFormat="false" ht="13.8" hidden="false" customHeight="false" outlineLevel="0" collapsed="false">
      <c r="A289" s="11" t="n">
        <v>20494</v>
      </c>
      <c r="B289" s="0" t="s">
        <v>5</v>
      </c>
      <c r="C289" s="0" t="s">
        <v>14</v>
      </c>
      <c r="D289" s="0" t="n">
        <v>4</v>
      </c>
      <c r="E289" s="0" t="n">
        <v>3</v>
      </c>
      <c r="F289" s="0" t="n">
        <v>24</v>
      </c>
      <c r="G289" s="0" t="str">
        <f aca="false">IF(D289=E289,"-",IF(D289&gt;E289,B289,C289))</f>
        <v>Chile</v>
      </c>
      <c r="H289" s="0" t="str">
        <f aca="false">IF(D289=E289,"-",IF(D289&lt;E289,B289,C289))</f>
        <v>Peru</v>
      </c>
    </row>
    <row r="290" customFormat="false" ht="13.8" hidden="false" customHeight="false" outlineLevel="0" collapsed="false">
      <c r="A290" s="11" t="n">
        <v>20495</v>
      </c>
      <c r="B290" s="0" t="s">
        <v>16</v>
      </c>
      <c r="C290" s="0" t="s">
        <v>4</v>
      </c>
      <c r="D290" s="0" t="n">
        <v>0</v>
      </c>
      <c r="E290" s="0" t="n">
        <v>0</v>
      </c>
      <c r="F290" s="0" t="n">
        <v>24</v>
      </c>
      <c r="G290" s="0" t="str">
        <f aca="false">IF(D290=E290,"-",IF(D290&gt;E290,B290,C290))</f>
        <v>-</v>
      </c>
      <c r="H290" s="0" t="str">
        <f aca="false">IF(D290=E290,"-",IF(D290&lt;E290,B290,C290))</f>
        <v>-</v>
      </c>
    </row>
    <row r="291" customFormat="false" ht="13.8" hidden="false" customHeight="false" outlineLevel="0" collapsed="false">
      <c r="A291" s="11" t="n">
        <v>20497</v>
      </c>
      <c r="B291" s="0" t="s">
        <v>5</v>
      </c>
      <c r="C291" s="0" t="s">
        <v>13</v>
      </c>
      <c r="D291" s="0" t="n">
        <v>2</v>
      </c>
      <c r="E291" s="0" t="n">
        <v>0</v>
      </c>
      <c r="F291" s="0" t="n">
        <v>24</v>
      </c>
      <c r="G291" s="0" t="str">
        <f aca="false">IF(D291=E291,"-",IF(D291&gt;E291,B291,C291))</f>
        <v>Chile</v>
      </c>
      <c r="H291" s="0" t="str">
        <f aca="false">IF(D291=E291,"-",IF(D291&lt;E291,B291,C291))</f>
        <v>Paraguay</v>
      </c>
    </row>
    <row r="292" customFormat="false" ht="13.8" hidden="false" customHeight="false" outlineLevel="0" collapsed="false">
      <c r="A292" s="11" t="n">
        <v>20500</v>
      </c>
      <c r="B292" s="0" t="s">
        <v>2</v>
      </c>
      <c r="C292" s="0" t="s">
        <v>16</v>
      </c>
      <c r="D292" s="0" t="n">
        <v>0</v>
      </c>
      <c r="E292" s="0" t="n">
        <v>1</v>
      </c>
      <c r="F292" s="0" t="n">
        <v>24</v>
      </c>
      <c r="G292" s="0" t="str">
        <f aca="false">IF(D292=E292,"-",IF(D292&gt;E292,B292,C292))</f>
        <v>Uruguay</v>
      </c>
      <c r="H292" s="0" t="str">
        <f aca="false">IF(D292=E292,"-",IF(D292&lt;E292,B292,C292))</f>
        <v>Argentina</v>
      </c>
    </row>
    <row r="293" customFormat="false" ht="13.8" hidden="false" customHeight="false" outlineLevel="0" collapsed="false">
      <c r="A293" s="11" t="n">
        <v>20886</v>
      </c>
      <c r="B293" s="0" t="s">
        <v>8</v>
      </c>
      <c r="C293" s="0" t="s">
        <v>16</v>
      </c>
      <c r="D293" s="0" t="n">
        <v>2</v>
      </c>
      <c r="E293" s="0" t="n">
        <v>5</v>
      </c>
      <c r="F293" s="0" t="n">
        <v>25</v>
      </c>
      <c r="G293" s="0" t="str">
        <f aca="false">IF(D293=E293,"-",IF(D293&gt;E293,B293,C293))</f>
        <v>Uruguay</v>
      </c>
      <c r="H293" s="0" t="str">
        <f aca="false">IF(D293=E293,"-",IF(D293&lt;E293,B293,C293))</f>
        <v>Ecuador</v>
      </c>
    </row>
    <row r="294" customFormat="false" ht="13.8" hidden="false" customHeight="false" outlineLevel="0" collapsed="false">
      <c r="A294" s="11" t="n">
        <v>20889</v>
      </c>
      <c r="B294" s="0" t="s">
        <v>8</v>
      </c>
      <c r="C294" s="0" t="s">
        <v>14</v>
      </c>
      <c r="D294" s="0" t="n">
        <v>1</v>
      </c>
      <c r="E294" s="0" t="n">
        <v>2</v>
      </c>
      <c r="F294" s="0" t="n">
        <v>25</v>
      </c>
      <c r="G294" s="0" t="str">
        <f aca="false">IF(D294=E294,"-",IF(D294&gt;E294,B294,C294))</f>
        <v>Peru</v>
      </c>
      <c r="H294" s="0" t="str">
        <f aca="false">IF(D294=E294,"-",IF(D294&lt;E294,B294,C294))</f>
        <v>Ecuador</v>
      </c>
    </row>
    <row r="295" customFormat="false" ht="13.8" hidden="false" customHeight="false" outlineLevel="0" collapsed="false">
      <c r="A295" s="13" t="n">
        <v>20892</v>
      </c>
      <c r="B295" s="14" t="s">
        <v>5</v>
      </c>
      <c r="C295" s="14" t="s">
        <v>4</v>
      </c>
      <c r="D295" s="14" t="n">
        <v>2</v>
      </c>
      <c r="E295" s="14" t="n">
        <v>4</v>
      </c>
      <c r="F295" s="14" t="n">
        <v>25</v>
      </c>
      <c r="G295" s="14" t="str">
        <f aca="false">IF(D295=E295,"-",IF(D295&gt;E295,B295,C295))</f>
        <v>Brazil</v>
      </c>
      <c r="H295" s="14" t="str">
        <f aca="false">IF(D295=E295,"-",IF(D295&lt;E295,B295,C295))</f>
        <v>Chile</v>
      </c>
    </row>
    <row r="296" customFormat="false" ht="13.8" hidden="false" customHeight="false" outlineLevel="0" collapsed="false">
      <c r="A296" s="11" t="n">
        <v>20892</v>
      </c>
      <c r="B296" s="0" t="s">
        <v>2</v>
      </c>
      <c r="C296" s="0" t="s">
        <v>6</v>
      </c>
      <c r="D296" s="0" t="n">
        <v>8</v>
      </c>
      <c r="E296" s="0" t="n">
        <v>2</v>
      </c>
      <c r="F296" s="0" t="n">
        <v>25</v>
      </c>
      <c r="G296" s="0" t="str">
        <f aca="false">IF(D296=E296,"-",IF(D296&gt;E296,B296,C296))</f>
        <v>Argentina</v>
      </c>
      <c r="H296" s="0" t="str">
        <f aca="false">IF(D296=E296,"-",IF(D296&lt;E296,B296,C296))</f>
        <v>Colombia</v>
      </c>
    </row>
    <row r="297" customFormat="false" ht="13.8" hidden="false" customHeight="false" outlineLevel="0" collapsed="false">
      <c r="A297" s="11" t="n">
        <v>20895</v>
      </c>
      <c r="B297" s="0" t="s">
        <v>5</v>
      </c>
      <c r="C297" s="0" t="s">
        <v>14</v>
      </c>
      <c r="D297" s="0" t="n">
        <v>0</v>
      </c>
      <c r="E297" s="0" t="n">
        <v>1</v>
      </c>
      <c r="F297" s="0" t="n">
        <v>25</v>
      </c>
      <c r="G297" s="0" t="str">
        <f aca="false">IF(D297=E297,"-",IF(D297&gt;E297,B297,C297))</f>
        <v>Peru</v>
      </c>
      <c r="H297" s="0" t="str">
        <f aca="false">IF(D297=E297,"-",IF(D297&lt;E297,B297,C297))</f>
        <v>Chile</v>
      </c>
    </row>
    <row r="298" customFormat="false" ht="13.8" hidden="false" customHeight="false" outlineLevel="0" collapsed="false">
      <c r="A298" s="11" t="n">
        <v>20896</v>
      </c>
      <c r="B298" s="0" t="s">
        <v>2</v>
      </c>
      <c r="C298" s="0" t="s">
        <v>8</v>
      </c>
      <c r="D298" s="0" t="n">
        <v>3</v>
      </c>
      <c r="E298" s="0" t="n">
        <v>0</v>
      </c>
      <c r="F298" s="0" t="n">
        <v>25</v>
      </c>
      <c r="G298" s="0" t="str">
        <f aca="false">IF(D298=E298,"-",IF(D298&gt;E298,B298,C298))</f>
        <v>Argentina</v>
      </c>
      <c r="H298" s="0" t="str">
        <f aca="false">IF(D298=E298,"-",IF(D298&lt;E298,B298,C298))</f>
        <v>Ecuador</v>
      </c>
    </row>
    <row r="299" customFormat="false" ht="13.8" hidden="false" customHeight="false" outlineLevel="0" collapsed="false">
      <c r="A299" s="11" t="n">
        <v>20896</v>
      </c>
      <c r="B299" s="0" t="s">
        <v>6</v>
      </c>
      <c r="C299" s="0" t="s">
        <v>16</v>
      </c>
      <c r="D299" s="0" t="n">
        <v>1</v>
      </c>
      <c r="E299" s="0" t="n">
        <v>0</v>
      </c>
      <c r="F299" s="0" t="n">
        <v>25</v>
      </c>
      <c r="G299" s="0" t="str">
        <f aca="false">IF(D299=E299,"-",IF(D299&gt;E299,B299,C299))</f>
        <v>Colombia</v>
      </c>
      <c r="H299" s="0" t="str">
        <f aca="false">IF(D299=E299,"-",IF(D299&lt;E299,B299,C299))</f>
        <v>Uruguay</v>
      </c>
    </row>
    <row r="300" customFormat="false" ht="13.8" hidden="false" customHeight="false" outlineLevel="0" collapsed="false">
      <c r="A300" s="11" t="n">
        <v>20899</v>
      </c>
      <c r="B300" s="0" t="s">
        <v>2</v>
      </c>
      <c r="C300" s="0" t="s">
        <v>16</v>
      </c>
      <c r="D300" s="0" t="n">
        <v>4</v>
      </c>
      <c r="E300" s="0" t="n">
        <v>0</v>
      </c>
      <c r="F300" s="0" t="n">
        <v>25</v>
      </c>
      <c r="G300" s="0" t="str">
        <f aca="false">IF(D300=E300,"-",IF(D300&gt;E300,B300,C300))</f>
        <v>Argentina</v>
      </c>
      <c r="H300" s="0" t="str">
        <f aca="false">IF(D300=E300,"-",IF(D300&lt;E300,B300,C300))</f>
        <v>Uruguay</v>
      </c>
    </row>
    <row r="301" customFormat="false" ht="13.8" hidden="false" customHeight="false" outlineLevel="0" collapsed="false">
      <c r="A301" s="11" t="n">
        <v>20900</v>
      </c>
      <c r="B301" s="0" t="s">
        <v>8</v>
      </c>
      <c r="C301" s="0" t="s">
        <v>4</v>
      </c>
      <c r="D301" s="0" t="n">
        <v>1</v>
      </c>
      <c r="E301" s="0" t="n">
        <v>7</v>
      </c>
      <c r="F301" s="0" t="n">
        <v>25</v>
      </c>
      <c r="G301" s="0" t="str">
        <f aca="false">IF(D301=E301,"-",IF(D301&gt;E301,B301,C301))</f>
        <v>Brazil</v>
      </c>
      <c r="H301" s="0" t="str">
        <f aca="false">IF(D301=E301,"-",IF(D301&lt;E301,B301,C301))</f>
        <v>Ecuador</v>
      </c>
    </row>
    <row r="302" customFormat="false" ht="13.8" hidden="false" customHeight="false" outlineLevel="0" collapsed="false">
      <c r="A302" s="11" t="n">
        <v>20900</v>
      </c>
      <c r="B302" s="0" t="s">
        <v>5</v>
      </c>
      <c r="C302" s="0" t="s">
        <v>6</v>
      </c>
      <c r="D302" s="0" t="n">
        <v>3</v>
      </c>
      <c r="E302" s="0" t="n">
        <v>2</v>
      </c>
      <c r="F302" s="0" t="n">
        <v>25</v>
      </c>
      <c r="G302" s="0" t="str">
        <f aca="false">IF(D302=E302,"-",IF(D302&gt;E302,B302,C302))</f>
        <v>Chile</v>
      </c>
      <c r="H302" s="0" t="str">
        <f aca="false">IF(D302=E302,"-",IF(D302&lt;E302,B302,C302))</f>
        <v>Colombia</v>
      </c>
    </row>
    <row r="303" customFormat="false" ht="13.8" hidden="false" customHeight="false" outlineLevel="0" collapsed="false">
      <c r="A303" s="11" t="n">
        <v>20902</v>
      </c>
      <c r="B303" s="0" t="s">
        <v>14</v>
      </c>
      <c r="C303" s="0" t="s">
        <v>16</v>
      </c>
      <c r="D303" s="0" t="n">
        <v>3</v>
      </c>
      <c r="E303" s="0" t="n">
        <v>5</v>
      </c>
      <c r="F303" s="0" t="n">
        <v>25</v>
      </c>
      <c r="G303" s="0" t="str">
        <f aca="false">IF(D303=E303,"-",IF(D303&gt;E303,B303,C303))</f>
        <v>Uruguay</v>
      </c>
      <c r="H303" s="0" t="str">
        <f aca="false">IF(D303=E303,"-",IF(D303&lt;E303,B303,C303))</f>
        <v>Peru</v>
      </c>
    </row>
    <row r="304" customFormat="false" ht="13.8" hidden="false" customHeight="false" outlineLevel="0" collapsed="false">
      <c r="A304" s="11" t="n">
        <v>20903</v>
      </c>
      <c r="B304" s="0" t="s">
        <v>6</v>
      </c>
      <c r="C304" s="0" t="s">
        <v>4</v>
      </c>
      <c r="D304" s="0" t="n">
        <v>0</v>
      </c>
      <c r="E304" s="0" t="n">
        <v>9</v>
      </c>
      <c r="F304" s="0" t="n">
        <v>25</v>
      </c>
      <c r="G304" s="0" t="str">
        <f aca="false">IF(D304=E304,"-",IF(D304&gt;E304,B304,C304))</f>
        <v>Brazil</v>
      </c>
      <c r="H304" s="0" t="str">
        <f aca="false">IF(D304=E304,"-",IF(D304&lt;E304,B304,C304))</f>
        <v>Colombia</v>
      </c>
    </row>
    <row r="305" customFormat="false" ht="13.8" hidden="false" customHeight="false" outlineLevel="0" collapsed="false">
      <c r="A305" s="11" t="n">
        <v>20903</v>
      </c>
      <c r="B305" s="0" t="s">
        <v>5</v>
      </c>
      <c r="C305" s="0" t="s">
        <v>8</v>
      </c>
      <c r="D305" s="0" t="n">
        <v>2</v>
      </c>
      <c r="E305" s="0" t="n">
        <v>2</v>
      </c>
      <c r="F305" s="0" t="n">
        <v>25</v>
      </c>
      <c r="G305" s="0" t="str">
        <f aca="false">IF(D305=E305,"-",IF(D305&gt;E305,B305,C305))</f>
        <v>-</v>
      </c>
      <c r="H305" s="0" t="str">
        <f aca="false">IF(D305=E305,"-",IF(D305&lt;E305,B305,C305))</f>
        <v>-</v>
      </c>
    </row>
    <row r="306" customFormat="false" ht="13.8" hidden="false" customHeight="false" outlineLevel="0" collapsed="false">
      <c r="A306" s="11" t="n">
        <v>20906</v>
      </c>
      <c r="B306" s="0" t="s">
        <v>6</v>
      </c>
      <c r="C306" s="0" t="s">
        <v>14</v>
      </c>
      <c r="D306" s="0" t="n">
        <v>1</v>
      </c>
      <c r="E306" s="0" t="n">
        <v>4</v>
      </c>
      <c r="F306" s="0" t="n">
        <v>25</v>
      </c>
      <c r="G306" s="0" t="str">
        <f aca="false">IF(D306=E306,"-",IF(D306&gt;E306,B306,C306))</f>
        <v>Peru</v>
      </c>
      <c r="H306" s="0" t="str">
        <f aca="false">IF(D306=E306,"-",IF(D306&lt;E306,B306,C306))</f>
        <v>Colombia</v>
      </c>
    </row>
    <row r="307" customFormat="false" ht="13.8" hidden="false" customHeight="false" outlineLevel="0" collapsed="false">
      <c r="A307" s="11" t="n">
        <v>20907</v>
      </c>
      <c r="B307" s="0" t="s">
        <v>2</v>
      </c>
      <c r="C307" s="0" t="s">
        <v>5</v>
      </c>
      <c r="D307" s="0" t="n">
        <v>6</v>
      </c>
      <c r="E307" s="0" t="n">
        <v>2</v>
      </c>
      <c r="F307" s="0" t="n">
        <v>25</v>
      </c>
      <c r="G307" s="0" t="str">
        <f aca="false">IF(D307=E307,"-",IF(D307&gt;E307,B307,C307))</f>
        <v>Argentina</v>
      </c>
      <c r="H307" s="0" t="str">
        <f aca="false">IF(D307=E307,"-",IF(D307&lt;E307,B307,C307))</f>
        <v>Chile</v>
      </c>
    </row>
    <row r="308" customFormat="false" ht="13.8" hidden="false" customHeight="false" outlineLevel="0" collapsed="false">
      <c r="A308" s="11" t="n">
        <v>20907</v>
      </c>
      <c r="B308" s="0" t="s">
        <v>16</v>
      </c>
      <c r="C308" s="0" t="s">
        <v>4</v>
      </c>
      <c r="D308" s="0" t="n">
        <v>3</v>
      </c>
      <c r="E308" s="0" t="n">
        <v>2</v>
      </c>
      <c r="F308" s="0" t="n">
        <v>25</v>
      </c>
      <c r="G308" s="0" t="str">
        <f aca="false">IF(D308=E308,"-",IF(D308&gt;E308,B308,C308))</f>
        <v>Uruguay</v>
      </c>
      <c r="H308" s="0" t="str">
        <f aca="false">IF(D308=E308,"-",IF(D308&lt;E308,B308,C308))</f>
        <v>Brazil</v>
      </c>
    </row>
    <row r="309" customFormat="false" ht="13.8" hidden="false" customHeight="false" outlineLevel="0" collapsed="false">
      <c r="A309" s="11" t="n">
        <v>20910</v>
      </c>
      <c r="B309" s="0" t="s">
        <v>14</v>
      </c>
      <c r="C309" s="0" t="s">
        <v>4</v>
      </c>
      <c r="D309" s="0" t="n">
        <v>0</v>
      </c>
      <c r="E309" s="0" t="n">
        <v>1</v>
      </c>
      <c r="F309" s="0" t="n">
        <v>25</v>
      </c>
      <c r="G309" s="0" t="str">
        <f aca="false">IF(D309=E309,"-",IF(D309&gt;E309,B309,C309))</f>
        <v>Brazil</v>
      </c>
      <c r="H309" s="0" t="str">
        <f aca="false">IF(D309=E309,"-",IF(D309&lt;E309,B309,C309))</f>
        <v>Peru</v>
      </c>
    </row>
    <row r="310" customFormat="false" ht="13.8" hidden="false" customHeight="false" outlineLevel="0" collapsed="false">
      <c r="A310" s="0" t="s">
        <v>112</v>
      </c>
      <c r="B310" s="0" t="s">
        <v>5</v>
      </c>
      <c r="C310" s="0" t="s">
        <v>16</v>
      </c>
      <c r="D310" s="0" t="n">
        <v>0</v>
      </c>
      <c r="E310" s="0" t="n">
        <v>2</v>
      </c>
      <c r="F310" s="0" t="n">
        <v>25</v>
      </c>
      <c r="G310" s="0" t="str">
        <f aca="false">IF(D310=E310,"-",IF(D310&gt;E310,B310,C310))</f>
        <v>Uruguay</v>
      </c>
      <c r="H310" s="0" t="str">
        <f aca="false">IF(D310=E310,"-",IF(D310&lt;E310,B310,C310))</f>
        <v>Chile</v>
      </c>
    </row>
    <row r="311" customFormat="false" ht="13.8" hidden="false" customHeight="false" outlineLevel="0" collapsed="false">
      <c r="A311" s="0" t="s">
        <v>112</v>
      </c>
      <c r="B311" s="0" t="s">
        <v>6</v>
      </c>
      <c r="C311" s="0" t="s">
        <v>8</v>
      </c>
      <c r="D311" s="0" t="n">
        <v>4</v>
      </c>
      <c r="E311" s="0" t="n">
        <v>1</v>
      </c>
      <c r="F311" s="0" t="n">
        <v>25</v>
      </c>
      <c r="G311" s="0" t="str">
        <f aca="false">IF(D311=E311,"-",IF(D311&gt;E311,B311,C311))</f>
        <v>Colombia</v>
      </c>
      <c r="H311" s="0" t="str">
        <f aca="false">IF(D311=E311,"-",IF(D311&lt;E311,B311,C311))</f>
        <v>Ecuador</v>
      </c>
    </row>
    <row r="312" customFormat="false" ht="13.8" hidden="false" customHeight="false" outlineLevel="0" collapsed="false">
      <c r="A312" s="0" t="s">
        <v>113</v>
      </c>
      <c r="B312" s="0" t="s">
        <v>2</v>
      </c>
      <c r="C312" s="0" t="s">
        <v>4</v>
      </c>
      <c r="D312" s="0" t="n">
        <v>3</v>
      </c>
      <c r="E312" s="0" t="n">
        <v>0</v>
      </c>
      <c r="F312" s="0" t="n">
        <v>25</v>
      </c>
      <c r="G312" s="0" t="str">
        <f aca="false">IF(D312=E312,"-",IF(D312&gt;E312,B312,C312))</f>
        <v>Argentina</v>
      </c>
      <c r="H312" s="0" t="str">
        <f aca="false">IF(D312=E312,"-",IF(D312&lt;E312,B312,C312))</f>
        <v>Brazil</v>
      </c>
    </row>
    <row r="313" customFormat="false" ht="13.8" hidden="false" customHeight="false" outlineLevel="0" collapsed="false">
      <c r="A313" s="0" t="s">
        <v>114</v>
      </c>
      <c r="B313" s="0" t="s">
        <v>2</v>
      </c>
      <c r="C313" s="0" t="s">
        <v>14</v>
      </c>
      <c r="D313" s="0" t="n">
        <v>1</v>
      </c>
      <c r="E313" s="0" t="n">
        <v>2</v>
      </c>
      <c r="F313" s="0" t="n">
        <v>25</v>
      </c>
      <c r="G313" s="0" t="str">
        <f aca="false">IF(D313=E313,"-",IF(D313&gt;E313,B313,C313))</f>
        <v>Peru</v>
      </c>
      <c r="H313" s="0" t="str">
        <f aca="false">IF(D313=E313,"-",IF(D313&lt;E313,B313,C313))</f>
        <v>Argentina</v>
      </c>
    </row>
    <row r="314" customFormat="false" ht="13.8" hidden="false" customHeight="false" outlineLevel="0" collapsed="false">
      <c r="A314" s="11" t="n">
        <v>21616</v>
      </c>
      <c r="B314" s="0" t="s">
        <v>2</v>
      </c>
      <c r="C314" s="0" t="s">
        <v>5</v>
      </c>
      <c r="D314" s="0" t="n">
        <v>6</v>
      </c>
      <c r="E314" s="0" t="n">
        <v>1</v>
      </c>
      <c r="F314" s="0" t="n">
        <v>26</v>
      </c>
      <c r="G314" s="0" t="str">
        <f aca="false">IF(D314=E314,"-",IF(D314&gt;E314,B314,C314))</f>
        <v>Argentina</v>
      </c>
      <c r="H314" s="0" t="str">
        <f aca="false">IF(D314=E314,"-",IF(D314&lt;E314,B314,C314))</f>
        <v>Chile</v>
      </c>
    </row>
    <row r="315" customFormat="false" ht="13.8" hidden="false" customHeight="false" outlineLevel="0" collapsed="false">
      <c r="A315" s="11" t="n">
        <v>21617</v>
      </c>
      <c r="B315" s="0" t="s">
        <v>3</v>
      </c>
      <c r="C315" s="0" t="s">
        <v>16</v>
      </c>
      <c r="D315" s="0" t="n">
        <v>0</v>
      </c>
      <c r="E315" s="0" t="n">
        <v>7</v>
      </c>
      <c r="F315" s="0" t="n">
        <v>26</v>
      </c>
      <c r="G315" s="0" t="str">
        <f aca="false">IF(D315=E315,"-",IF(D315&gt;E315,B315,C315))</f>
        <v>Uruguay</v>
      </c>
      <c r="H315" s="0" t="str">
        <f aca="false">IF(D315=E315,"-",IF(D315&lt;E315,B315,C315))</f>
        <v>Bolivia</v>
      </c>
    </row>
    <row r="316" customFormat="false" ht="13.8" hidden="false" customHeight="false" outlineLevel="0" collapsed="false">
      <c r="A316" s="11" t="n">
        <v>21619</v>
      </c>
      <c r="B316" s="0" t="s">
        <v>14</v>
      </c>
      <c r="C316" s="0" t="s">
        <v>4</v>
      </c>
      <c r="D316" s="0" t="n">
        <v>2</v>
      </c>
      <c r="E316" s="0" t="n">
        <v>2</v>
      </c>
      <c r="F316" s="0" t="n">
        <v>26</v>
      </c>
      <c r="G316" s="0" t="str">
        <f aca="false">IF(D316=E316,"-",IF(D316&gt;E316,B316,C316))</f>
        <v>-</v>
      </c>
      <c r="H316" s="0" t="str">
        <f aca="false">IF(D316=E316,"-",IF(D316&lt;E316,B316,C316))</f>
        <v>-</v>
      </c>
    </row>
    <row r="317" customFormat="false" ht="13.8" hidden="false" customHeight="false" outlineLevel="0" collapsed="false">
      <c r="A317" s="11" t="n">
        <v>21620</v>
      </c>
      <c r="B317" s="0" t="s">
        <v>5</v>
      </c>
      <c r="C317" s="0" t="s">
        <v>13</v>
      </c>
      <c r="D317" s="0" t="n">
        <v>1</v>
      </c>
      <c r="E317" s="0" t="n">
        <v>2</v>
      </c>
      <c r="F317" s="0" t="n">
        <v>26</v>
      </c>
      <c r="G317" s="0" t="str">
        <f aca="false">IF(D317=E317,"-",IF(D317&gt;E317,B317,C317))</f>
        <v>Paraguay</v>
      </c>
      <c r="H317" s="0" t="str">
        <f aca="false">IF(D317=E317,"-",IF(D317&lt;E317,B317,C317))</f>
        <v>Chile</v>
      </c>
    </row>
    <row r="318" customFormat="false" ht="13.8" hidden="false" customHeight="false" outlineLevel="0" collapsed="false">
      <c r="A318" s="11" t="n">
        <v>21620</v>
      </c>
      <c r="B318" s="0" t="s">
        <v>2</v>
      </c>
      <c r="C318" s="0" t="s">
        <v>3</v>
      </c>
      <c r="D318" s="0" t="n">
        <v>2</v>
      </c>
      <c r="E318" s="0" t="n">
        <v>0</v>
      </c>
      <c r="F318" s="0" t="n">
        <v>26</v>
      </c>
      <c r="G318" s="0" t="str">
        <f aca="false">IF(D318=E318,"-",IF(D318&gt;E318,B318,C318))</f>
        <v>Argentina</v>
      </c>
      <c r="H318" s="0" t="str">
        <f aca="false">IF(D318=E318,"-",IF(D318&lt;E318,B318,C318))</f>
        <v>Bolivia</v>
      </c>
    </row>
    <row r="319" customFormat="false" ht="13.8" hidden="false" customHeight="false" outlineLevel="0" collapsed="false">
      <c r="A319" s="11" t="n">
        <v>21623</v>
      </c>
      <c r="B319" s="0" t="s">
        <v>14</v>
      </c>
      <c r="C319" s="0" t="s">
        <v>16</v>
      </c>
      <c r="D319" s="0" t="n">
        <v>5</v>
      </c>
      <c r="E319" s="0" t="n">
        <v>3</v>
      </c>
      <c r="F319" s="0" t="n">
        <v>26</v>
      </c>
      <c r="G319" s="0" t="str">
        <f aca="false">IF(D319=E319,"-",IF(D319&gt;E319,B319,C319))</f>
        <v>Peru</v>
      </c>
      <c r="H319" s="0" t="str">
        <f aca="false">IF(D319=E319,"-",IF(D319&lt;E319,B319,C319))</f>
        <v>Uruguay</v>
      </c>
    </row>
    <row r="320" customFormat="false" ht="13.8" hidden="false" customHeight="false" outlineLevel="0" collapsed="false">
      <c r="A320" s="11" t="n">
        <v>21624</v>
      </c>
      <c r="B320" s="0" t="s">
        <v>3</v>
      </c>
      <c r="C320" s="0" t="s">
        <v>13</v>
      </c>
      <c r="D320" s="0" t="n">
        <v>0</v>
      </c>
      <c r="E320" s="0" t="n">
        <v>5</v>
      </c>
      <c r="F320" s="0" t="n">
        <v>26</v>
      </c>
      <c r="G320" s="0" t="str">
        <f aca="false">IF(D320=E320,"-",IF(D320&gt;E320,B320,C320))</f>
        <v>Paraguay</v>
      </c>
      <c r="H320" s="0" t="str">
        <f aca="false">IF(D320=E320,"-",IF(D320&lt;E320,B320,C320))</f>
        <v>Bolivia</v>
      </c>
    </row>
    <row r="321" customFormat="false" ht="13.8" hidden="false" customHeight="false" outlineLevel="0" collapsed="false">
      <c r="A321" s="13" t="n">
        <v>21624</v>
      </c>
      <c r="B321" s="14" t="s">
        <v>5</v>
      </c>
      <c r="C321" s="14" t="s">
        <v>4</v>
      </c>
      <c r="D321" s="14" t="n">
        <v>0</v>
      </c>
      <c r="E321" s="14" t="n">
        <v>3</v>
      </c>
      <c r="F321" s="14" t="n">
        <v>26</v>
      </c>
      <c r="G321" s="14" t="str">
        <f aca="false">IF(D321=E321,"-",IF(D321&gt;E321,B321,C321))</f>
        <v>Brazil</v>
      </c>
      <c r="H321" s="14" t="str">
        <f aca="false">IF(D321=E321,"-",IF(D321&lt;E321,B321,C321))</f>
        <v>Chile</v>
      </c>
    </row>
    <row r="322" customFormat="false" ht="13.8" hidden="false" customHeight="false" outlineLevel="0" collapsed="false">
      <c r="A322" s="11" t="n">
        <v>21627</v>
      </c>
      <c r="B322" s="0" t="s">
        <v>2</v>
      </c>
      <c r="C322" s="0" t="s">
        <v>14</v>
      </c>
      <c r="D322" s="0" t="n">
        <v>3</v>
      </c>
      <c r="E322" s="0" t="n">
        <v>1</v>
      </c>
      <c r="F322" s="0" t="n">
        <v>26</v>
      </c>
      <c r="G322" s="0" t="str">
        <f aca="false">IF(D322=E322,"-",IF(D322&gt;E322,B322,C322))</f>
        <v>Argentina</v>
      </c>
      <c r="H322" s="0" t="str">
        <f aca="false">IF(D322=E322,"-",IF(D322&lt;E322,B322,C322))</f>
        <v>Peru</v>
      </c>
    </row>
    <row r="323" customFormat="false" ht="13.8" hidden="false" customHeight="false" outlineLevel="0" collapsed="false">
      <c r="A323" s="11" t="n">
        <v>21627</v>
      </c>
      <c r="B323" s="0" t="s">
        <v>13</v>
      </c>
      <c r="C323" s="0" t="s">
        <v>16</v>
      </c>
      <c r="D323" s="0" t="n">
        <v>1</v>
      </c>
      <c r="E323" s="0" t="n">
        <v>3</v>
      </c>
      <c r="F323" s="0" t="n">
        <v>26</v>
      </c>
      <c r="G323" s="0" t="str">
        <f aca="false">IF(D323=E323,"-",IF(D323&gt;E323,B323,C323))</f>
        <v>Uruguay</v>
      </c>
      <c r="H323" s="0" t="str">
        <f aca="false">IF(D323=E323,"-",IF(D323&lt;E323,B323,C323))</f>
        <v>Paraguay</v>
      </c>
    </row>
    <row r="324" customFormat="false" ht="13.8" hidden="false" customHeight="false" outlineLevel="0" collapsed="false">
      <c r="A324" s="11" t="n">
        <v>21630</v>
      </c>
      <c r="B324" s="0" t="s">
        <v>5</v>
      </c>
      <c r="C324" s="0" t="s">
        <v>14</v>
      </c>
      <c r="D324" s="0" t="n">
        <v>1</v>
      </c>
      <c r="E324" s="0" t="n">
        <v>1</v>
      </c>
      <c r="F324" s="0" t="n">
        <v>26</v>
      </c>
      <c r="G324" s="0" t="str">
        <f aca="false">IF(D324=E324,"-",IF(D324&gt;E324,B324,C324))</f>
        <v>-</v>
      </c>
      <c r="H324" s="0" t="str">
        <f aca="false">IF(D324=E324,"-",IF(D324&lt;E324,B324,C324))</f>
        <v>-</v>
      </c>
    </row>
    <row r="325" customFormat="false" ht="13.8" hidden="false" customHeight="false" outlineLevel="0" collapsed="false">
      <c r="A325" s="11" t="n">
        <v>21630</v>
      </c>
      <c r="B325" s="0" t="s">
        <v>3</v>
      </c>
      <c r="C325" s="0" t="s">
        <v>4</v>
      </c>
      <c r="D325" s="0" t="n">
        <v>2</v>
      </c>
      <c r="E325" s="0" t="n">
        <v>4</v>
      </c>
      <c r="F325" s="0" t="n">
        <v>26</v>
      </c>
      <c r="G325" s="0" t="str">
        <f aca="false">IF(D325=E325,"-",IF(D325&gt;E325,B325,C325))</f>
        <v>Brazil</v>
      </c>
      <c r="H325" s="0" t="str">
        <f aca="false">IF(D325=E325,"-",IF(D325&lt;E325,B325,C325))</f>
        <v>Bolivia</v>
      </c>
    </row>
    <row r="326" customFormat="false" ht="13.8" hidden="false" customHeight="false" outlineLevel="0" collapsed="false">
      <c r="A326" s="11" t="n">
        <v>21631</v>
      </c>
      <c r="B326" s="0" t="s">
        <v>2</v>
      </c>
      <c r="C326" s="0" t="s">
        <v>13</v>
      </c>
      <c r="D326" s="0" t="n">
        <v>3</v>
      </c>
      <c r="E326" s="0" t="n">
        <v>1</v>
      </c>
      <c r="F326" s="0" t="n">
        <v>26</v>
      </c>
      <c r="G326" s="0" t="str">
        <f aca="false">IF(D326=E326,"-",IF(D326&gt;E326,B326,C326))</f>
        <v>Argentina</v>
      </c>
      <c r="H326" s="0" t="str">
        <f aca="false">IF(D326=E326,"-",IF(D326&lt;E326,B326,C326))</f>
        <v>Paraguay</v>
      </c>
    </row>
    <row r="327" customFormat="false" ht="13.8" hidden="false" customHeight="false" outlineLevel="0" collapsed="false">
      <c r="A327" s="11" t="n">
        <v>21635</v>
      </c>
      <c r="B327" s="0" t="s">
        <v>16</v>
      </c>
      <c r="C327" s="0" t="s">
        <v>4</v>
      </c>
      <c r="D327" s="0" t="n">
        <v>1</v>
      </c>
      <c r="E327" s="0" t="n">
        <v>3</v>
      </c>
      <c r="F327" s="0" t="n">
        <v>26</v>
      </c>
      <c r="G327" s="0" t="str">
        <f aca="false">IF(D327=E327,"-",IF(D327&gt;E327,B327,C327))</f>
        <v>Brazil</v>
      </c>
      <c r="H327" s="0" t="str">
        <f aca="false">IF(D327=E327,"-",IF(D327&lt;E327,B327,C327))</f>
        <v>Uruguay</v>
      </c>
    </row>
    <row r="328" customFormat="false" ht="13.8" hidden="false" customHeight="false" outlineLevel="0" collapsed="false">
      <c r="A328" s="11" t="n">
        <v>21635</v>
      </c>
      <c r="B328" s="0" t="s">
        <v>3</v>
      </c>
      <c r="C328" s="0" t="s">
        <v>5</v>
      </c>
      <c r="D328" s="0" t="n">
        <v>2</v>
      </c>
      <c r="E328" s="0" t="n">
        <v>5</v>
      </c>
      <c r="F328" s="0" t="n">
        <v>26</v>
      </c>
      <c r="G328" s="0" t="str">
        <f aca="false">IF(D328=E328,"-",IF(D328&gt;E328,B328,C328))</f>
        <v>Chile</v>
      </c>
      <c r="H328" s="0" t="str">
        <f aca="false">IF(D328=E328,"-",IF(D328&lt;E328,B328,C328))</f>
        <v>Bolivia</v>
      </c>
    </row>
    <row r="329" customFormat="false" ht="13.8" hidden="false" customHeight="false" outlineLevel="0" collapsed="false">
      <c r="A329" s="11" t="n">
        <v>21638</v>
      </c>
      <c r="B329" s="0" t="s">
        <v>3</v>
      </c>
      <c r="C329" s="0" t="s">
        <v>14</v>
      </c>
      <c r="D329" s="0" t="n">
        <v>0</v>
      </c>
      <c r="E329" s="0" t="n">
        <v>0</v>
      </c>
      <c r="F329" s="0" t="n">
        <v>26</v>
      </c>
      <c r="G329" s="0" t="str">
        <f aca="false">IF(D329=E329,"-",IF(D329&gt;E329,B329,C329))</f>
        <v>-</v>
      </c>
      <c r="H329" s="0" t="str">
        <f aca="false">IF(D329=E329,"-",IF(D329&lt;E329,B329,C329))</f>
        <v>-</v>
      </c>
    </row>
    <row r="330" customFormat="false" ht="13.8" hidden="false" customHeight="false" outlineLevel="0" collapsed="false">
      <c r="A330" s="11" t="n">
        <v>21638</v>
      </c>
      <c r="B330" s="0" t="s">
        <v>13</v>
      </c>
      <c r="C330" s="0" t="s">
        <v>4</v>
      </c>
      <c r="D330" s="0" t="n">
        <v>1</v>
      </c>
      <c r="E330" s="0" t="n">
        <v>4</v>
      </c>
      <c r="F330" s="0" t="n">
        <v>26</v>
      </c>
      <c r="G330" s="0" t="str">
        <f aca="false">IF(D330=E330,"-",IF(D330&gt;E330,B330,C330))</f>
        <v>Brazil</v>
      </c>
      <c r="H330" s="0" t="str">
        <f aca="false">IF(D330=E330,"-",IF(D330&lt;E330,B330,C330))</f>
        <v>Paraguay</v>
      </c>
    </row>
    <row r="331" customFormat="false" ht="13.8" hidden="false" customHeight="false" outlineLevel="0" collapsed="false">
      <c r="A331" s="11" t="n">
        <v>21639</v>
      </c>
      <c r="B331" s="0" t="s">
        <v>2</v>
      </c>
      <c r="C331" s="0" t="s">
        <v>16</v>
      </c>
      <c r="D331" s="0" t="n">
        <v>4</v>
      </c>
      <c r="E331" s="0" t="n">
        <v>1</v>
      </c>
      <c r="F331" s="0" t="n">
        <v>26</v>
      </c>
      <c r="G331" s="0" t="str">
        <f aca="false">IF(D331=E331,"-",IF(D331&gt;E331,B331,C331))</f>
        <v>Argentina</v>
      </c>
      <c r="H331" s="0" t="str">
        <f aca="false">IF(D331=E331,"-",IF(D331&lt;E331,B331,C331))</f>
        <v>Uruguay</v>
      </c>
    </row>
    <row r="332" customFormat="false" ht="13.8" hidden="false" customHeight="false" outlineLevel="0" collapsed="false">
      <c r="A332" s="0" t="s">
        <v>115</v>
      </c>
      <c r="B332" s="0" t="s">
        <v>5</v>
      </c>
      <c r="C332" s="0" t="s">
        <v>16</v>
      </c>
      <c r="D332" s="0" t="n">
        <v>1</v>
      </c>
      <c r="E332" s="0" t="n">
        <v>0</v>
      </c>
      <c r="F332" s="0" t="n">
        <v>26</v>
      </c>
      <c r="G332" s="0" t="str">
        <f aca="false">IF(D332=E332,"-",IF(D332&gt;E332,B332,C332))</f>
        <v>Chile</v>
      </c>
      <c r="H332" s="0" t="str">
        <f aca="false">IF(D332=E332,"-",IF(D332&lt;E332,B332,C332))</f>
        <v>Uruguay</v>
      </c>
    </row>
    <row r="333" customFormat="false" ht="13.8" hidden="false" customHeight="false" outlineLevel="0" collapsed="false">
      <c r="A333" s="0" t="s">
        <v>115</v>
      </c>
      <c r="B333" s="0" t="s">
        <v>13</v>
      </c>
      <c r="C333" s="0" t="s">
        <v>14</v>
      </c>
      <c r="D333" s="0" t="n">
        <v>2</v>
      </c>
      <c r="E333" s="0" t="n">
        <v>1</v>
      </c>
      <c r="F333" s="0" t="n">
        <v>26</v>
      </c>
      <c r="G333" s="0" t="str">
        <f aca="false">IF(D333=E333,"-",IF(D333&gt;E333,B333,C333))</f>
        <v>Paraguay</v>
      </c>
      <c r="H333" s="0" t="str">
        <f aca="false">IF(D333=E333,"-",IF(D333&lt;E333,B333,C333))</f>
        <v>Peru</v>
      </c>
    </row>
    <row r="334" customFormat="false" ht="13.8" hidden="false" customHeight="false" outlineLevel="0" collapsed="false">
      <c r="A334" s="0" t="s">
        <v>116</v>
      </c>
      <c r="B334" s="0" t="s">
        <v>2</v>
      </c>
      <c r="C334" s="0" t="s">
        <v>4</v>
      </c>
      <c r="D334" s="0" t="n">
        <v>1</v>
      </c>
      <c r="E334" s="0" t="n">
        <v>1</v>
      </c>
      <c r="F334" s="0" t="n">
        <v>26</v>
      </c>
      <c r="G334" s="0" t="str">
        <f aca="false">IF(D334=E334,"-",IF(D334&gt;E334,B334,C334))</f>
        <v>-</v>
      </c>
      <c r="H334" s="0" t="str">
        <f aca="false">IF(D334=E334,"-",IF(D334&lt;E334,B334,C334))</f>
        <v>-</v>
      </c>
    </row>
    <row r="335" customFormat="false" ht="13.8" hidden="false" customHeight="false" outlineLevel="0" collapsed="false">
      <c r="A335" s="0" t="s">
        <v>117</v>
      </c>
      <c r="B335" s="0" t="s">
        <v>13</v>
      </c>
      <c r="C335" s="0" t="s">
        <v>4</v>
      </c>
      <c r="D335" s="0" t="n">
        <v>2</v>
      </c>
      <c r="E335" s="0" t="n">
        <v>3</v>
      </c>
      <c r="F335" s="0" t="n">
        <v>27</v>
      </c>
      <c r="G335" s="0" t="str">
        <f aca="false">IF(D335=E335,"-",IF(D335&gt;E335,B335,C335))</f>
        <v>Brazil</v>
      </c>
      <c r="H335" s="0" t="str">
        <f aca="false">IF(D335=E335,"-",IF(D335&lt;E335,B335,C335))</f>
        <v>Paraguay</v>
      </c>
    </row>
    <row r="336" customFormat="false" ht="13.8" hidden="false" customHeight="false" outlineLevel="0" collapsed="false">
      <c r="A336" s="0" t="s">
        <v>118</v>
      </c>
      <c r="B336" s="0" t="s">
        <v>8</v>
      </c>
      <c r="C336" s="0" t="s">
        <v>16</v>
      </c>
      <c r="D336" s="0" t="n">
        <v>0</v>
      </c>
      <c r="E336" s="0" t="n">
        <v>4</v>
      </c>
      <c r="F336" s="0" t="n">
        <v>27</v>
      </c>
      <c r="G336" s="0" t="str">
        <f aca="false">IF(D336=E336,"-",IF(D336&gt;E336,B336,C336))</f>
        <v>Uruguay</v>
      </c>
      <c r="H336" s="0" t="str">
        <f aca="false">IF(D336=E336,"-",IF(D336&lt;E336,B336,C336))</f>
        <v>Ecuador</v>
      </c>
    </row>
    <row r="337" customFormat="false" ht="13.8" hidden="false" customHeight="false" outlineLevel="0" collapsed="false">
      <c r="A337" s="0" t="s">
        <v>119</v>
      </c>
      <c r="B337" s="0" t="s">
        <v>2</v>
      </c>
      <c r="C337" s="0" t="s">
        <v>13</v>
      </c>
      <c r="D337" s="0" t="n">
        <v>4</v>
      </c>
      <c r="E337" s="0" t="n">
        <v>2</v>
      </c>
      <c r="F337" s="0" t="n">
        <v>27</v>
      </c>
      <c r="G337" s="0" t="str">
        <f aca="false">IF(D337=E337,"-",IF(D337&gt;E337,B337,C337))</f>
        <v>Argentina</v>
      </c>
      <c r="H337" s="0" t="str">
        <f aca="false">IF(D337=E337,"-",IF(D337&lt;E337,B337,C337))</f>
        <v>Paraguay</v>
      </c>
    </row>
    <row r="338" customFormat="false" ht="13.8" hidden="false" customHeight="false" outlineLevel="0" collapsed="false">
      <c r="A338" s="0" t="s">
        <v>120</v>
      </c>
      <c r="B338" s="0" t="s">
        <v>2</v>
      </c>
      <c r="C338" s="0" t="s">
        <v>8</v>
      </c>
      <c r="D338" s="0" t="n">
        <v>1</v>
      </c>
      <c r="E338" s="0" t="n">
        <v>1</v>
      </c>
      <c r="F338" s="0" t="n">
        <v>27</v>
      </c>
      <c r="G338" s="0" t="str">
        <f aca="false">IF(D338=E338,"-",IF(D338&gt;E338,B338,C338))</f>
        <v>-</v>
      </c>
      <c r="H338" s="0" t="str">
        <f aca="false">IF(D338=E338,"-",IF(D338&lt;E338,B338,C338))</f>
        <v>-</v>
      </c>
    </row>
    <row r="339" customFormat="false" ht="13.8" hidden="false" customHeight="false" outlineLevel="0" collapsed="false">
      <c r="A339" s="0" t="s">
        <v>120</v>
      </c>
      <c r="B339" s="0" t="s">
        <v>16</v>
      </c>
      <c r="C339" s="0" t="s">
        <v>4</v>
      </c>
      <c r="D339" s="0" t="n">
        <v>3</v>
      </c>
      <c r="E339" s="0" t="n">
        <v>0</v>
      </c>
      <c r="F339" s="0" t="n">
        <v>27</v>
      </c>
      <c r="G339" s="0" t="str">
        <f aca="false">IF(D339=E339,"-",IF(D339&gt;E339,B339,C339))</f>
        <v>Uruguay</v>
      </c>
      <c r="H339" s="0" t="str">
        <f aca="false">IF(D339=E339,"-",IF(D339&lt;E339,B339,C339))</f>
        <v>Brazil</v>
      </c>
    </row>
    <row r="340" customFormat="false" ht="13.8" hidden="false" customHeight="false" outlineLevel="0" collapsed="false">
      <c r="A340" s="0" t="s">
        <v>121</v>
      </c>
      <c r="B340" s="0" t="s">
        <v>2</v>
      </c>
      <c r="C340" s="0" t="s">
        <v>16</v>
      </c>
      <c r="D340" s="0" t="n">
        <v>0</v>
      </c>
      <c r="E340" s="0" t="n">
        <v>5</v>
      </c>
      <c r="F340" s="0" t="n">
        <v>27</v>
      </c>
      <c r="G340" s="0" t="str">
        <f aca="false">IF(D340=E340,"-",IF(D340&gt;E340,B340,C340))</f>
        <v>Uruguay</v>
      </c>
      <c r="H340" s="0" t="str">
        <f aca="false">IF(D340=E340,"-",IF(D340&lt;E340,B340,C340))</f>
        <v>Argentina</v>
      </c>
    </row>
    <row r="341" customFormat="false" ht="13.8" hidden="false" customHeight="false" outlineLevel="0" collapsed="false">
      <c r="A341" s="0" t="s">
        <v>122</v>
      </c>
      <c r="B341" s="0" t="s">
        <v>8</v>
      </c>
      <c r="C341" s="0" t="s">
        <v>4</v>
      </c>
      <c r="D341" s="0" t="n">
        <v>1</v>
      </c>
      <c r="E341" s="0" t="n">
        <v>3</v>
      </c>
      <c r="F341" s="0" t="n">
        <v>27</v>
      </c>
      <c r="G341" s="0" t="str">
        <f aca="false">IF(D341=E341,"-",IF(D341&gt;E341,B341,C341))</f>
        <v>Brazil</v>
      </c>
      <c r="H341" s="0" t="str">
        <f aca="false">IF(D341=E341,"-",IF(D341&lt;E341,B341,C341))</f>
        <v>Ecuador</v>
      </c>
    </row>
    <row r="342" customFormat="false" ht="13.8" hidden="false" customHeight="false" outlineLevel="0" collapsed="false">
      <c r="A342" s="0" t="s">
        <v>123</v>
      </c>
      <c r="B342" s="0" t="s">
        <v>13</v>
      </c>
      <c r="C342" s="0" t="s">
        <v>16</v>
      </c>
      <c r="D342" s="0" t="n">
        <v>1</v>
      </c>
      <c r="E342" s="0" t="n">
        <v>1</v>
      </c>
      <c r="F342" s="0" t="n">
        <v>27</v>
      </c>
      <c r="G342" s="0" t="str">
        <f aca="false">IF(D342=E342,"-",IF(D342&gt;E342,B342,C342))</f>
        <v>-</v>
      </c>
      <c r="H342" s="0" t="str">
        <f aca="false">IF(D342=E342,"-",IF(D342&lt;E342,B342,C342))</f>
        <v>-</v>
      </c>
    </row>
    <row r="343" customFormat="false" ht="13.8" hidden="false" customHeight="false" outlineLevel="0" collapsed="false">
      <c r="A343" s="0" t="s">
        <v>123</v>
      </c>
      <c r="B343" s="0" t="s">
        <v>2</v>
      </c>
      <c r="C343" s="0" t="s">
        <v>4</v>
      </c>
      <c r="D343" s="0" t="n">
        <v>4</v>
      </c>
      <c r="E343" s="0" t="n">
        <v>1</v>
      </c>
      <c r="F343" s="0" t="n">
        <v>27</v>
      </c>
      <c r="G343" s="0" t="str">
        <f aca="false">IF(D343=E343,"-",IF(D343&gt;E343,B343,C343))</f>
        <v>Argentina</v>
      </c>
      <c r="H343" s="0" t="str">
        <f aca="false">IF(D343=E343,"-",IF(D343&lt;E343,B343,C343))</f>
        <v>Brazil</v>
      </c>
    </row>
    <row r="344" customFormat="false" ht="13.8" hidden="false" customHeight="false" outlineLevel="0" collapsed="false">
      <c r="A344" s="0" t="s">
        <v>124</v>
      </c>
      <c r="B344" s="0" t="s">
        <v>8</v>
      </c>
      <c r="C344" s="0" t="s">
        <v>13</v>
      </c>
      <c r="D344" s="0" t="n">
        <v>3</v>
      </c>
      <c r="E344" s="0" t="n">
        <v>1</v>
      </c>
      <c r="F344" s="0" t="n">
        <v>27</v>
      </c>
      <c r="G344" s="0" t="str">
        <f aca="false">IF(D344=E344,"-",IF(D344&gt;E344,B344,C344))</f>
        <v>Ecuador</v>
      </c>
      <c r="H344" s="0" t="str">
        <f aca="false">IF(D344=E344,"-",IF(D344&lt;E344,B344,C344))</f>
        <v>Paraguay</v>
      </c>
    </row>
    <row r="345" customFormat="false" ht="13.8" hidden="false" customHeight="false" outlineLevel="0" collapsed="false">
      <c r="A345" s="11" t="n">
        <v>23080</v>
      </c>
      <c r="B345" s="0" t="s">
        <v>14</v>
      </c>
      <c r="C345" s="0" t="s">
        <v>4</v>
      </c>
      <c r="D345" s="0" t="n">
        <v>0</v>
      </c>
      <c r="E345" s="0" t="n">
        <v>1</v>
      </c>
      <c r="F345" s="0" t="n">
        <v>28</v>
      </c>
      <c r="G345" s="0" t="str">
        <f aca="false">IF(D345=E345,"-",IF(D345&gt;E345,B345,C345))</f>
        <v>Brazil</v>
      </c>
      <c r="H345" s="0" t="str">
        <f aca="false">IF(D345=E345,"-",IF(D345&lt;E345,B345,C345))</f>
        <v>Peru</v>
      </c>
    </row>
    <row r="346" customFormat="false" ht="13.8" hidden="false" customHeight="false" outlineLevel="0" collapsed="false">
      <c r="A346" s="11" t="n">
        <v>23080</v>
      </c>
      <c r="B346" s="0" t="s">
        <v>2</v>
      </c>
      <c r="C346" s="0" t="s">
        <v>6</v>
      </c>
      <c r="D346" s="0" t="n">
        <v>4</v>
      </c>
      <c r="E346" s="0" t="n">
        <v>2</v>
      </c>
      <c r="F346" s="0" t="n">
        <v>28</v>
      </c>
      <c r="G346" s="0" t="str">
        <f aca="false">IF(D346=E346,"-",IF(D346&gt;E346,B346,C346))</f>
        <v>Argentina</v>
      </c>
      <c r="H346" s="0" t="str">
        <f aca="false">IF(D346=E346,"-",IF(D346&lt;E346,B346,C346))</f>
        <v>Colombia</v>
      </c>
    </row>
    <row r="347" customFormat="false" ht="13.8" hidden="false" customHeight="false" outlineLevel="0" collapsed="false">
      <c r="A347" s="11" t="n">
        <v>23080</v>
      </c>
      <c r="B347" s="0" t="s">
        <v>3</v>
      </c>
      <c r="C347" s="0" t="s">
        <v>8</v>
      </c>
      <c r="D347" s="0" t="n">
        <v>4</v>
      </c>
      <c r="E347" s="0" t="n">
        <v>4</v>
      </c>
      <c r="F347" s="0" t="n">
        <v>28</v>
      </c>
      <c r="G347" s="0" t="str">
        <f aca="false">IF(D347=E347,"-",IF(D347&gt;E347,B347,C347))</f>
        <v>-</v>
      </c>
      <c r="H347" s="0" t="str">
        <f aca="false">IF(D347=E347,"-",IF(D347&lt;E347,B347,C347))</f>
        <v>-</v>
      </c>
    </row>
    <row r="348" customFormat="false" ht="13.8" hidden="false" customHeight="false" outlineLevel="0" collapsed="false">
      <c r="A348" s="11" t="n">
        <v>23083</v>
      </c>
      <c r="B348" s="0" t="s">
        <v>2</v>
      </c>
      <c r="C348" s="0" t="s">
        <v>14</v>
      </c>
      <c r="D348" s="0" t="n">
        <v>1</v>
      </c>
      <c r="E348" s="0" t="n">
        <v>2</v>
      </c>
      <c r="F348" s="0" t="n">
        <v>28</v>
      </c>
      <c r="G348" s="0" t="str">
        <f aca="false">IF(D348=E348,"-",IF(D348&gt;E348,B348,C348))</f>
        <v>Peru</v>
      </c>
      <c r="H348" s="0" t="str">
        <f aca="false">IF(D348=E348,"-",IF(D348&lt;E348,B348,C348))</f>
        <v>Argentina</v>
      </c>
    </row>
    <row r="349" customFormat="false" ht="13.8" hidden="false" customHeight="false" outlineLevel="0" collapsed="false">
      <c r="A349" s="11" t="n">
        <v>23084</v>
      </c>
      <c r="B349" s="0" t="s">
        <v>8</v>
      </c>
      <c r="C349" s="0" t="s">
        <v>13</v>
      </c>
      <c r="D349" s="0" t="n">
        <v>1</v>
      </c>
      <c r="E349" s="0" t="n">
        <v>3</v>
      </c>
      <c r="F349" s="0" t="n">
        <v>28</v>
      </c>
      <c r="G349" s="0" t="str">
        <f aca="false">IF(D349=E349,"-",IF(D349&gt;E349,B349,C349))</f>
        <v>Paraguay</v>
      </c>
      <c r="H349" s="0" t="str">
        <f aca="false">IF(D349=E349,"-",IF(D349&lt;E349,B349,C349))</f>
        <v>Ecuador</v>
      </c>
    </row>
    <row r="350" customFormat="false" ht="13.8" hidden="false" customHeight="false" outlineLevel="0" collapsed="false">
      <c r="A350" s="11" t="n">
        <v>23084</v>
      </c>
      <c r="B350" s="0" t="s">
        <v>6</v>
      </c>
      <c r="C350" s="0" t="s">
        <v>4</v>
      </c>
      <c r="D350" s="0" t="n">
        <v>1</v>
      </c>
      <c r="E350" s="0" t="n">
        <v>5</v>
      </c>
      <c r="F350" s="0" t="n">
        <v>28</v>
      </c>
      <c r="G350" s="0" t="str">
        <f aca="false">IF(D350=E350,"-",IF(D350&gt;E350,B350,C350))</f>
        <v>Brazil</v>
      </c>
      <c r="H350" s="0" t="str">
        <f aca="false">IF(D350=E350,"-",IF(D350&lt;E350,B350,C350))</f>
        <v>Colombia</v>
      </c>
    </row>
    <row r="351" customFormat="false" ht="13.8" hidden="false" customHeight="false" outlineLevel="0" collapsed="false">
      <c r="A351" s="11" t="n">
        <v>23087</v>
      </c>
      <c r="B351" s="0" t="s">
        <v>13</v>
      </c>
      <c r="C351" s="0" t="s">
        <v>4</v>
      </c>
      <c r="D351" s="0" t="n">
        <v>2</v>
      </c>
      <c r="E351" s="0" t="n">
        <v>0</v>
      </c>
      <c r="F351" s="0" t="n">
        <v>28</v>
      </c>
      <c r="G351" s="0" t="str">
        <f aca="false">IF(D351=E351,"-",IF(D351&gt;E351,B351,C351))</f>
        <v>Paraguay</v>
      </c>
      <c r="H351" s="0" t="str">
        <f aca="false">IF(D351=E351,"-",IF(D351&lt;E351,B351,C351))</f>
        <v>Brazil</v>
      </c>
    </row>
    <row r="352" customFormat="false" ht="13.8" hidden="false" customHeight="false" outlineLevel="0" collapsed="false">
      <c r="A352" s="11" t="n">
        <v>23087</v>
      </c>
      <c r="B352" s="0" t="s">
        <v>3</v>
      </c>
      <c r="C352" s="0" t="s">
        <v>6</v>
      </c>
      <c r="D352" s="0" t="n">
        <v>2</v>
      </c>
      <c r="E352" s="0" t="n">
        <v>1</v>
      </c>
      <c r="F352" s="0" t="n">
        <v>28</v>
      </c>
      <c r="G352" s="0" t="str">
        <f aca="false">IF(D352=E352,"-",IF(D352&gt;E352,B352,C352))</f>
        <v>Bolivia</v>
      </c>
      <c r="H352" s="0" t="str">
        <f aca="false">IF(D352=E352,"-",IF(D352&lt;E352,B352,C352))</f>
        <v>Colombia</v>
      </c>
    </row>
    <row r="353" customFormat="false" ht="13.8" hidden="false" customHeight="false" outlineLevel="0" collapsed="false">
      <c r="A353" s="11" t="n">
        <v>23087</v>
      </c>
      <c r="B353" s="0" t="s">
        <v>8</v>
      </c>
      <c r="C353" s="0" t="s">
        <v>14</v>
      </c>
      <c r="D353" s="0" t="n">
        <v>1</v>
      </c>
      <c r="E353" s="0" t="n">
        <v>2</v>
      </c>
      <c r="F353" s="0" t="n">
        <v>28</v>
      </c>
      <c r="G353" s="0" t="str">
        <f aca="false">IF(D353=E353,"-",IF(D353&gt;E353,B353,C353))</f>
        <v>Peru</v>
      </c>
      <c r="H353" s="0" t="str">
        <f aca="false">IF(D353=E353,"-",IF(D353&lt;E353,B353,C353))</f>
        <v>Ecuador</v>
      </c>
    </row>
    <row r="354" customFormat="false" ht="13.8" hidden="false" customHeight="false" outlineLevel="0" collapsed="false">
      <c r="A354" s="11" t="n">
        <v>23090</v>
      </c>
      <c r="B354" s="0" t="s">
        <v>2</v>
      </c>
      <c r="C354" s="0" t="s">
        <v>8</v>
      </c>
      <c r="D354" s="0" t="n">
        <v>4</v>
      </c>
      <c r="E354" s="0" t="n">
        <v>2</v>
      </c>
      <c r="F354" s="0" t="n">
        <v>28</v>
      </c>
      <c r="G354" s="0" t="str">
        <f aca="false">IF(D354=E354,"-",IF(D354&gt;E354,B354,C354))</f>
        <v>Argentina</v>
      </c>
      <c r="H354" s="0" t="str">
        <f aca="false">IF(D354=E354,"-",IF(D354&lt;E354,B354,C354))</f>
        <v>Ecuador</v>
      </c>
    </row>
    <row r="355" customFormat="false" ht="13.8" hidden="false" customHeight="false" outlineLevel="0" collapsed="false">
      <c r="A355" s="11" t="n">
        <v>23090</v>
      </c>
      <c r="B355" s="0" t="s">
        <v>6</v>
      </c>
      <c r="C355" s="0" t="s">
        <v>13</v>
      </c>
      <c r="D355" s="0" t="n">
        <v>2</v>
      </c>
      <c r="E355" s="0" t="n">
        <v>3</v>
      </c>
      <c r="F355" s="0" t="n">
        <v>28</v>
      </c>
      <c r="G355" s="0" t="str">
        <f aca="false">IF(D355=E355,"-",IF(D355&gt;E355,B355,C355))</f>
        <v>Paraguay</v>
      </c>
      <c r="H355" s="0" t="str">
        <f aca="false">IF(D355=E355,"-",IF(D355&lt;E355,B355,C355))</f>
        <v>Colombia</v>
      </c>
    </row>
    <row r="356" customFormat="false" ht="13.8" hidden="false" customHeight="false" outlineLevel="0" collapsed="false">
      <c r="A356" s="11" t="n">
        <v>23091</v>
      </c>
      <c r="B356" s="0" t="s">
        <v>3</v>
      </c>
      <c r="C356" s="0" t="s">
        <v>14</v>
      </c>
      <c r="D356" s="0" t="n">
        <v>3</v>
      </c>
      <c r="E356" s="0" t="n">
        <v>2</v>
      </c>
      <c r="F356" s="0" t="n">
        <v>28</v>
      </c>
      <c r="G356" s="0" t="str">
        <f aca="false">IF(D356=E356,"-",IF(D356&gt;E356,B356,C356))</f>
        <v>Bolivia</v>
      </c>
      <c r="H356" s="0" t="str">
        <f aca="false">IF(D356=E356,"-",IF(D356&lt;E356,B356,C356))</f>
        <v>Peru</v>
      </c>
    </row>
    <row r="357" customFormat="false" ht="13.8" hidden="false" customHeight="false" outlineLevel="0" collapsed="false">
      <c r="A357" s="11" t="n">
        <v>23094</v>
      </c>
      <c r="B357" s="0" t="s">
        <v>2</v>
      </c>
      <c r="C357" s="0" t="s">
        <v>4</v>
      </c>
      <c r="D357" s="0" t="n">
        <v>3</v>
      </c>
      <c r="E357" s="0" t="n">
        <v>0</v>
      </c>
      <c r="F357" s="0" t="n">
        <v>28</v>
      </c>
      <c r="G357" s="0" t="str">
        <f aca="false">IF(D357=E357,"-",IF(D357&gt;E357,B357,C357))</f>
        <v>Argentina</v>
      </c>
      <c r="H357" s="0" t="str">
        <f aca="false">IF(D357=E357,"-",IF(D357&lt;E357,B357,C357))</f>
        <v>Brazil</v>
      </c>
    </row>
    <row r="358" customFormat="false" ht="13.8" hidden="false" customHeight="false" outlineLevel="0" collapsed="false">
      <c r="A358" s="11" t="n">
        <v>23094</v>
      </c>
      <c r="B358" s="0" t="s">
        <v>6</v>
      </c>
      <c r="C358" s="0" t="s">
        <v>14</v>
      </c>
      <c r="D358" s="0" t="n">
        <v>1</v>
      </c>
      <c r="E358" s="0" t="n">
        <v>1</v>
      </c>
      <c r="F358" s="0" t="n">
        <v>28</v>
      </c>
      <c r="G358" s="0" t="str">
        <f aca="false">IF(D358=E358,"-",IF(D358&gt;E358,B358,C358))</f>
        <v>-</v>
      </c>
      <c r="H358" s="0" t="str">
        <f aca="false">IF(D358=E358,"-",IF(D358&lt;E358,B358,C358))</f>
        <v>-</v>
      </c>
    </row>
    <row r="359" customFormat="false" ht="13.8" hidden="false" customHeight="false" outlineLevel="0" collapsed="false">
      <c r="A359" s="11" t="n">
        <v>23094</v>
      </c>
      <c r="B359" s="0" t="s">
        <v>3</v>
      </c>
      <c r="C359" s="0" t="s">
        <v>13</v>
      </c>
      <c r="D359" s="0" t="n">
        <v>2</v>
      </c>
      <c r="E359" s="0" t="n">
        <v>0</v>
      </c>
      <c r="F359" s="0" t="n">
        <v>28</v>
      </c>
      <c r="G359" s="0" t="str">
        <f aca="false">IF(D359=E359,"-",IF(D359&gt;E359,B359,C359))</f>
        <v>Bolivia</v>
      </c>
      <c r="H359" s="0" t="str">
        <f aca="false">IF(D359=E359,"-",IF(D359&lt;E359,B359,C359))</f>
        <v>Paraguay</v>
      </c>
    </row>
    <row r="360" customFormat="false" ht="13.8" hidden="false" customHeight="false" outlineLevel="0" collapsed="false">
      <c r="A360" s="11" t="n">
        <v>23097</v>
      </c>
      <c r="B360" s="0" t="s">
        <v>8</v>
      </c>
      <c r="C360" s="0" t="s">
        <v>4</v>
      </c>
      <c r="D360" s="0" t="n">
        <v>2</v>
      </c>
      <c r="E360" s="0" t="n">
        <v>2</v>
      </c>
      <c r="F360" s="0" t="n">
        <v>28</v>
      </c>
      <c r="G360" s="0" t="str">
        <f aca="false">IF(D360=E360,"-",IF(D360&gt;E360,B360,C360))</f>
        <v>-</v>
      </c>
      <c r="H360" s="0" t="str">
        <f aca="false">IF(D360=E360,"-",IF(D360&lt;E360,B360,C360))</f>
        <v>-</v>
      </c>
    </row>
    <row r="361" customFormat="false" ht="13.8" hidden="false" customHeight="false" outlineLevel="0" collapsed="false">
      <c r="A361" s="11" t="n">
        <v>23097</v>
      </c>
      <c r="B361" s="0" t="s">
        <v>13</v>
      </c>
      <c r="C361" s="0" t="s">
        <v>14</v>
      </c>
      <c r="D361" s="0" t="n">
        <v>4</v>
      </c>
      <c r="E361" s="0" t="n">
        <v>1</v>
      </c>
      <c r="F361" s="0" t="n">
        <v>28</v>
      </c>
      <c r="G361" s="0" t="str">
        <f aca="false">IF(D361=E361,"-",IF(D361&gt;E361,B361,C361))</f>
        <v>Paraguay</v>
      </c>
      <c r="H361" s="0" t="str">
        <f aca="false">IF(D361=E361,"-",IF(D361&lt;E361,B361,C361))</f>
        <v>Peru</v>
      </c>
    </row>
    <row r="362" customFormat="false" ht="13.8" hidden="false" customHeight="false" outlineLevel="0" collapsed="false">
      <c r="A362" s="11" t="n">
        <v>23098</v>
      </c>
      <c r="B362" s="0" t="s">
        <v>2</v>
      </c>
      <c r="C362" s="0" t="s">
        <v>3</v>
      </c>
      <c r="D362" s="0" t="n">
        <v>2</v>
      </c>
      <c r="E362" s="0" t="n">
        <v>3</v>
      </c>
      <c r="F362" s="0" t="n">
        <v>28</v>
      </c>
      <c r="G362" s="0" t="str">
        <f aca="false">IF(D362=E362,"-",IF(D362&gt;E362,B362,C362))</f>
        <v>Bolivia</v>
      </c>
      <c r="H362" s="0" t="str">
        <f aca="false">IF(D362=E362,"-",IF(D362&lt;E362,B362,C362))</f>
        <v>Argentina</v>
      </c>
    </row>
    <row r="363" customFormat="false" ht="13.8" hidden="false" customHeight="false" outlineLevel="0" collapsed="false">
      <c r="A363" s="11" t="n">
        <v>23101</v>
      </c>
      <c r="B363" s="0" t="s">
        <v>3</v>
      </c>
      <c r="C363" s="0" t="s">
        <v>4</v>
      </c>
      <c r="D363" s="0" t="n">
        <v>5</v>
      </c>
      <c r="E363" s="0" t="n">
        <v>4</v>
      </c>
      <c r="F363" s="0" t="n">
        <v>28</v>
      </c>
      <c r="G363" s="0" t="str">
        <f aca="false">IF(D363=E363,"-",IF(D363&gt;E363,B363,C363))</f>
        <v>Bolivia</v>
      </c>
      <c r="H363" s="0" t="str">
        <f aca="false">IF(D363=E363,"-",IF(D363&lt;E363,B363,C363))</f>
        <v>Brazil</v>
      </c>
    </row>
    <row r="364" customFormat="false" ht="13.8" hidden="false" customHeight="false" outlineLevel="0" collapsed="false">
      <c r="A364" s="11" t="n">
        <v>23101</v>
      </c>
      <c r="B364" s="0" t="s">
        <v>6</v>
      </c>
      <c r="C364" s="0" t="s">
        <v>8</v>
      </c>
      <c r="D364" s="0" t="n">
        <v>3</v>
      </c>
      <c r="E364" s="0" t="n">
        <v>4</v>
      </c>
      <c r="F364" s="0" t="n">
        <v>28</v>
      </c>
      <c r="G364" s="0" t="str">
        <f aca="false">IF(D364=E364,"-",IF(D364&gt;E364,B364,C364))</f>
        <v>Ecuador</v>
      </c>
      <c r="H364" s="0" t="str">
        <f aca="false">IF(D364=E364,"-",IF(D364&lt;E364,B364,C364))</f>
        <v>Colombia</v>
      </c>
    </row>
    <row r="365" customFormat="false" ht="13.8" hidden="false" customHeight="false" outlineLevel="0" collapsed="false">
      <c r="A365" s="11" t="n">
        <v>23101</v>
      </c>
      <c r="B365" s="0" t="s">
        <v>2</v>
      </c>
      <c r="C365" s="0" t="s">
        <v>13</v>
      </c>
      <c r="D365" s="0" t="n">
        <v>1</v>
      </c>
      <c r="E365" s="0" t="n">
        <v>1</v>
      </c>
      <c r="F365" s="0" t="n">
        <v>28</v>
      </c>
      <c r="G365" s="0" t="str">
        <f aca="false">IF(D365=E365,"-",IF(D365&gt;E365,B365,C365))</f>
        <v>-</v>
      </c>
      <c r="H365" s="0" t="str">
        <f aca="false">IF(D365=E365,"-",IF(D365&lt;E365,B365,C365))</f>
        <v>-</v>
      </c>
    </row>
    <row r="366" customFormat="false" ht="13.8" hidden="false" customHeight="false" outlineLevel="0" collapsed="false">
      <c r="A366" s="11" t="n">
        <v>24441</v>
      </c>
      <c r="B366" s="0" t="s">
        <v>5</v>
      </c>
      <c r="C366" s="0" t="s">
        <v>6</v>
      </c>
      <c r="D366" s="0" t="n">
        <v>5</v>
      </c>
      <c r="E366" s="0" t="n">
        <v>2</v>
      </c>
      <c r="F366" s="0" t="n">
        <v>29</v>
      </c>
      <c r="G366" s="0" t="str">
        <f aca="false">IF(D366=E366,"-",IF(D366&gt;E366,B366,C366))</f>
        <v>Chile</v>
      </c>
      <c r="H366" s="0" t="str">
        <f aca="false">IF(D366=E366,"-",IF(D366&lt;E366,B366,C366))</f>
        <v>Colombia</v>
      </c>
    </row>
    <row r="367" customFormat="false" ht="13.8" hidden="false" customHeight="false" outlineLevel="0" collapsed="false">
      <c r="A367" s="0" t="s">
        <v>125</v>
      </c>
      <c r="B367" s="0" t="s">
        <v>5</v>
      </c>
      <c r="C367" s="0" t="s">
        <v>6</v>
      </c>
      <c r="D367" s="0" t="n">
        <v>0</v>
      </c>
      <c r="E367" s="0" t="n">
        <v>0</v>
      </c>
      <c r="F367" s="0" t="n">
        <v>29</v>
      </c>
      <c r="G367" s="0" t="str">
        <f aca="false">IF(D367=E367,"-",IF(D367&gt;E367,B367,C367))</f>
        <v>-</v>
      </c>
      <c r="H367" s="0" t="str">
        <f aca="false">IF(D367=E367,"-",IF(D367&lt;E367,B367,C367))</f>
        <v>-</v>
      </c>
    </row>
    <row r="368" customFormat="false" ht="13.8" hidden="false" customHeight="false" outlineLevel="0" collapsed="false">
      <c r="A368" s="0" t="s">
        <v>126</v>
      </c>
      <c r="B368" s="0" t="s">
        <v>8</v>
      </c>
      <c r="C368" s="0" t="s">
        <v>13</v>
      </c>
      <c r="D368" s="0" t="n">
        <v>2</v>
      </c>
      <c r="E368" s="0" t="n">
        <v>2</v>
      </c>
      <c r="F368" s="0" t="n">
        <v>29</v>
      </c>
      <c r="G368" s="0" t="str">
        <f aca="false">IF(D368=E368,"-",IF(D368&gt;E368,B368,C368))</f>
        <v>-</v>
      </c>
      <c r="H368" s="0" t="str">
        <f aca="false">IF(D368=E368,"-",IF(D368&lt;E368,B368,C368))</f>
        <v>-</v>
      </c>
    </row>
    <row r="369" customFormat="false" ht="13.8" hidden="false" customHeight="false" outlineLevel="0" collapsed="false">
      <c r="A369" s="0" t="s">
        <v>127</v>
      </c>
      <c r="B369" s="0" t="s">
        <v>8</v>
      </c>
      <c r="C369" s="0" t="s">
        <v>13</v>
      </c>
      <c r="D369" s="0" t="n">
        <v>1</v>
      </c>
      <c r="E369" s="0" t="n">
        <v>3</v>
      </c>
      <c r="F369" s="0" t="n">
        <v>29</v>
      </c>
      <c r="G369" s="0" t="str">
        <f aca="false">IF(D369=E369,"-",IF(D369&gt;E369,B369,C369))</f>
        <v>Paraguay</v>
      </c>
      <c r="H369" s="0" t="str">
        <f aca="false">IF(D369=E369,"-",IF(D369&lt;E369,B369,C369))</f>
        <v>Ecuador</v>
      </c>
    </row>
    <row r="370" customFormat="false" ht="13.8" hidden="false" customHeight="false" outlineLevel="0" collapsed="false">
      <c r="A370" s="0" t="s">
        <v>128</v>
      </c>
      <c r="B370" s="0" t="s">
        <v>3</v>
      </c>
      <c r="C370" s="0" t="s">
        <v>16</v>
      </c>
      <c r="D370" s="0" t="n">
        <v>0</v>
      </c>
      <c r="E370" s="0" t="n">
        <v>4</v>
      </c>
      <c r="F370" s="0" t="n">
        <v>29</v>
      </c>
      <c r="G370" s="0" t="str">
        <f aca="false">IF(D370=E370,"-",IF(D370&gt;E370,B370,C370))</f>
        <v>Uruguay</v>
      </c>
      <c r="H370" s="0" t="str">
        <f aca="false">IF(D370=E370,"-",IF(D370&lt;E370,B370,C370))</f>
        <v>Bolivia</v>
      </c>
    </row>
    <row r="371" customFormat="false" ht="13.8" hidden="false" customHeight="false" outlineLevel="0" collapsed="false">
      <c r="A371" s="0" t="s">
        <v>129</v>
      </c>
      <c r="B371" s="0" t="s">
        <v>2</v>
      </c>
      <c r="C371" s="0" t="s">
        <v>13</v>
      </c>
      <c r="D371" s="0" t="n">
        <v>4</v>
      </c>
      <c r="E371" s="0" t="n">
        <v>1</v>
      </c>
      <c r="F371" s="0" t="n">
        <v>29</v>
      </c>
      <c r="G371" s="0" t="str">
        <f aca="false">IF(D371=E371,"-",IF(D371&gt;E371,B371,C371))</f>
        <v>Argentina</v>
      </c>
      <c r="H371" s="0" t="str">
        <f aca="false">IF(D371=E371,"-",IF(D371&lt;E371,B371,C371))</f>
        <v>Paraguay</v>
      </c>
    </row>
    <row r="372" customFormat="false" ht="13.8" hidden="false" customHeight="false" outlineLevel="0" collapsed="false">
      <c r="A372" s="0" t="s">
        <v>129</v>
      </c>
      <c r="B372" s="0" t="s">
        <v>5</v>
      </c>
      <c r="C372" s="0" t="s">
        <v>18</v>
      </c>
      <c r="D372" s="0" t="n">
        <v>2</v>
      </c>
      <c r="E372" s="0" t="n">
        <v>0</v>
      </c>
      <c r="F372" s="0" t="n">
        <v>29</v>
      </c>
      <c r="G372" s="0" t="str">
        <f aca="false">IF(D372=E372,"-",IF(D372&gt;E372,B372,C372))</f>
        <v>Chile</v>
      </c>
      <c r="H372" s="0" t="str">
        <f aca="false">IF(D372=E372,"-",IF(D372&lt;E372,B372,C372))</f>
        <v>Venezuela</v>
      </c>
    </row>
    <row r="373" customFormat="false" ht="13.8" hidden="false" customHeight="false" outlineLevel="0" collapsed="false">
      <c r="A373" s="0" t="s">
        <v>130</v>
      </c>
      <c r="B373" s="0" t="s">
        <v>16</v>
      </c>
      <c r="C373" s="0" t="s">
        <v>18</v>
      </c>
      <c r="D373" s="0" t="n">
        <v>4</v>
      </c>
      <c r="E373" s="0" t="n">
        <v>0</v>
      </c>
      <c r="F373" s="0" t="n">
        <v>29</v>
      </c>
      <c r="G373" s="0" t="str">
        <f aca="false">IF(D373=E373,"-",IF(D373&gt;E373,B373,C373))</f>
        <v>Uruguay</v>
      </c>
      <c r="H373" s="0" t="str">
        <f aca="false">IF(D373=E373,"-",IF(D373&lt;E373,B373,C373))</f>
        <v>Venezuela</v>
      </c>
    </row>
    <row r="374" customFormat="false" ht="13.8" hidden="false" customHeight="false" outlineLevel="0" collapsed="false">
      <c r="A374" s="0" t="s">
        <v>131</v>
      </c>
      <c r="B374" s="0" t="s">
        <v>5</v>
      </c>
      <c r="C374" s="0" t="s">
        <v>13</v>
      </c>
      <c r="D374" s="0" t="n">
        <v>4</v>
      </c>
      <c r="E374" s="0" t="n">
        <v>2</v>
      </c>
      <c r="F374" s="0" t="n">
        <v>29</v>
      </c>
      <c r="G374" s="0" t="str">
        <f aca="false">IF(D374=E374,"-",IF(D374&gt;E374,B374,C374))</f>
        <v>Chile</v>
      </c>
      <c r="H374" s="0" t="str">
        <f aca="false">IF(D374=E374,"-",IF(D374&lt;E374,B374,C374))</f>
        <v>Paraguay</v>
      </c>
    </row>
    <row r="375" customFormat="false" ht="13.8" hidden="false" customHeight="false" outlineLevel="0" collapsed="false">
      <c r="A375" s="0" t="s">
        <v>131</v>
      </c>
      <c r="B375" s="0" t="s">
        <v>2</v>
      </c>
      <c r="C375" s="0" t="s">
        <v>3</v>
      </c>
      <c r="D375" s="0" t="n">
        <v>1</v>
      </c>
      <c r="E375" s="0" t="n">
        <v>0</v>
      </c>
      <c r="F375" s="0" t="n">
        <v>29</v>
      </c>
      <c r="G375" s="0" t="str">
        <f aca="false">IF(D375=E375,"-",IF(D375&gt;E375,B375,C375))</f>
        <v>Argentina</v>
      </c>
      <c r="H375" s="0" t="str">
        <f aca="false">IF(D375=E375,"-",IF(D375&lt;E375,B375,C375))</f>
        <v>Bolivia</v>
      </c>
    </row>
    <row r="376" customFormat="false" ht="13.8" hidden="false" customHeight="false" outlineLevel="0" collapsed="false">
      <c r="A376" s="0" t="s">
        <v>132</v>
      </c>
      <c r="B376" s="0" t="s">
        <v>2</v>
      </c>
      <c r="C376" s="0" t="s">
        <v>18</v>
      </c>
      <c r="D376" s="0" t="n">
        <v>5</v>
      </c>
      <c r="E376" s="0" t="n">
        <v>1</v>
      </c>
      <c r="F376" s="0" t="n">
        <v>29</v>
      </c>
      <c r="G376" s="0" t="str">
        <f aca="false">IF(D376=E376,"-",IF(D376&gt;E376,B376,C376))</f>
        <v>Argentina</v>
      </c>
      <c r="H376" s="0" t="str">
        <f aca="false">IF(D376=E376,"-",IF(D376&lt;E376,B376,C376))</f>
        <v>Venezuela</v>
      </c>
    </row>
    <row r="377" customFormat="false" ht="13.8" hidden="false" customHeight="false" outlineLevel="0" collapsed="false">
      <c r="A377" s="0" t="s">
        <v>132</v>
      </c>
      <c r="B377" s="0" t="s">
        <v>3</v>
      </c>
      <c r="C377" s="0" t="s">
        <v>13</v>
      </c>
      <c r="D377" s="0" t="n">
        <v>0</v>
      </c>
      <c r="E377" s="0" t="n">
        <v>1</v>
      </c>
      <c r="F377" s="0" t="n">
        <v>29</v>
      </c>
      <c r="G377" s="0" t="str">
        <f aca="false">IF(D377=E377,"-",IF(D377&gt;E377,B377,C377))</f>
        <v>Paraguay</v>
      </c>
      <c r="H377" s="0" t="str">
        <f aca="false">IF(D377=E377,"-",IF(D377&lt;E377,B377,C377))</f>
        <v>Bolivia</v>
      </c>
    </row>
    <row r="378" customFormat="false" ht="13.8" hidden="false" customHeight="false" outlineLevel="0" collapsed="false">
      <c r="A378" s="0" t="s">
        <v>133</v>
      </c>
      <c r="B378" s="0" t="s">
        <v>5</v>
      </c>
      <c r="C378" s="0" t="s">
        <v>16</v>
      </c>
      <c r="D378" s="0" t="n">
        <v>2</v>
      </c>
      <c r="E378" s="0" t="n">
        <v>2</v>
      </c>
      <c r="F378" s="0" t="n">
        <v>29</v>
      </c>
      <c r="G378" s="0" t="str">
        <f aca="false">IF(D378=E378,"-",IF(D378&gt;E378,B378,C378))</f>
        <v>-</v>
      </c>
      <c r="H378" s="0" t="str">
        <f aca="false">IF(D378=E378,"-",IF(D378&lt;E378,B378,C378))</f>
        <v>-</v>
      </c>
    </row>
    <row r="379" customFormat="false" ht="13.8" hidden="false" customHeight="false" outlineLevel="0" collapsed="false">
      <c r="A379" s="0" t="s">
        <v>134</v>
      </c>
      <c r="B379" s="0" t="s">
        <v>3</v>
      </c>
      <c r="C379" s="0" t="s">
        <v>18</v>
      </c>
      <c r="D379" s="0" t="n">
        <v>0</v>
      </c>
      <c r="E379" s="0" t="n">
        <v>3</v>
      </c>
      <c r="F379" s="0" t="n">
        <v>29</v>
      </c>
      <c r="G379" s="0" t="str">
        <f aca="false">IF(D379=E379,"-",IF(D379&gt;E379,B379,C379))</f>
        <v>Venezuela</v>
      </c>
      <c r="H379" s="0" t="str">
        <f aca="false">IF(D379=E379,"-",IF(D379&lt;E379,B379,C379))</f>
        <v>Bolivia</v>
      </c>
    </row>
    <row r="380" customFormat="false" ht="13.8" hidden="false" customHeight="false" outlineLevel="0" collapsed="false">
      <c r="A380" s="0" t="s">
        <v>134</v>
      </c>
      <c r="B380" s="0" t="s">
        <v>2</v>
      </c>
      <c r="C380" s="0" t="s">
        <v>5</v>
      </c>
      <c r="D380" s="0" t="n">
        <v>2</v>
      </c>
      <c r="E380" s="0" t="n">
        <v>0</v>
      </c>
      <c r="F380" s="0" t="n">
        <v>29</v>
      </c>
      <c r="G380" s="0" t="str">
        <f aca="false">IF(D380=E380,"-",IF(D380&gt;E380,B380,C380))</f>
        <v>Argentina</v>
      </c>
      <c r="H380" s="0" t="str">
        <f aca="false">IF(D380=E380,"-",IF(D380&lt;E380,B380,C380))</f>
        <v>Chile</v>
      </c>
    </row>
    <row r="381" customFormat="false" ht="13.8" hidden="false" customHeight="false" outlineLevel="0" collapsed="false">
      <c r="A381" s="0" t="s">
        <v>135</v>
      </c>
      <c r="B381" s="0" t="s">
        <v>13</v>
      </c>
      <c r="C381" s="0" t="s">
        <v>16</v>
      </c>
      <c r="D381" s="0" t="n">
        <v>0</v>
      </c>
      <c r="E381" s="0" t="n">
        <v>2</v>
      </c>
      <c r="F381" s="0" t="n">
        <v>29</v>
      </c>
      <c r="G381" s="0" t="str">
        <f aca="false">IF(D381=E381,"-",IF(D381&gt;E381,B381,C381))</f>
        <v>Uruguay</v>
      </c>
      <c r="H381" s="0" t="str">
        <f aca="false">IF(D381=E381,"-",IF(D381&lt;E381,B381,C381))</f>
        <v>Paraguay</v>
      </c>
    </row>
    <row r="382" customFormat="false" ht="13.8" hidden="false" customHeight="false" outlineLevel="0" collapsed="false">
      <c r="A382" s="11" t="n">
        <v>24504</v>
      </c>
      <c r="B382" s="0" t="s">
        <v>13</v>
      </c>
      <c r="C382" s="0" t="s">
        <v>18</v>
      </c>
      <c r="D382" s="0" t="n">
        <v>5</v>
      </c>
      <c r="E382" s="0" t="n">
        <v>3</v>
      </c>
      <c r="F382" s="0" t="n">
        <v>29</v>
      </c>
      <c r="G382" s="0" t="str">
        <f aca="false">IF(D382=E382,"-",IF(D382&gt;E382,B382,C382))</f>
        <v>Paraguay</v>
      </c>
      <c r="H382" s="0" t="str">
        <f aca="false">IF(D382=E382,"-",IF(D382&lt;E382,B382,C382))</f>
        <v>Venezuela</v>
      </c>
    </row>
    <row r="383" customFormat="false" ht="13.8" hidden="false" customHeight="false" outlineLevel="0" collapsed="false">
      <c r="A383" s="11" t="n">
        <v>24504</v>
      </c>
      <c r="B383" s="0" t="s">
        <v>3</v>
      </c>
      <c r="C383" s="0" t="s">
        <v>5</v>
      </c>
      <c r="D383" s="0" t="n">
        <v>0</v>
      </c>
      <c r="E383" s="0" t="n">
        <v>0</v>
      </c>
      <c r="F383" s="0" t="n">
        <v>29</v>
      </c>
      <c r="G383" s="0" t="str">
        <f aca="false">IF(D383=E383,"-",IF(D383&gt;E383,B383,C383))</f>
        <v>-</v>
      </c>
      <c r="H383" s="0" t="str">
        <f aca="false">IF(D383=E383,"-",IF(D383&lt;E383,B383,C383))</f>
        <v>-</v>
      </c>
    </row>
    <row r="384" customFormat="false" ht="13.8" hidden="false" customHeight="false" outlineLevel="0" collapsed="false">
      <c r="A384" s="11" t="n">
        <v>24505</v>
      </c>
      <c r="B384" s="0" t="s">
        <v>2</v>
      </c>
      <c r="C384" s="0" t="s">
        <v>16</v>
      </c>
      <c r="D384" s="0" t="n">
        <v>0</v>
      </c>
      <c r="E384" s="0" t="n">
        <v>1</v>
      </c>
      <c r="F384" s="0" t="n">
        <v>29</v>
      </c>
      <c r="G384" s="0" t="str">
        <f aca="false">IF(D384=E384,"-",IF(D384&gt;E384,B384,C384))</f>
        <v>Uruguay</v>
      </c>
      <c r="H384" s="0" t="str">
        <f aca="false">IF(D384=E384,"-",IF(D384&lt;E384,B384,C384))</f>
        <v>Argentina</v>
      </c>
    </row>
    <row r="385" customFormat="false" ht="13.8" hidden="false" customHeight="false" outlineLevel="0" collapsed="false">
      <c r="A385" s="11" t="n">
        <v>27592</v>
      </c>
      <c r="B385" s="0" t="s">
        <v>5</v>
      </c>
      <c r="C385" s="0" t="s">
        <v>14</v>
      </c>
      <c r="D385" s="0" t="n">
        <v>1</v>
      </c>
      <c r="E385" s="0" t="n">
        <v>1</v>
      </c>
      <c r="F385" s="0" t="n">
        <v>30</v>
      </c>
      <c r="G385" s="0" t="str">
        <f aca="false">IF(D385=E385,"-",IF(D385&gt;E385,B385,C385))</f>
        <v>-</v>
      </c>
      <c r="H385" s="0" t="str">
        <f aca="false">IF(D385=E385,"-",IF(D385&lt;E385,B385,C385))</f>
        <v>-</v>
      </c>
    </row>
    <row r="386" customFormat="false" ht="13.8" hidden="false" customHeight="false" outlineLevel="0" collapsed="false">
      <c r="A386" s="11" t="n">
        <v>27595</v>
      </c>
      <c r="B386" s="0" t="s">
        <v>3</v>
      </c>
      <c r="C386" s="0" t="s">
        <v>5</v>
      </c>
      <c r="D386" s="0" t="n">
        <v>2</v>
      </c>
      <c r="E386" s="0" t="n">
        <v>1</v>
      </c>
      <c r="F386" s="0" t="n">
        <v>30</v>
      </c>
      <c r="G386" s="0" t="str">
        <f aca="false">IF(D386=E386,"-",IF(D386&gt;E386,B386,C386))</f>
        <v>Bolivia</v>
      </c>
      <c r="H386" s="0" t="str">
        <f aca="false">IF(D386=E386,"-",IF(D386&lt;E386,B386,C386))</f>
        <v>Chile</v>
      </c>
    </row>
    <row r="387" customFormat="false" ht="13.8" hidden="false" customHeight="false" outlineLevel="0" collapsed="false">
      <c r="A387" s="11" t="n">
        <v>27595</v>
      </c>
      <c r="B387" s="0" t="s">
        <v>6</v>
      </c>
      <c r="C387" s="0" t="s">
        <v>13</v>
      </c>
      <c r="D387" s="0" t="n">
        <v>1</v>
      </c>
      <c r="E387" s="0" t="n">
        <v>0</v>
      </c>
      <c r="F387" s="0" t="n">
        <v>30</v>
      </c>
      <c r="G387" s="0" t="str">
        <f aca="false">IF(D387=E387,"-",IF(D387&gt;E387,B387,C387))</f>
        <v>Colombia</v>
      </c>
      <c r="H387" s="0" t="str">
        <f aca="false">IF(D387=E387,"-",IF(D387&lt;E387,B387,C387))</f>
        <v>Paraguay</v>
      </c>
    </row>
    <row r="388" customFormat="false" ht="13.8" hidden="false" customHeight="false" outlineLevel="0" collapsed="false">
      <c r="A388" s="11" t="n">
        <v>27599</v>
      </c>
      <c r="B388" s="0" t="s">
        <v>8</v>
      </c>
      <c r="C388" s="0" t="s">
        <v>13</v>
      </c>
      <c r="D388" s="0" t="n">
        <v>2</v>
      </c>
      <c r="E388" s="0" t="n">
        <v>2</v>
      </c>
      <c r="F388" s="0" t="n">
        <v>30</v>
      </c>
      <c r="G388" s="0" t="str">
        <f aca="false">IF(D388=E388,"-",IF(D388&gt;E388,B388,C388))</f>
        <v>-</v>
      </c>
      <c r="H388" s="0" t="str">
        <f aca="false">IF(D388=E388,"-",IF(D388&lt;E388,B388,C388))</f>
        <v>-</v>
      </c>
    </row>
    <row r="389" customFormat="false" ht="13.8" hidden="false" customHeight="false" outlineLevel="0" collapsed="false">
      <c r="A389" s="11" t="n">
        <v>27602</v>
      </c>
      <c r="B389" s="0" t="s">
        <v>3</v>
      </c>
      <c r="C389" s="0" t="s">
        <v>14</v>
      </c>
      <c r="D389" s="0" t="n">
        <v>0</v>
      </c>
      <c r="E389" s="0" t="n">
        <v>1</v>
      </c>
      <c r="F389" s="0" t="n">
        <v>30</v>
      </c>
      <c r="G389" s="0" t="str">
        <f aca="false">IF(D389=E389,"-",IF(D389&gt;E389,B389,C389))</f>
        <v>Peru</v>
      </c>
      <c r="H389" s="0" t="str">
        <f aca="false">IF(D389=E389,"-",IF(D389&lt;E389,B389,C389))</f>
        <v>Bolivia</v>
      </c>
    </row>
    <row r="390" customFormat="false" ht="13.8" hidden="false" customHeight="false" outlineLevel="0" collapsed="false">
      <c r="A390" s="11" t="n">
        <v>27602</v>
      </c>
      <c r="B390" s="0" t="s">
        <v>6</v>
      </c>
      <c r="C390" s="0" t="s">
        <v>8</v>
      </c>
      <c r="D390" s="0" t="n">
        <v>3</v>
      </c>
      <c r="E390" s="0" t="n">
        <v>1</v>
      </c>
      <c r="F390" s="0" t="n">
        <v>30</v>
      </c>
      <c r="G390" s="0" t="str">
        <f aca="false">IF(D390=E390,"-",IF(D390&gt;E390,B390,C390))</f>
        <v>Colombia</v>
      </c>
      <c r="H390" s="0" t="str">
        <f aca="false">IF(D390=E390,"-",IF(D390&lt;E390,B390,C390))</f>
        <v>Ecuador</v>
      </c>
    </row>
    <row r="391" customFormat="false" ht="13.8" hidden="false" customHeight="false" outlineLevel="0" collapsed="false">
      <c r="A391" s="11" t="n">
        <v>27605</v>
      </c>
      <c r="B391" s="0" t="s">
        <v>6</v>
      </c>
      <c r="C391" s="0" t="s">
        <v>13</v>
      </c>
      <c r="D391" s="0" t="n">
        <v>1</v>
      </c>
      <c r="E391" s="0" t="n">
        <v>0</v>
      </c>
      <c r="F391" s="0" t="n">
        <v>30</v>
      </c>
      <c r="G391" s="0" t="str">
        <f aca="false">IF(D391=E391,"-",IF(D391&gt;E391,B391,C391))</f>
        <v>Colombia</v>
      </c>
      <c r="H391" s="0" t="str">
        <f aca="false">IF(D391=E391,"-",IF(D391&lt;E391,B391,C391))</f>
        <v>Paraguay</v>
      </c>
    </row>
    <row r="392" customFormat="false" ht="13.8" hidden="false" customHeight="false" outlineLevel="0" collapsed="false">
      <c r="A392" s="11" t="n">
        <v>27606</v>
      </c>
      <c r="B392" s="0" t="s">
        <v>18</v>
      </c>
      <c r="C392" s="0" t="s">
        <v>4</v>
      </c>
      <c r="D392" s="0" t="n">
        <v>0</v>
      </c>
      <c r="E392" s="0" t="n">
        <v>4</v>
      </c>
      <c r="F392" s="0" t="n">
        <v>30</v>
      </c>
      <c r="G392" s="0" t="str">
        <f aca="false">IF(D392=E392,"-",IF(D392&gt;E392,B392,C392))</f>
        <v>Brazil</v>
      </c>
      <c r="H392" s="0" t="str">
        <f aca="false">IF(D392=E392,"-",IF(D392&lt;E392,B392,C392))</f>
        <v>Venezuela</v>
      </c>
    </row>
    <row r="393" customFormat="false" ht="13.8" hidden="false" customHeight="false" outlineLevel="0" collapsed="false">
      <c r="A393" s="0" t="s">
        <v>136</v>
      </c>
      <c r="B393" s="0" t="s">
        <v>2</v>
      </c>
      <c r="C393" s="0" t="s">
        <v>18</v>
      </c>
      <c r="D393" s="0" t="n">
        <v>5</v>
      </c>
      <c r="E393" s="0" t="n">
        <v>1</v>
      </c>
      <c r="F393" s="0" t="n">
        <v>30</v>
      </c>
      <c r="G393" s="0" t="str">
        <f aca="false">IF(D393=E393,"-",IF(D393&gt;E393,B393,C393))</f>
        <v>Argentina</v>
      </c>
      <c r="H393" s="0" t="str">
        <f aca="false">IF(D393=E393,"-",IF(D393&lt;E393,B393,C393))</f>
        <v>Venezuela</v>
      </c>
    </row>
    <row r="394" customFormat="false" ht="13.8" hidden="false" customHeight="false" outlineLevel="0" collapsed="false">
      <c r="A394" s="0" t="s">
        <v>137</v>
      </c>
      <c r="B394" s="0" t="s">
        <v>2</v>
      </c>
      <c r="C394" s="0" t="s">
        <v>4</v>
      </c>
      <c r="D394" s="0" t="n">
        <v>1</v>
      </c>
      <c r="E394" s="0" t="n">
        <v>2</v>
      </c>
      <c r="F394" s="0" t="n">
        <v>30</v>
      </c>
      <c r="G394" s="0" t="str">
        <f aca="false">IF(D394=E394,"-",IF(D394&gt;E394,B394,C394))</f>
        <v>Brazil</v>
      </c>
      <c r="H394" s="0" t="str">
        <f aca="false">IF(D394=E394,"-",IF(D394&lt;E394,B394,C394))</f>
        <v>Argentina</v>
      </c>
    </row>
    <row r="395" customFormat="false" ht="13.8" hidden="false" customHeight="false" outlineLevel="0" collapsed="false">
      <c r="A395" s="0" t="s">
        <v>138</v>
      </c>
      <c r="B395" s="0" t="s">
        <v>3</v>
      </c>
      <c r="C395" s="0" t="s">
        <v>14</v>
      </c>
      <c r="D395" s="0" t="n">
        <v>1</v>
      </c>
      <c r="E395" s="0" t="n">
        <v>3</v>
      </c>
      <c r="F395" s="0" t="n">
        <v>30</v>
      </c>
      <c r="G395" s="0" t="str">
        <f aca="false">IF(D395=E395,"-",IF(D395&gt;E395,B395,C395))</f>
        <v>Peru</v>
      </c>
      <c r="H395" s="0" t="str">
        <f aca="false">IF(D395=E395,"-",IF(D395&lt;E395,B395,C395))</f>
        <v>Bolivia</v>
      </c>
    </row>
    <row r="396" customFormat="false" ht="13.8" hidden="false" customHeight="false" outlineLevel="0" collapsed="false">
      <c r="A396" s="0" t="s">
        <v>138</v>
      </c>
      <c r="B396" s="0" t="s">
        <v>6</v>
      </c>
      <c r="C396" s="0" t="s">
        <v>8</v>
      </c>
      <c r="D396" s="0" t="n">
        <v>2</v>
      </c>
      <c r="E396" s="0" t="n">
        <v>0</v>
      </c>
      <c r="F396" s="0" t="n">
        <v>30</v>
      </c>
      <c r="G396" s="0" t="str">
        <f aca="false">IF(D396=E396,"-",IF(D396&gt;E396,B396,C396))</f>
        <v>Colombia</v>
      </c>
      <c r="H396" s="0" t="str">
        <f aca="false">IF(D396=E396,"-",IF(D396&lt;E396,B396,C396))</f>
        <v>Ecuador</v>
      </c>
    </row>
    <row r="397" customFormat="false" ht="13.8" hidden="false" customHeight="false" outlineLevel="0" collapsed="false">
      <c r="A397" s="0" t="s">
        <v>139</v>
      </c>
      <c r="B397" s="0" t="s">
        <v>2</v>
      </c>
      <c r="C397" s="0" t="s">
        <v>18</v>
      </c>
      <c r="D397" s="0" t="n">
        <v>11</v>
      </c>
      <c r="E397" s="0" t="n">
        <v>0</v>
      </c>
      <c r="F397" s="0" t="n">
        <v>30</v>
      </c>
      <c r="G397" s="0" t="str">
        <f aca="false">IF(D397=E397,"-",IF(D397&gt;E397,B397,C397))</f>
        <v>Argentina</v>
      </c>
      <c r="H397" s="0" t="str">
        <f aca="false">IF(D397=E397,"-",IF(D397&lt;E397,B397,C397))</f>
        <v>Venezuela</v>
      </c>
    </row>
    <row r="398" customFormat="false" ht="13.8" hidden="false" customHeight="false" outlineLevel="0" collapsed="false">
      <c r="A398" s="0" t="s">
        <v>139</v>
      </c>
      <c r="B398" s="0" t="s">
        <v>8</v>
      </c>
      <c r="C398" s="0" t="s">
        <v>13</v>
      </c>
      <c r="D398" s="0" t="n">
        <v>1</v>
      </c>
      <c r="E398" s="0" t="n">
        <v>3</v>
      </c>
      <c r="F398" s="0" t="n">
        <v>30</v>
      </c>
      <c r="G398" s="0" t="str">
        <f aca="false">IF(D398=E398,"-",IF(D398&gt;E398,B398,C398))</f>
        <v>Paraguay</v>
      </c>
      <c r="H398" s="0" t="str">
        <f aca="false">IF(D398=E398,"-",IF(D398&lt;E398,B398,C398))</f>
        <v>Ecuador</v>
      </c>
    </row>
    <row r="399" customFormat="false" ht="13.8" hidden="false" customHeight="false" outlineLevel="0" collapsed="false">
      <c r="A399" s="0" t="s">
        <v>140</v>
      </c>
      <c r="B399" s="0" t="s">
        <v>3</v>
      </c>
      <c r="C399" s="0" t="s">
        <v>5</v>
      </c>
      <c r="D399" s="0" t="n">
        <v>0</v>
      </c>
      <c r="E399" s="0" t="n">
        <v>4</v>
      </c>
      <c r="F399" s="0" t="n">
        <v>30</v>
      </c>
      <c r="G399" s="0" t="str">
        <f aca="false">IF(D399=E399,"-",IF(D399&gt;E399,B399,C399))</f>
        <v>Chile</v>
      </c>
      <c r="H399" s="0" t="str">
        <f aca="false">IF(D399=E399,"-",IF(D399&lt;E399,B399,C399))</f>
        <v>Bolivia</v>
      </c>
    </row>
    <row r="400" customFormat="false" ht="13.8" hidden="false" customHeight="false" outlineLevel="0" collapsed="false">
      <c r="A400" s="0" t="s">
        <v>140</v>
      </c>
      <c r="B400" s="0" t="s">
        <v>18</v>
      </c>
      <c r="C400" s="0" t="s">
        <v>4</v>
      </c>
      <c r="D400" s="0" t="n">
        <v>0</v>
      </c>
      <c r="E400" s="0" t="n">
        <v>6</v>
      </c>
      <c r="F400" s="0" t="n">
        <v>30</v>
      </c>
      <c r="G400" s="0" t="str">
        <f aca="false">IF(D400=E400,"-",IF(D400&gt;E400,B400,C400))</f>
        <v>Brazil</v>
      </c>
      <c r="H400" s="0" t="str">
        <f aca="false">IF(D400=E400,"-",IF(D400&lt;E400,B400,C400))</f>
        <v>Venezuela</v>
      </c>
    </row>
    <row r="401" customFormat="false" ht="13.8" hidden="false" customHeight="false" outlineLevel="0" collapsed="false">
      <c r="A401" s="0" t="s">
        <v>141</v>
      </c>
      <c r="B401" s="0" t="s">
        <v>2</v>
      </c>
      <c r="C401" s="0" t="s">
        <v>4</v>
      </c>
      <c r="D401" s="0" t="n">
        <v>0</v>
      </c>
      <c r="E401" s="0" t="n">
        <v>1</v>
      </c>
      <c r="F401" s="0" t="n">
        <v>30</v>
      </c>
      <c r="G401" s="0" t="str">
        <f aca="false">IF(D401=E401,"-",IF(D401&gt;E401,B401,C401))</f>
        <v>Brazil</v>
      </c>
      <c r="H401" s="0" t="str">
        <f aca="false">IF(D401=E401,"-",IF(D401&lt;E401,B401,C401))</f>
        <v>Argentina</v>
      </c>
    </row>
    <row r="402" customFormat="false" ht="13.8" hidden="false" customHeight="false" outlineLevel="0" collapsed="false">
      <c r="A402" s="0" t="s">
        <v>142</v>
      </c>
      <c r="B402" s="0" t="s">
        <v>5</v>
      </c>
      <c r="C402" s="0" t="s">
        <v>14</v>
      </c>
      <c r="D402" s="0" t="n">
        <v>1</v>
      </c>
      <c r="E402" s="0" t="n">
        <v>3</v>
      </c>
      <c r="F402" s="0" t="n">
        <v>30</v>
      </c>
      <c r="G402" s="0" t="str">
        <f aca="false">IF(D402=E402,"-",IF(D402&gt;E402,B402,C402))</f>
        <v>Peru</v>
      </c>
      <c r="H402" s="0" t="str">
        <f aca="false">IF(D402=E402,"-",IF(D402&lt;E402,B402,C402))</f>
        <v>Chile</v>
      </c>
    </row>
    <row r="403" customFormat="false" ht="13.8" hidden="false" customHeight="false" outlineLevel="0" collapsed="false">
      <c r="A403" s="11" t="n">
        <v>27658</v>
      </c>
      <c r="B403" s="0" t="s">
        <v>6</v>
      </c>
      <c r="C403" s="0" t="s">
        <v>16</v>
      </c>
      <c r="D403" s="0" t="n">
        <v>3</v>
      </c>
      <c r="E403" s="0" t="n">
        <v>0</v>
      </c>
      <c r="F403" s="0" t="n">
        <v>30</v>
      </c>
      <c r="G403" s="0" t="str">
        <f aca="false">IF(D403=E403,"-",IF(D403&gt;E403,B403,C403))</f>
        <v>Colombia</v>
      </c>
      <c r="H403" s="0" t="str">
        <f aca="false">IF(D403=E403,"-",IF(D403&lt;E403,B403,C403))</f>
        <v>Uruguay</v>
      </c>
    </row>
    <row r="404" customFormat="false" ht="13.8" hidden="false" customHeight="false" outlineLevel="0" collapsed="false">
      <c r="A404" s="11" t="n">
        <v>27667</v>
      </c>
      <c r="B404" s="0" t="s">
        <v>14</v>
      </c>
      <c r="C404" s="0" t="s">
        <v>4</v>
      </c>
      <c r="D404" s="0" t="n">
        <v>3</v>
      </c>
      <c r="E404" s="0" t="n">
        <v>1</v>
      </c>
      <c r="F404" s="0" t="n">
        <v>30</v>
      </c>
      <c r="G404" s="0" t="str">
        <f aca="false">IF(D404=E404,"-",IF(D404&gt;E404,B404,C404))</f>
        <v>Peru</v>
      </c>
      <c r="H404" s="0" t="str">
        <f aca="false">IF(D404=E404,"-",IF(D404&lt;E404,B404,C404))</f>
        <v>Brazil</v>
      </c>
    </row>
    <row r="405" customFormat="false" ht="13.8" hidden="false" customHeight="false" outlineLevel="0" collapsed="false">
      <c r="A405" s="11" t="n">
        <v>27668</v>
      </c>
      <c r="B405" s="0" t="s">
        <v>6</v>
      </c>
      <c r="C405" s="0" t="s">
        <v>16</v>
      </c>
      <c r="D405" s="0" t="n">
        <v>0</v>
      </c>
      <c r="E405" s="0" t="n">
        <v>1</v>
      </c>
      <c r="F405" s="0" t="n">
        <v>30</v>
      </c>
      <c r="G405" s="0" t="str">
        <f aca="false">IF(D405=E405,"-",IF(D405&gt;E405,B405,C405))</f>
        <v>Uruguay</v>
      </c>
      <c r="H405" s="0" t="str">
        <f aca="false">IF(D405=E405,"-",IF(D405&lt;E405,B405,C405))</f>
        <v>Colombia</v>
      </c>
    </row>
    <row r="406" customFormat="false" ht="13.8" hidden="false" customHeight="false" outlineLevel="0" collapsed="false">
      <c r="A406" s="11" t="n">
        <v>27671</v>
      </c>
      <c r="B406" s="0" t="s">
        <v>14</v>
      </c>
      <c r="C406" s="0" t="s">
        <v>4</v>
      </c>
      <c r="D406" s="0" t="n">
        <v>0</v>
      </c>
      <c r="E406" s="0" t="n">
        <v>2</v>
      </c>
      <c r="F406" s="0" t="n">
        <v>30</v>
      </c>
      <c r="G406" s="0" t="str">
        <f aca="false">IF(D406=E406,"-",IF(D406&gt;E406,B406,C406))</f>
        <v>Brazil</v>
      </c>
      <c r="H406" s="0" t="str">
        <f aca="false">IF(D406=E406,"-",IF(D406&lt;E406,B406,C406))</f>
        <v>Peru</v>
      </c>
    </row>
    <row r="407" customFormat="false" ht="13.8" hidden="false" customHeight="false" outlineLevel="0" collapsed="false">
      <c r="A407" s="11" t="n">
        <v>27683</v>
      </c>
      <c r="B407" s="0" t="s">
        <v>6</v>
      </c>
      <c r="C407" s="0" t="s">
        <v>14</v>
      </c>
      <c r="D407" s="0" t="n">
        <v>1</v>
      </c>
      <c r="E407" s="0" t="n">
        <v>0</v>
      </c>
      <c r="F407" s="0" t="n">
        <v>30</v>
      </c>
      <c r="G407" s="0" t="str">
        <f aca="false">IF(D407=E407,"-",IF(D407&gt;E407,B407,C407))</f>
        <v>Colombia</v>
      </c>
      <c r="H407" s="0" t="str">
        <f aca="false">IF(D407=E407,"-",IF(D407&lt;E407,B407,C407))</f>
        <v>Peru</v>
      </c>
    </row>
    <row r="408" customFormat="false" ht="13.8" hidden="false" customHeight="false" outlineLevel="0" collapsed="false">
      <c r="A408" s="11" t="n">
        <v>27689</v>
      </c>
      <c r="B408" s="0" t="s">
        <v>6</v>
      </c>
      <c r="C408" s="0" t="s">
        <v>14</v>
      </c>
      <c r="D408" s="0" t="n">
        <v>0</v>
      </c>
      <c r="E408" s="0" t="n">
        <v>2</v>
      </c>
      <c r="F408" s="0" t="n">
        <v>30</v>
      </c>
      <c r="G408" s="0" t="str">
        <f aca="false">IF(D408=E408,"-",IF(D408&gt;E408,B408,C408))</f>
        <v>Peru</v>
      </c>
      <c r="H408" s="0" t="str">
        <f aca="false">IF(D408=E408,"-",IF(D408&lt;E408,B408,C408))</f>
        <v>Colombia</v>
      </c>
    </row>
    <row r="409" customFormat="false" ht="13.8" hidden="false" customHeight="false" outlineLevel="0" collapsed="false">
      <c r="A409" s="11" t="n">
        <v>27695</v>
      </c>
      <c r="B409" s="0" t="s">
        <v>6</v>
      </c>
      <c r="C409" s="0" t="s">
        <v>14</v>
      </c>
      <c r="D409" s="0" t="n">
        <v>0</v>
      </c>
      <c r="E409" s="0" t="n">
        <v>1</v>
      </c>
      <c r="F409" s="0" t="n">
        <v>30</v>
      </c>
      <c r="G409" s="0" t="str">
        <f aca="false">IF(D409=E409,"-",IF(D409&gt;E409,B409,C409))</f>
        <v>Peru</v>
      </c>
      <c r="H409" s="0" t="str">
        <f aca="false">IF(D409=E409,"-",IF(D409&lt;E409,B409,C409))</f>
        <v>Colombia</v>
      </c>
    </row>
    <row r="410" customFormat="false" ht="13.8" hidden="false" customHeight="false" outlineLevel="0" collapsed="false">
      <c r="A410" s="11" t="n">
        <v>29054</v>
      </c>
      <c r="B410" s="0" t="s">
        <v>2</v>
      </c>
      <c r="C410" s="0" t="s">
        <v>3</v>
      </c>
      <c r="D410" s="0" t="n">
        <v>1</v>
      </c>
      <c r="E410" s="0" t="n">
        <v>2</v>
      </c>
      <c r="F410" s="0" t="n">
        <v>31</v>
      </c>
      <c r="G410" s="0" t="str">
        <f aca="false">IF(D410=E410,"-",IF(D410&gt;E410,B410,C410))</f>
        <v>Bolivia</v>
      </c>
      <c r="H410" s="0" t="str">
        <f aca="false">IF(D410=E410,"-",IF(D410&lt;E410,B410,C410))</f>
        <v>Argentina</v>
      </c>
    </row>
    <row r="411" customFormat="false" ht="13.8" hidden="false" customHeight="false" outlineLevel="0" collapsed="false">
      <c r="A411" s="11" t="n">
        <v>29062</v>
      </c>
      <c r="B411" s="0" t="s">
        <v>3</v>
      </c>
      <c r="C411" s="0" t="s">
        <v>4</v>
      </c>
      <c r="D411" s="0" t="n">
        <v>2</v>
      </c>
      <c r="E411" s="0" t="n">
        <v>1</v>
      </c>
      <c r="F411" s="0" t="n">
        <v>31</v>
      </c>
      <c r="G411" s="0" t="str">
        <f aca="false">IF(D411=E411,"-",IF(D411&gt;E411,B411,C411))</f>
        <v>Bolivia</v>
      </c>
      <c r="H411" s="0" t="str">
        <f aca="false">IF(D411=E411,"-",IF(D411&lt;E411,B411,C411))</f>
        <v>Brazil</v>
      </c>
    </row>
    <row r="412" customFormat="false" ht="13.8" hidden="false" customHeight="false" outlineLevel="0" collapsed="false">
      <c r="A412" s="0" t="s">
        <v>143</v>
      </c>
      <c r="B412" s="0" t="s">
        <v>6</v>
      </c>
      <c r="C412" s="0" t="s">
        <v>18</v>
      </c>
      <c r="D412" s="0" t="n">
        <v>0</v>
      </c>
      <c r="E412" s="0" t="n">
        <v>0</v>
      </c>
      <c r="F412" s="0" t="n">
        <v>31</v>
      </c>
      <c r="G412" s="0" t="str">
        <f aca="false">IF(D412=E412,"-",IF(D412&gt;E412,B412,C412))</f>
        <v>-</v>
      </c>
      <c r="H412" s="0" t="str">
        <f aca="false">IF(D412=E412,"-",IF(D412&lt;E412,B412,C412))</f>
        <v>-</v>
      </c>
    </row>
    <row r="413" customFormat="false" ht="13.8" hidden="false" customHeight="false" outlineLevel="0" collapsed="false">
      <c r="A413" s="0" t="s">
        <v>144</v>
      </c>
      <c r="B413" s="0" t="s">
        <v>2</v>
      </c>
      <c r="C413" s="0" t="s">
        <v>4</v>
      </c>
      <c r="D413" s="0" t="n">
        <v>1</v>
      </c>
      <c r="E413" s="0" t="n">
        <v>2</v>
      </c>
      <c r="F413" s="0" t="n">
        <v>31</v>
      </c>
      <c r="G413" s="0" t="str">
        <f aca="false">IF(D413=E413,"-",IF(D413&gt;E413,B413,C413))</f>
        <v>Brazil</v>
      </c>
      <c r="H413" s="0" t="str">
        <f aca="false">IF(D413=E413,"-",IF(D413&lt;E413,B413,C413))</f>
        <v>Argentina</v>
      </c>
    </row>
    <row r="414" customFormat="false" ht="13.8" hidden="false" customHeight="false" outlineLevel="0" collapsed="false">
      <c r="A414" s="0" t="s">
        <v>145</v>
      </c>
      <c r="B414" s="0" t="s">
        <v>2</v>
      </c>
      <c r="C414" s="0" t="s">
        <v>3</v>
      </c>
      <c r="D414" s="0" t="n">
        <v>3</v>
      </c>
      <c r="E414" s="0" t="n">
        <v>0</v>
      </c>
      <c r="F414" s="0" t="n">
        <v>31</v>
      </c>
      <c r="G414" s="0" t="str">
        <f aca="false">IF(D414=E414,"-",IF(D414&gt;E414,B414,C414))</f>
        <v>Argentina</v>
      </c>
      <c r="H414" s="0" t="str">
        <f aca="false">IF(D414=E414,"-",IF(D414&lt;E414,B414,C414))</f>
        <v>Bolivia</v>
      </c>
    </row>
    <row r="415" customFormat="false" ht="13.8" hidden="false" customHeight="false" outlineLevel="0" collapsed="false">
      <c r="A415" s="0" t="s">
        <v>145</v>
      </c>
      <c r="B415" s="0" t="s">
        <v>5</v>
      </c>
      <c r="C415" s="0" t="s">
        <v>18</v>
      </c>
      <c r="D415" s="0" t="n">
        <v>1</v>
      </c>
      <c r="E415" s="0" t="n">
        <v>1</v>
      </c>
      <c r="F415" s="0" t="n">
        <v>31</v>
      </c>
      <c r="G415" s="0" t="str">
        <f aca="false">IF(D415=E415,"-",IF(D415&gt;E415,B415,C415))</f>
        <v>-</v>
      </c>
      <c r="H415" s="0" t="str">
        <f aca="false">IF(D415=E415,"-",IF(D415&lt;E415,B415,C415))</f>
        <v>-</v>
      </c>
    </row>
    <row r="416" customFormat="false" ht="13.8" hidden="false" customHeight="false" outlineLevel="0" collapsed="false">
      <c r="A416" s="0" t="s">
        <v>146</v>
      </c>
      <c r="B416" s="0" t="s">
        <v>5</v>
      </c>
      <c r="C416" s="0" t="s">
        <v>6</v>
      </c>
      <c r="D416" s="0" t="n">
        <v>0</v>
      </c>
      <c r="E416" s="0" t="n">
        <v>1</v>
      </c>
      <c r="F416" s="0" t="n">
        <v>31</v>
      </c>
      <c r="G416" s="0" t="str">
        <f aca="false">IF(D416=E416,"-",IF(D416&gt;E416,B416,C416))</f>
        <v>Colombia</v>
      </c>
      <c r="H416" s="0" t="str">
        <f aca="false">IF(D416=E416,"-",IF(D416&lt;E416,B416,C416))</f>
        <v>Chile</v>
      </c>
    </row>
    <row r="417" customFormat="false" ht="13.8" hidden="false" customHeight="false" outlineLevel="0" collapsed="false">
      <c r="A417" s="0" t="s">
        <v>147</v>
      </c>
      <c r="B417" s="0" t="s">
        <v>3</v>
      </c>
      <c r="C417" s="0" t="s">
        <v>4</v>
      </c>
      <c r="D417" s="0" t="n">
        <v>0</v>
      </c>
      <c r="E417" s="0" t="n">
        <v>2</v>
      </c>
      <c r="F417" s="0" t="n">
        <v>31</v>
      </c>
      <c r="G417" s="0" t="str">
        <f aca="false">IF(D417=E417,"-",IF(D417&gt;E417,B417,C417))</f>
        <v>Brazil</v>
      </c>
      <c r="H417" s="0" t="str">
        <f aca="false">IF(D417=E417,"-",IF(D417&lt;E417,B417,C417))</f>
        <v>Bolivia</v>
      </c>
    </row>
    <row r="418" customFormat="false" ht="13.8" hidden="false" customHeight="false" outlineLevel="0" collapsed="false">
      <c r="A418" s="0" t="s">
        <v>148</v>
      </c>
      <c r="B418" s="0" t="s">
        <v>6</v>
      </c>
      <c r="C418" s="0" t="s">
        <v>18</v>
      </c>
      <c r="D418" s="0" t="n">
        <v>4</v>
      </c>
      <c r="E418" s="0" t="n">
        <v>0</v>
      </c>
      <c r="F418" s="0" t="n">
        <v>31</v>
      </c>
      <c r="G418" s="0" t="str">
        <f aca="false">IF(D418=E418,"-",IF(D418&gt;E418,B418,C418))</f>
        <v>Colombia</v>
      </c>
      <c r="H418" s="0" t="str">
        <f aca="false">IF(D418=E418,"-",IF(D418&lt;E418,B418,C418))</f>
        <v>Venezuela</v>
      </c>
    </row>
    <row r="419" customFormat="false" ht="13.8" hidden="false" customHeight="false" outlineLevel="0" collapsed="false">
      <c r="A419" s="0" t="s">
        <v>149</v>
      </c>
      <c r="B419" s="0" t="s">
        <v>2</v>
      </c>
      <c r="C419" s="0" t="s">
        <v>4</v>
      </c>
      <c r="D419" s="0" t="n">
        <v>2</v>
      </c>
      <c r="E419" s="0" t="n">
        <v>2</v>
      </c>
      <c r="F419" s="0" t="n">
        <v>31</v>
      </c>
      <c r="G419" s="0" t="str">
        <f aca="false">IF(D419=E419,"-",IF(D419&gt;E419,B419,C419))</f>
        <v>-</v>
      </c>
      <c r="H419" s="0" t="str">
        <f aca="false">IF(D419=E419,"-",IF(D419&lt;E419,B419,C419))</f>
        <v>-</v>
      </c>
    </row>
    <row r="420" customFormat="false" ht="13.8" hidden="false" customHeight="false" outlineLevel="0" collapsed="false">
      <c r="A420" s="0" t="s">
        <v>150</v>
      </c>
      <c r="B420" s="0" t="s">
        <v>5</v>
      </c>
      <c r="C420" s="0" t="s">
        <v>18</v>
      </c>
      <c r="D420" s="0" t="n">
        <v>7</v>
      </c>
      <c r="E420" s="0" t="n">
        <v>0</v>
      </c>
      <c r="F420" s="0" t="n">
        <v>31</v>
      </c>
      <c r="G420" s="0" t="str">
        <f aca="false">IF(D420=E420,"-",IF(D420&gt;E420,B420,C420))</f>
        <v>Chile</v>
      </c>
      <c r="H420" s="0" t="str">
        <f aca="false">IF(D420=E420,"-",IF(D420&lt;E420,B420,C420))</f>
        <v>Venezuela</v>
      </c>
    </row>
    <row r="421" customFormat="false" ht="13.8" hidden="false" customHeight="false" outlineLevel="0" collapsed="false">
      <c r="A421" s="0" t="s">
        <v>150</v>
      </c>
      <c r="B421" s="0" t="s">
        <v>8</v>
      </c>
      <c r="C421" s="0" t="s">
        <v>13</v>
      </c>
      <c r="D421" s="0" t="n">
        <v>1</v>
      </c>
      <c r="E421" s="0" t="n">
        <v>2</v>
      </c>
      <c r="F421" s="0" t="n">
        <v>31</v>
      </c>
      <c r="G421" s="0" t="str">
        <f aca="false">IF(D421=E421,"-",IF(D421&gt;E421,B421,C421))</f>
        <v>Paraguay</v>
      </c>
      <c r="H421" s="0" t="str">
        <f aca="false">IF(D421=E421,"-",IF(D421&lt;E421,B421,C421))</f>
        <v>Ecuador</v>
      </c>
    </row>
    <row r="422" customFormat="false" ht="13.8" hidden="false" customHeight="false" outlineLevel="0" collapsed="false">
      <c r="A422" s="11" t="n">
        <v>29103</v>
      </c>
      <c r="B422" s="0" t="s">
        <v>5</v>
      </c>
      <c r="C422" s="0" t="s">
        <v>6</v>
      </c>
      <c r="D422" s="0" t="n">
        <v>2</v>
      </c>
      <c r="E422" s="0" t="n">
        <v>0</v>
      </c>
      <c r="F422" s="0" t="n">
        <v>31</v>
      </c>
      <c r="G422" s="0" t="str">
        <f aca="false">IF(D422=E422,"-",IF(D422&gt;E422,B422,C422))</f>
        <v>Chile</v>
      </c>
      <c r="H422" s="0" t="str">
        <f aca="false">IF(D422=E422,"-",IF(D422&lt;E422,B422,C422))</f>
        <v>Colombia</v>
      </c>
    </row>
    <row r="423" customFormat="false" ht="13.8" hidden="false" customHeight="false" outlineLevel="0" collapsed="false">
      <c r="A423" s="11" t="n">
        <v>29103</v>
      </c>
      <c r="B423" s="0" t="s">
        <v>8</v>
      </c>
      <c r="C423" s="0" t="s">
        <v>16</v>
      </c>
      <c r="D423" s="0" t="n">
        <v>2</v>
      </c>
      <c r="E423" s="0" t="n">
        <v>1</v>
      </c>
      <c r="F423" s="0" t="n">
        <v>31</v>
      </c>
      <c r="G423" s="0" t="str">
        <f aca="false">IF(D423=E423,"-",IF(D423&gt;E423,B423,C423))</f>
        <v>Ecuador</v>
      </c>
      <c r="H423" s="0" t="str">
        <f aca="false">IF(D423=E423,"-",IF(D423&lt;E423,B423,C423))</f>
        <v>Uruguay</v>
      </c>
    </row>
    <row r="424" customFormat="false" ht="13.8" hidden="false" customHeight="false" outlineLevel="0" collapsed="false">
      <c r="A424" s="11" t="n">
        <v>29111</v>
      </c>
      <c r="B424" s="0" t="s">
        <v>8</v>
      </c>
      <c r="C424" s="0" t="s">
        <v>13</v>
      </c>
      <c r="D424" s="0" t="n">
        <v>0</v>
      </c>
      <c r="E424" s="0" t="n">
        <v>2</v>
      </c>
      <c r="F424" s="0" t="n">
        <v>31</v>
      </c>
      <c r="G424" s="0" t="str">
        <f aca="false">IF(D424=E424,"-",IF(D424&gt;E424,B424,C424))</f>
        <v>Paraguay</v>
      </c>
      <c r="H424" s="0" t="str">
        <f aca="false">IF(D424=E424,"-",IF(D424&lt;E424,B424,C424))</f>
        <v>Ecuador</v>
      </c>
    </row>
    <row r="425" customFormat="false" ht="13.8" hidden="false" customHeight="false" outlineLevel="0" collapsed="false">
      <c r="A425" s="11" t="n">
        <v>29114</v>
      </c>
      <c r="B425" s="0" t="s">
        <v>8</v>
      </c>
      <c r="C425" s="0" t="s">
        <v>16</v>
      </c>
      <c r="D425" s="0" t="n">
        <v>1</v>
      </c>
      <c r="E425" s="0" t="n">
        <v>2</v>
      </c>
      <c r="F425" s="0" t="n">
        <v>31</v>
      </c>
      <c r="G425" s="0" t="str">
        <f aca="false">IF(D425=E425,"-",IF(D425&gt;E425,B425,C425))</f>
        <v>Uruguay</v>
      </c>
      <c r="H425" s="0" t="str">
        <f aca="false">IF(D425=E425,"-",IF(D425&lt;E425,B425,C425))</f>
        <v>Ecuador</v>
      </c>
    </row>
    <row r="426" customFormat="false" ht="13.8" hidden="false" customHeight="false" outlineLevel="0" collapsed="false">
      <c r="A426" s="11" t="n">
        <v>29118</v>
      </c>
      <c r="B426" s="0" t="s">
        <v>13</v>
      </c>
      <c r="C426" s="0" t="s">
        <v>16</v>
      </c>
      <c r="D426" s="0" t="n">
        <v>0</v>
      </c>
      <c r="E426" s="0" t="n">
        <v>0</v>
      </c>
      <c r="F426" s="0" t="n">
        <v>31</v>
      </c>
      <c r="G426" s="0" t="str">
        <f aca="false">IF(D426=E426,"-",IF(D426&gt;E426,B426,C426))</f>
        <v>-</v>
      </c>
      <c r="H426" s="0" t="str">
        <f aca="false">IF(D426=E426,"-",IF(D426&lt;E426,B426,C426))</f>
        <v>-</v>
      </c>
    </row>
    <row r="427" customFormat="false" ht="13.8" hidden="false" customHeight="false" outlineLevel="0" collapsed="false">
      <c r="A427" s="11" t="n">
        <v>29124</v>
      </c>
      <c r="B427" s="0" t="s">
        <v>13</v>
      </c>
      <c r="C427" s="0" t="s">
        <v>16</v>
      </c>
      <c r="D427" s="0" t="n">
        <v>2</v>
      </c>
      <c r="E427" s="0" t="n">
        <v>2</v>
      </c>
      <c r="F427" s="0" t="n">
        <v>31</v>
      </c>
      <c r="G427" s="0" t="str">
        <f aca="false">IF(D427=E427,"-",IF(D427&gt;E427,B427,C427))</f>
        <v>-</v>
      </c>
      <c r="H427" s="0" t="str">
        <f aca="false">IF(D427=E427,"-",IF(D427&lt;E427,B427,C427))</f>
        <v>-</v>
      </c>
    </row>
    <row r="428" customFormat="false" ht="13.8" hidden="false" customHeight="false" outlineLevel="0" collapsed="false">
      <c r="A428" s="11" t="n">
        <v>29145</v>
      </c>
      <c r="B428" s="0" t="s">
        <v>5</v>
      </c>
      <c r="C428" s="0" t="s">
        <v>14</v>
      </c>
      <c r="D428" s="0" t="n">
        <v>2</v>
      </c>
      <c r="E428" s="0" t="n">
        <v>1</v>
      </c>
      <c r="F428" s="0" t="n">
        <v>31</v>
      </c>
      <c r="G428" s="0" t="str">
        <f aca="false">IF(D428=E428,"-",IF(D428&gt;E428,B428,C428))</f>
        <v>Chile</v>
      </c>
      <c r="H428" s="0" t="str">
        <f aca="false">IF(D428=E428,"-",IF(D428&lt;E428,B428,C428))</f>
        <v>Peru</v>
      </c>
    </row>
    <row r="429" customFormat="false" ht="13.8" hidden="false" customHeight="false" outlineLevel="0" collapsed="false">
      <c r="A429" s="11" t="n">
        <v>29152</v>
      </c>
      <c r="B429" s="0" t="s">
        <v>13</v>
      </c>
      <c r="C429" s="0" t="s">
        <v>4</v>
      </c>
      <c r="D429" s="0" t="n">
        <v>2</v>
      </c>
      <c r="E429" s="0" t="n">
        <v>1</v>
      </c>
      <c r="F429" s="0" t="n">
        <v>31</v>
      </c>
      <c r="G429" s="0" t="str">
        <f aca="false">IF(D429=E429,"-",IF(D429&gt;E429,B429,C429))</f>
        <v>Paraguay</v>
      </c>
      <c r="H429" s="0" t="str">
        <f aca="false">IF(D429=E429,"-",IF(D429&lt;E429,B429,C429))</f>
        <v>Brazil</v>
      </c>
    </row>
    <row r="430" customFormat="false" ht="13.8" hidden="false" customHeight="false" outlineLevel="0" collapsed="false">
      <c r="A430" s="11" t="n">
        <v>29152</v>
      </c>
      <c r="B430" s="0" t="s">
        <v>5</v>
      </c>
      <c r="C430" s="0" t="s">
        <v>14</v>
      </c>
      <c r="D430" s="0" t="n">
        <v>0</v>
      </c>
      <c r="E430" s="0" t="n">
        <v>0</v>
      </c>
      <c r="F430" s="0" t="n">
        <v>31</v>
      </c>
      <c r="G430" s="0" t="str">
        <f aca="false">IF(D430=E430,"-",IF(D430&gt;E430,B430,C430))</f>
        <v>-</v>
      </c>
      <c r="H430" s="0" t="str">
        <f aca="false">IF(D430=E430,"-",IF(D430&lt;E430,B430,C430))</f>
        <v>-</v>
      </c>
    </row>
    <row r="431" customFormat="false" ht="13.8" hidden="false" customHeight="false" outlineLevel="0" collapsed="false">
      <c r="A431" s="11" t="n">
        <v>29159</v>
      </c>
      <c r="B431" s="0" t="s">
        <v>13</v>
      </c>
      <c r="C431" s="0" t="s">
        <v>4</v>
      </c>
      <c r="D431" s="0" t="n">
        <v>2</v>
      </c>
      <c r="E431" s="0" t="n">
        <v>2</v>
      </c>
      <c r="F431" s="0" t="n">
        <v>31</v>
      </c>
      <c r="G431" s="0" t="str">
        <f aca="false">IF(D431=E431,"-",IF(D431&gt;E431,B431,C431))</f>
        <v>-</v>
      </c>
      <c r="H431" s="0" t="str">
        <f aca="false">IF(D431=E431,"-",IF(D431&lt;E431,B431,C431))</f>
        <v>-</v>
      </c>
    </row>
    <row r="432" customFormat="false" ht="13.8" hidden="false" customHeight="false" outlineLevel="0" collapsed="false">
      <c r="A432" s="11" t="n">
        <v>29187</v>
      </c>
      <c r="B432" s="0" t="s">
        <v>5</v>
      </c>
      <c r="C432" s="0" t="s">
        <v>13</v>
      </c>
      <c r="D432" s="0" t="n">
        <v>0</v>
      </c>
      <c r="E432" s="0" t="n">
        <v>3</v>
      </c>
      <c r="F432" s="0" t="n">
        <v>31</v>
      </c>
      <c r="G432" s="0" t="str">
        <f aca="false">IF(D432=E432,"-",IF(D432&gt;E432,B432,C432))</f>
        <v>Paraguay</v>
      </c>
      <c r="H432" s="0" t="str">
        <f aca="false">IF(D432=E432,"-",IF(D432&lt;E432,B432,C432))</f>
        <v>Chile</v>
      </c>
    </row>
    <row r="433" customFormat="false" ht="13.8" hidden="false" customHeight="false" outlineLevel="0" collapsed="false">
      <c r="A433" s="0" t="s">
        <v>151</v>
      </c>
      <c r="B433" s="0" t="s">
        <v>5</v>
      </c>
      <c r="C433" s="0" t="s">
        <v>13</v>
      </c>
      <c r="D433" s="0" t="n">
        <v>1</v>
      </c>
      <c r="E433" s="0" t="n">
        <v>0</v>
      </c>
      <c r="F433" s="0" t="n">
        <v>31</v>
      </c>
      <c r="G433" s="0" t="str">
        <f aca="false">IF(D433=E433,"-",IF(D433&gt;E433,B433,C433))</f>
        <v>Chile</v>
      </c>
      <c r="H433" s="0" t="str">
        <f aca="false">IF(D433=E433,"-",IF(D433&lt;E433,B433,C433))</f>
        <v>Paraguay</v>
      </c>
    </row>
    <row r="434" customFormat="false" ht="13.8" hidden="false" customHeight="false" outlineLevel="0" collapsed="false">
      <c r="A434" s="0" t="s">
        <v>152</v>
      </c>
      <c r="B434" s="0" t="s">
        <v>5</v>
      </c>
      <c r="C434" s="0" t="s">
        <v>13</v>
      </c>
      <c r="D434" s="0" t="n">
        <v>0</v>
      </c>
      <c r="E434" s="0" t="n">
        <v>0</v>
      </c>
      <c r="F434" s="0" t="n">
        <v>31</v>
      </c>
      <c r="G434" s="0" t="str">
        <f aca="false">IF(D434=E434,"-",IF(D434&gt;E434,B434,C434))</f>
        <v>-</v>
      </c>
      <c r="H434" s="0" t="str">
        <f aca="false">IF(D434=E434,"-",IF(D434&lt;E434,B434,C434))</f>
        <v>-</v>
      </c>
    </row>
    <row r="435" customFormat="false" ht="13.8" hidden="false" customHeight="false" outlineLevel="0" collapsed="false">
      <c r="A435" s="0" t="s">
        <v>153</v>
      </c>
      <c r="B435" s="0" t="s">
        <v>2</v>
      </c>
      <c r="C435" s="0" t="s">
        <v>8</v>
      </c>
      <c r="D435" s="0" t="n">
        <v>2</v>
      </c>
      <c r="E435" s="0" t="n">
        <v>2</v>
      </c>
      <c r="F435" s="0" t="n">
        <v>32</v>
      </c>
      <c r="G435" s="0" t="str">
        <f aca="false">IF(D435=E435,"-",IF(D435&gt;E435,B435,C435))</f>
        <v>-</v>
      </c>
      <c r="H435" s="0" t="str">
        <f aca="false">IF(D435=E435,"-",IF(D435&lt;E435,B435,C435))</f>
        <v>-</v>
      </c>
    </row>
    <row r="436" customFormat="false" ht="13.8" hidden="false" customHeight="false" outlineLevel="0" collapsed="false">
      <c r="A436" s="0" t="s">
        <v>154</v>
      </c>
      <c r="B436" s="0" t="s">
        <v>3</v>
      </c>
      <c r="C436" s="0" t="s">
        <v>6</v>
      </c>
      <c r="D436" s="0" t="n">
        <v>0</v>
      </c>
      <c r="E436" s="0" t="n">
        <v>1</v>
      </c>
      <c r="F436" s="0" t="n">
        <v>32</v>
      </c>
      <c r="G436" s="0" t="str">
        <f aca="false">IF(D436=E436,"-",IF(D436&gt;E436,B436,C436))</f>
        <v>Colombia</v>
      </c>
      <c r="H436" s="0" t="str">
        <f aca="false">IF(D436=E436,"-",IF(D436&lt;E436,B436,C436))</f>
        <v>Bolivia</v>
      </c>
    </row>
    <row r="437" customFormat="false" ht="13.8" hidden="false" customHeight="false" outlineLevel="0" collapsed="false">
      <c r="A437" s="0" t="s">
        <v>155</v>
      </c>
      <c r="B437" s="0" t="s">
        <v>8</v>
      </c>
      <c r="C437" s="0" t="s">
        <v>4</v>
      </c>
      <c r="D437" s="0" t="n">
        <v>0</v>
      </c>
      <c r="E437" s="0" t="n">
        <v>1</v>
      </c>
      <c r="F437" s="0" t="n">
        <v>32</v>
      </c>
      <c r="G437" s="0" t="str">
        <f aca="false">IF(D437=E437,"-",IF(D437&gt;E437,B437,C437))</f>
        <v>Brazil</v>
      </c>
      <c r="H437" s="0" t="str">
        <f aca="false">IF(D437=E437,"-",IF(D437&lt;E437,B437,C437))</f>
        <v>Ecuador</v>
      </c>
    </row>
    <row r="438" customFormat="false" ht="13.8" hidden="false" customHeight="false" outlineLevel="0" collapsed="false">
      <c r="A438" s="0" t="s">
        <v>155</v>
      </c>
      <c r="B438" s="0" t="s">
        <v>6</v>
      </c>
      <c r="C438" s="0" t="s">
        <v>14</v>
      </c>
      <c r="D438" s="0" t="n">
        <v>0</v>
      </c>
      <c r="E438" s="0" t="n">
        <v>1</v>
      </c>
      <c r="F438" s="0" t="n">
        <v>32</v>
      </c>
      <c r="G438" s="0" t="str">
        <f aca="false">IF(D438=E438,"-",IF(D438&gt;E438,B438,C438))</f>
        <v>Peru</v>
      </c>
      <c r="H438" s="0" t="str">
        <f aca="false">IF(D438=E438,"-",IF(D438&lt;E438,B438,C438))</f>
        <v>Colombia</v>
      </c>
    </row>
    <row r="439" customFormat="false" ht="13.8" hidden="false" customHeight="false" outlineLevel="0" collapsed="false">
      <c r="A439" s="0" t="s">
        <v>156</v>
      </c>
      <c r="B439" s="0" t="s">
        <v>3</v>
      </c>
      <c r="C439" s="0" t="s">
        <v>14</v>
      </c>
      <c r="D439" s="0" t="n">
        <v>1</v>
      </c>
      <c r="E439" s="0" t="n">
        <v>1</v>
      </c>
      <c r="F439" s="0" t="n">
        <v>32</v>
      </c>
      <c r="G439" s="0" t="str">
        <f aca="false">IF(D439=E439,"-",IF(D439&gt;E439,B439,C439))</f>
        <v>-</v>
      </c>
      <c r="H439" s="0" t="str">
        <f aca="false">IF(D439=E439,"-",IF(D439&lt;E439,B439,C439))</f>
        <v>-</v>
      </c>
    </row>
    <row r="440" customFormat="false" ht="13.8" hidden="false" customHeight="false" outlineLevel="0" collapsed="false">
      <c r="A440" s="0" t="s">
        <v>157</v>
      </c>
      <c r="B440" s="0" t="s">
        <v>2</v>
      </c>
      <c r="C440" s="0" t="s">
        <v>4</v>
      </c>
      <c r="D440" s="0" t="n">
        <v>1</v>
      </c>
      <c r="E440" s="0" t="n">
        <v>0</v>
      </c>
      <c r="F440" s="0" t="n">
        <v>32</v>
      </c>
      <c r="G440" s="0" t="str">
        <f aca="false">IF(D440=E440,"-",IF(D440&gt;E440,B440,C440))</f>
        <v>Argentina</v>
      </c>
      <c r="H440" s="0" t="str">
        <f aca="false">IF(D440=E440,"-",IF(D440&lt;E440,B440,C440))</f>
        <v>Brazil</v>
      </c>
    </row>
    <row r="441" customFormat="false" ht="13.8" hidden="false" customHeight="false" outlineLevel="0" collapsed="false">
      <c r="A441" s="0" t="s">
        <v>158</v>
      </c>
      <c r="B441" s="0" t="s">
        <v>6</v>
      </c>
      <c r="C441" s="0" t="s">
        <v>14</v>
      </c>
      <c r="D441" s="0" t="n">
        <v>2</v>
      </c>
      <c r="E441" s="0" t="n">
        <v>2</v>
      </c>
      <c r="F441" s="0" t="n">
        <v>32</v>
      </c>
      <c r="G441" s="0" t="str">
        <f aca="false">IF(D441=E441,"-",IF(D441&gt;E441,B441,C441))</f>
        <v>-</v>
      </c>
      <c r="H441" s="0" t="str">
        <f aca="false">IF(D441=E441,"-",IF(D441&lt;E441,B441,C441))</f>
        <v>-</v>
      </c>
    </row>
    <row r="442" customFormat="false" ht="13.8" hidden="false" customHeight="false" outlineLevel="0" collapsed="false">
      <c r="A442" s="0" t="s">
        <v>159</v>
      </c>
      <c r="B442" s="0" t="s">
        <v>3</v>
      </c>
      <c r="C442" s="0" t="s">
        <v>6</v>
      </c>
      <c r="D442" s="0" t="n">
        <v>2</v>
      </c>
      <c r="E442" s="0" t="n">
        <v>2</v>
      </c>
      <c r="F442" s="0" t="n">
        <v>32</v>
      </c>
      <c r="G442" s="0" t="str">
        <f aca="false">IF(D442=E442,"-",IF(D442&gt;E442,B442,C442))</f>
        <v>-</v>
      </c>
      <c r="H442" s="0" t="str">
        <f aca="false">IF(D442=E442,"-",IF(D442&lt;E442,B442,C442))</f>
        <v>-</v>
      </c>
    </row>
    <row r="443" customFormat="false" ht="13.8" hidden="false" customHeight="false" outlineLevel="0" collapsed="false">
      <c r="A443" s="11" t="n">
        <v>30560</v>
      </c>
      <c r="B443" s="0" t="s">
        <v>8</v>
      </c>
      <c r="C443" s="0" t="s">
        <v>4</v>
      </c>
      <c r="D443" s="0" t="n">
        <v>0</v>
      </c>
      <c r="E443" s="0" t="n">
        <v>5</v>
      </c>
      <c r="F443" s="0" t="n">
        <v>32</v>
      </c>
      <c r="G443" s="0" t="str">
        <f aca="false">IF(D443=E443,"-",IF(D443&gt;E443,B443,C443))</f>
        <v>Brazil</v>
      </c>
      <c r="H443" s="0" t="str">
        <f aca="false">IF(D443=E443,"-",IF(D443&lt;E443,B443,C443))</f>
        <v>Ecuador</v>
      </c>
    </row>
    <row r="444" customFormat="false" ht="13.8" hidden="false" customHeight="false" outlineLevel="0" collapsed="false">
      <c r="A444" s="11" t="n">
        <v>30560</v>
      </c>
      <c r="B444" s="0" t="s">
        <v>5</v>
      </c>
      <c r="C444" s="0" t="s">
        <v>16</v>
      </c>
      <c r="D444" s="0" t="n">
        <v>1</v>
      </c>
      <c r="E444" s="0" t="n">
        <v>2</v>
      </c>
      <c r="F444" s="0" t="n">
        <v>32</v>
      </c>
      <c r="G444" s="0" t="str">
        <f aca="false">IF(D444=E444,"-",IF(D444&gt;E444,B444,C444))</f>
        <v>Uruguay</v>
      </c>
      <c r="H444" s="0" t="str">
        <f aca="false">IF(D444=E444,"-",IF(D444&lt;E444,B444,C444))</f>
        <v>Chile</v>
      </c>
    </row>
    <row r="445" customFormat="false" ht="13.8" hidden="false" customHeight="false" outlineLevel="0" collapsed="false">
      <c r="A445" s="11" t="n">
        <v>30563</v>
      </c>
      <c r="B445" s="0" t="s">
        <v>3</v>
      </c>
      <c r="C445" s="0" t="s">
        <v>14</v>
      </c>
      <c r="D445" s="0" t="n">
        <v>1</v>
      </c>
      <c r="E445" s="0" t="n">
        <v>2</v>
      </c>
      <c r="F445" s="0" t="n">
        <v>32</v>
      </c>
      <c r="G445" s="0" t="str">
        <f aca="false">IF(D445=E445,"-",IF(D445&gt;E445,B445,C445))</f>
        <v>Peru</v>
      </c>
      <c r="H445" s="0" t="str">
        <f aca="false">IF(D445=E445,"-",IF(D445&lt;E445,B445,C445))</f>
        <v>Bolivia</v>
      </c>
    </row>
    <row r="446" customFormat="false" ht="13.8" hidden="false" customHeight="false" outlineLevel="0" collapsed="false">
      <c r="A446" s="11" t="n">
        <v>30563</v>
      </c>
      <c r="B446" s="0" t="s">
        <v>16</v>
      </c>
      <c r="C446" s="0" t="s">
        <v>18</v>
      </c>
      <c r="D446" s="0" t="n">
        <v>3</v>
      </c>
      <c r="E446" s="0" t="n">
        <v>0</v>
      </c>
      <c r="F446" s="0" t="n">
        <v>32</v>
      </c>
      <c r="G446" s="0" t="str">
        <f aca="false">IF(D446=E446,"-",IF(D446&gt;E446,B446,C446))</f>
        <v>Uruguay</v>
      </c>
      <c r="H446" s="0" t="str">
        <f aca="false">IF(D446=E446,"-",IF(D446&lt;E446,B446,C446))</f>
        <v>Venezuela</v>
      </c>
    </row>
    <row r="447" customFormat="false" ht="13.8" hidden="false" customHeight="false" outlineLevel="0" collapsed="false">
      <c r="A447" s="11" t="n">
        <v>30566</v>
      </c>
      <c r="B447" s="0" t="s">
        <v>2</v>
      </c>
      <c r="C447" s="0" t="s">
        <v>8</v>
      </c>
      <c r="D447" s="0" t="n">
        <v>2</v>
      </c>
      <c r="E447" s="0" t="n">
        <v>2</v>
      </c>
      <c r="F447" s="0" t="n">
        <v>32</v>
      </c>
      <c r="G447" s="0" t="str">
        <f aca="false">IF(D447=E447,"-",IF(D447&gt;E447,B447,C447))</f>
        <v>-</v>
      </c>
      <c r="H447" s="0" t="str">
        <f aca="false">IF(D447=E447,"-",IF(D447&lt;E447,B447,C447))</f>
        <v>-</v>
      </c>
    </row>
    <row r="448" customFormat="false" ht="13.8" hidden="false" customHeight="false" outlineLevel="0" collapsed="false">
      <c r="A448" s="11" t="n">
        <v>30567</v>
      </c>
      <c r="B448" s="0" t="s">
        <v>5</v>
      </c>
      <c r="C448" s="0" t="s">
        <v>18</v>
      </c>
      <c r="D448" s="0" t="n">
        <v>5</v>
      </c>
      <c r="E448" s="0" t="n">
        <v>0</v>
      </c>
      <c r="F448" s="0" t="n">
        <v>32</v>
      </c>
      <c r="G448" s="0" t="str">
        <f aca="false">IF(D448=E448,"-",IF(D448&gt;E448,B448,C448))</f>
        <v>Chile</v>
      </c>
      <c r="H448" s="0" t="str">
        <f aca="false">IF(D448=E448,"-",IF(D448&lt;E448,B448,C448))</f>
        <v>Venezuela</v>
      </c>
    </row>
    <row r="449" customFormat="false" ht="13.8" hidden="false" customHeight="false" outlineLevel="0" collapsed="false">
      <c r="A449" s="11" t="n">
        <v>30570</v>
      </c>
      <c r="B449" s="0" t="s">
        <v>5</v>
      </c>
      <c r="C449" s="0" t="s">
        <v>16</v>
      </c>
      <c r="D449" s="0" t="n">
        <v>2</v>
      </c>
      <c r="E449" s="0" t="n">
        <v>0</v>
      </c>
      <c r="F449" s="0" t="n">
        <v>32</v>
      </c>
      <c r="G449" s="0" t="str">
        <f aca="false">IF(D449=E449,"-",IF(D449&gt;E449,B449,C449))</f>
        <v>Chile</v>
      </c>
      <c r="H449" s="0" t="str">
        <f aca="false">IF(D449=E449,"-",IF(D449&lt;E449,B449,C449))</f>
        <v>Uruguay</v>
      </c>
    </row>
    <row r="450" customFormat="false" ht="13.8" hidden="false" customHeight="false" outlineLevel="0" collapsed="false">
      <c r="A450" s="11" t="n">
        <v>30573</v>
      </c>
      <c r="B450" s="0" t="s">
        <v>2</v>
      </c>
      <c r="C450" s="0" t="s">
        <v>4</v>
      </c>
      <c r="D450" s="0" t="n">
        <v>0</v>
      </c>
      <c r="E450" s="0" t="n">
        <v>0</v>
      </c>
      <c r="F450" s="0" t="n">
        <v>32</v>
      </c>
      <c r="G450" s="0" t="str">
        <f aca="false">IF(D450=E450,"-",IF(D450&gt;E450,B450,C450))</f>
        <v>-</v>
      </c>
      <c r="H450" s="0" t="str">
        <f aca="false">IF(D450=E450,"-",IF(D450&lt;E450,B450,C450))</f>
        <v>-</v>
      </c>
    </row>
    <row r="451" customFormat="false" ht="13.8" hidden="false" customHeight="false" outlineLevel="0" collapsed="false">
      <c r="A451" s="11" t="n">
        <v>30577</v>
      </c>
      <c r="B451" s="0" t="s">
        <v>16</v>
      </c>
      <c r="C451" s="0" t="s">
        <v>18</v>
      </c>
      <c r="D451" s="0" t="n">
        <v>2</v>
      </c>
      <c r="E451" s="0" t="n">
        <v>1</v>
      </c>
      <c r="F451" s="0" t="n">
        <v>32</v>
      </c>
      <c r="G451" s="0" t="str">
        <f aca="false">IF(D451=E451,"-",IF(D451&gt;E451,B451,C451))</f>
        <v>Uruguay</v>
      </c>
      <c r="H451" s="0" t="str">
        <f aca="false">IF(D451=E451,"-",IF(D451&lt;E451,B451,C451))</f>
        <v>Venezuela</v>
      </c>
    </row>
    <row r="452" customFormat="false" ht="13.8" hidden="false" customHeight="false" outlineLevel="0" collapsed="false">
      <c r="A452" s="11" t="n">
        <v>30580</v>
      </c>
      <c r="B452" s="0" t="s">
        <v>5</v>
      </c>
      <c r="C452" s="0" t="s">
        <v>18</v>
      </c>
      <c r="D452" s="0" t="n">
        <v>0</v>
      </c>
      <c r="E452" s="0" t="n">
        <v>0</v>
      </c>
      <c r="F452" s="0" t="n">
        <v>32</v>
      </c>
      <c r="G452" s="0" t="str">
        <f aca="false">IF(D452=E452,"-",IF(D452&gt;E452,B452,C452))</f>
        <v>-</v>
      </c>
      <c r="H452" s="0" t="str">
        <f aca="false">IF(D452=E452,"-",IF(D452&lt;E452,B452,C452))</f>
        <v>-</v>
      </c>
    </row>
    <row r="453" customFormat="false" ht="13.8" hidden="false" customHeight="false" outlineLevel="0" collapsed="false">
      <c r="A453" s="11" t="n">
        <v>30602</v>
      </c>
      <c r="B453" s="0" t="s">
        <v>14</v>
      </c>
      <c r="C453" s="0" t="s">
        <v>16</v>
      </c>
      <c r="D453" s="0" t="n">
        <v>0</v>
      </c>
      <c r="E453" s="0" t="n">
        <v>1</v>
      </c>
      <c r="F453" s="0" t="n">
        <v>32</v>
      </c>
      <c r="G453" s="0" t="str">
        <f aca="false">IF(D453=E453,"-",IF(D453&gt;E453,B453,C453))</f>
        <v>Uruguay</v>
      </c>
      <c r="H453" s="0" t="str">
        <f aca="false">IF(D453=E453,"-",IF(D453&lt;E453,B453,C453))</f>
        <v>Peru</v>
      </c>
    </row>
    <row r="454" customFormat="false" ht="13.8" hidden="false" customHeight="false" outlineLevel="0" collapsed="false">
      <c r="A454" s="11" t="n">
        <v>30602</v>
      </c>
      <c r="B454" s="0" t="s">
        <v>13</v>
      </c>
      <c r="C454" s="0" t="s">
        <v>4</v>
      </c>
      <c r="D454" s="0" t="n">
        <v>1</v>
      </c>
      <c r="E454" s="0" t="n">
        <v>1</v>
      </c>
      <c r="F454" s="0" t="n">
        <v>32</v>
      </c>
      <c r="G454" s="0" t="str">
        <f aca="false">IF(D454=E454,"-",IF(D454&gt;E454,B454,C454))</f>
        <v>-</v>
      </c>
      <c r="H454" s="0" t="str">
        <f aca="false">IF(D454=E454,"-",IF(D454&lt;E454,B454,C454))</f>
        <v>-</v>
      </c>
    </row>
    <row r="455" customFormat="false" ht="13.8" hidden="false" customHeight="false" outlineLevel="0" collapsed="false">
      <c r="A455" s="11" t="n">
        <v>30609</v>
      </c>
      <c r="B455" s="0" t="s">
        <v>14</v>
      </c>
      <c r="C455" s="0" t="s">
        <v>16</v>
      </c>
      <c r="D455" s="0" t="n">
        <v>1</v>
      </c>
      <c r="E455" s="0" t="n">
        <v>1</v>
      </c>
      <c r="F455" s="0" t="n">
        <v>32</v>
      </c>
      <c r="G455" s="0" t="str">
        <f aca="false">IF(D455=E455,"-",IF(D455&gt;E455,B455,C455))</f>
        <v>-</v>
      </c>
      <c r="H455" s="0" t="str">
        <f aca="false">IF(D455=E455,"-",IF(D455&lt;E455,B455,C455))</f>
        <v>-</v>
      </c>
    </row>
    <row r="456" customFormat="false" ht="13.8" hidden="false" customHeight="false" outlineLevel="0" collapsed="false">
      <c r="A456" s="11" t="n">
        <v>30609</v>
      </c>
      <c r="B456" s="0" t="s">
        <v>13</v>
      </c>
      <c r="C456" s="0" t="s">
        <v>4</v>
      </c>
      <c r="D456" s="0" t="n">
        <v>0</v>
      </c>
      <c r="E456" s="0" t="n">
        <v>0</v>
      </c>
      <c r="F456" s="0" t="n">
        <v>32</v>
      </c>
      <c r="G456" s="0" t="str">
        <f aca="false">IF(D456=E456,"-",IF(D456&gt;E456,B456,C456))</f>
        <v>-</v>
      </c>
      <c r="H456" s="0" t="str">
        <f aca="false">IF(D456=E456,"-",IF(D456&lt;E456,B456,C456))</f>
        <v>-</v>
      </c>
    </row>
    <row r="457" customFormat="false" ht="13.8" hidden="false" customHeight="false" outlineLevel="0" collapsed="false">
      <c r="A457" s="11" t="n">
        <v>30616</v>
      </c>
      <c r="B457" s="0" t="s">
        <v>16</v>
      </c>
      <c r="C457" s="0" t="s">
        <v>4</v>
      </c>
      <c r="D457" s="0" t="n">
        <v>2</v>
      </c>
      <c r="E457" s="0" t="n">
        <v>0</v>
      </c>
      <c r="F457" s="0" t="n">
        <v>32</v>
      </c>
      <c r="G457" s="0" t="str">
        <f aca="false">IF(D457=E457,"-",IF(D457&gt;E457,B457,C457))</f>
        <v>Uruguay</v>
      </c>
      <c r="H457" s="0" t="str">
        <f aca="false">IF(D457=E457,"-",IF(D457&lt;E457,B457,C457))</f>
        <v>Brazil</v>
      </c>
    </row>
    <row r="458" customFormat="false" ht="13.8" hidden="false" customHeight="false" outlineLevel="0" collapsed="false">
      <c r="A458" s="11" t="n">
        <v>30624</v>
      </c>
      <c r="B458" s="0" t="s">
        <v>16</v>
      </c>
      <c r="C458" s="0" t="s">
        <v>4</v>
      </c>
      <c r="D458" s="0" t="n">
        <v>1</v>
      </c>
      <c r="E458" s="0" t="n">
        <v>1</v>
      </c>
      <c r="F458" s="0" t="n">
        <v>32</v>
      </c>
      <c r="G458" s="0" t="str">
        <f aca="false">IF(D458=E458,"-",IF(D458&gt;E458,B458,C458))</f>
        <v>-</v>
      </c>
      <c r="H458" s="0" t="str">
        <f aca="false">IF(D458=E458,"-",IF(D458&lt;E458,B458,C458))</f>
        <v>-</v>
      </c>
    </row>
    <row r="459" customFormat="false" ht="13.8" hidden="false" customHeight="false" outlineLevel="0" collapsed="false">
      <c r="A459" s="11" t="n">
        <v>31955</v>
      </c>
      <c r="B459" s="0" t="s">
        <v>2</v>
      </c>
      <c r="C459" s="0" t="s">
        <v>14</v>
      </c>
      <c r="D459" s="0" t="n">
        <v>1</v>
      </c>
      <c r="E459" s="0" t="n">
        <v>1</v>
      </c>
      <c r="F459" s="0" t="n">
        <v>33</v>
      </c>
      <c r="G459" s="0" t="str">
        <f aca="false">IF(D459=E459,"-",IF(D459&gt;E459,B459,C459))</f>
        <v>-</v>
      </c>
      <c r="H459" s="0" t="str">
        <f aca="false">IF(D459=E459,"-",IF(D459&lt;E459,B459,C459))</f>
        <v>-</v>
      </c>
    </row>
    <row r="460" customFormat="false" ht="13.8" hidden="false" customHeight="false" outlineLevel="0" collapsed="false">
      <c r="A460" s="11" t="n">
        <v>31956</v>
      </c>
      <c r="B460" s="0" t="s">
        <v>3</v>
      </c>
      <c r="C460" s="0" t="s">
        <v>13</v>
      </c>
      <c r="D460" s="0" t="n">
        <v>0</v>
      </c>
      <c r="E460" s="0" t="n">
        <v>0</v>
      </c>
      <c r="F460" s="0" t="n">
        <v>33</v>
      </c>
      <c r="G460" s="0" t="str">
        <f aca="false">IF(D460=E460,"-",IF(D460&gt;E460,B460,C460))</f>
        <v>-</v>
      </c>
      <c r="H460" s="0" t="str">
        <f aca="false">IF(D460=E460,"-",IF(D460&lt;E460,B460,C460))</f>
        <v>-</v>
      </c>
    </row>
    <row r="461" customFormat="false" ht="13.8" hidden="false" customHeight="false" outlineLevel="0" collapsed="false">
      <c r="A461" s="11" t="n">
        <v>31956</v>
      </c>
      <c r="B461" s="0" t="s">
        <v>18</v>
      </c>
      <c r="C461" s="0" t="s">
        <v>4</v>
      </c>
      <c r="D461" s="0" t="n">
        <v>0</v>
      </c>
      <c r="E461" s="0" t="n">
        <v>5</v>
      </c>
      <c r="F461" s="0" t="n">
        <v>33</v>
      </c>
      <c r="G461" s="0" t="str">
        <f aca="false">IF(D461=E461,"-",IF(D461&gt;E461,B461,C461))</f>
        <v>Brazil</v>
      </c>
      <c r="H461" s="0" t="str">
        <f aca="false">IF(D461=E461,"-",IF(D461&lt;E461,B461,C461))</f>
        <v>Venezuela</v>
      </c>
    </row>
    <row r="462" customFormat="false" ht="13.8" hidden="false" customHeight="false" outlineLevel="0" collapsed="false">
      <c r="A462" s="11" t="n">
        <v>31958</v>
      </c>
      <c r="B462" s="0" t="s">
        <v>5</v>
      </c>
      <c r="C462" s="0" t="s">
        <v>18</v>
      </c>
      <c r="D462" s="0" t="n">
        <v>3</v>
      </c>
      <c r="E462" s="0" t="n">
        <v>1</v>
      </c>
      <c r="F462" s="0" t="n">
        <v>33</v>
      </c>
      <c r="G462" s="0" t="str">
        <f aca="false">IF(D462=E462,"-",IF(D462&gt;E462,B462,C462))</f>
        <v>Chile</v>
      </c>
      <c r="H462" s="0" t="str">
        <f aca="false">IF(D462=E462,"-",IF(D462&lt;E462,B462,C462))</f>
        <v>Venezuela</v>
      </c>
    </row>
    <row r="463" customFormat="false" ht="13.8" hidden="false" customHeight="false" outlineLevel="0" collapsed="false">
      <c r="A463" s="11" t="n">
        <v>31959</v>
      </c>
      <c r="B463" s="0" t="s">
        <v>3</v>
      </c>
      <c r="C463" s="0" t="s">
        <v>6</v>
      </c>
      <c r="D463" s="0" t="n">
        <v>0</v>
      </c>
      <c r="E463" s="0" t="n">
        <v>2</v>
      </c>
      <c r="F463" s="0" t="n">
        <v>33</v>
      </c>
      <c r="G463" s="0" t="str">
        <f aca="false">IF(D463=E463,"-",IF(D463&gt;E463,B463,C463))</f>
        <v>Colombia</v>
      </c>
      <c r="H463" s="0" t="str">
        <f aca="false">IF(D463=E463,"-",IF(D463&lt;E463,B463,C463))</f>
        <v>Bolivia</v>
      </c>
    </row>
    <row r="464" customFormat="false" ht="13.8" hidden="false" customHeight="false" outlineLevel="0" collapsed="false">
      <c r="A464" s="11" t="n">
        <v>31960</v>
      </c>
      <c r="B464" s="0" t="s">
        <v>2</v>
      </c>
      <c r="C464" s="0" t="s">
        <v>8</v>
      </c>
      <c r="D464" s="0" t="n">
        <v>3</v>
      </c>
      <c r="E464" s="0" t="n">
        <v>0</v>
      </c>
      <c r="F464" s="0" t="n">
        <v>33</v>
      </c>
      <c r="G464" s="0" t="str">
        <f aca="false">IF(D464=E464,"-",IF(D464&gt;E464,B464,C464))</f>
        <v>Argentina</v>
      </c>
      <c r="H464" s="0" t="str">
        <f aca="false">IF(D464=E464,"-",IF(D464&lt;E464,B464,C464))</f>
        <v>Ecuador</v>
      </c>
    </row>
    <row r="465" customFormat="false" ht="13.8" hidden="false" customHeight="false" outlineLevel="0" collapsed="false">
      <c r="A465" s="11" t="n">
        <v>31961</v>
      </c>
      <c r="B465" s="0" t="s">
        <v>5</v>
      </c>
      <c r="C465" s="0" t="s">
        <v>4</v>
      </c>
      <c r="D465" s="0" t="n">
        <v>4</v>
      </c>
      <c r="E465" s="0" t="n">
        <v>0</v>
      </c>
      <c r="F465" s="0" t="n">
        <v>33</v>
      </c>
      <c r="G465" s="0" t="str">
        <f aca="false">IF(D465=E465,"-",IF(D465&gt;E465,B465,C465))</f>
        <v>Chile</v>
      </c>
      <c r="H465" s="0" t="str">
        <f aca="false">IF(D465=E465,"-",IF(D465&lt;E465,B465,C465))</f>
        <v>Brazil</v>
      </c>
    </row>
    <row r="466" customFormat="false" ht="13.8" hidden="false" customHeight="false" outlineLevel="0" collapsed="false">
      <c r="A466" s="11" t="n">
        <v>31962</v>
      </c>
      <c r="B466" s="0" t="s">
        <v>8</v>
      </c>
      <c r="C466" s="0" t="s">
        <v>14</v>
      </c>
      <c r="D466" s="0" t="n">
        <v>1</v>
      </c>
      <c r="E466" s="0" t="n">
        <v>1</v>
      </c>
      <c r="F466" s="0" t="n">
        <v>33</v>
      </c>
      <c r="G466" s="0" t="str">
        <f aca="false">IF(D466=E466,"-",IF(D466&gt;E466,B466,C466))</f>
        <v>-</v>
      </c>
      <c r="H466" s="0" t="str">
        <f aca="false">IF(D466=E466,"-",IF(D466&lt;E466,B466,C466))</f>
        <v>-</v>
      </c>
    </row>
    <row r="467" customFormat="false" ht="13.8" hidden="false" customHeight="false" outlineLevel="0" collapsed="false">
      <c r="A467" s="11" t="n">
        <v>31963</v>
      </c>
      <c r="B467" s="0" t="s">
        <v>6</v>
      </c>
      <c r="C467" s="0" t="s">
        <v>13</v>
      </c>
      <c r="D467" s="0" t="n">
        <v>3</v>
      </c>
      <c r="E467" s="0" t="n">
        <v>0</v>
      </c>
      <c r="F467" s="0" t="n">
        <v>33</v>
      </c>
      <c r="G467" s="0" t="str">
        <f aca="false">IF(D467=E467,"-",IF(D467&gt;E467,B467,C467))</f>
        <v>Colombia</v>
      </c>
      <c r="H467" s="0" t="str">
        <f aca="false">IF(D467=E467,"-",IF(D467&lt;E467,B467,C467))</f>
        <v>Paraguay</v>
      </c>
    </row>
    <row r="468" customFormat="false" ht="13.8" hidden="false" customHeight="false" outlineLevel="0" collapsed="false">
      <c r="A468" s="11" t="n">
        <v>31966</v>
      </c>
      <c r="B468" s="0" t="s">
        <v>5</v>
      </c>
      <c r="C468" s="0" t="s">
        <v>6</v>
      </c>
      <c r="D468" s="0" t="n">
        <v>2</v>
      </c>
      <c r="E468" s="0" t="n">
        <v>1</v>
      </c>
      <c r="F468" s="0" t="n">
        <v>33</v>
      </c>
      <c r="G468" s="0" t="str">
        <f aca="false">IF(D468=E468,"-",IF(D468&gt;E468,B468,C468))</f>
        <v>Chile</v>
      </c>
      <c r="H468" s="0" t="str">
        <f aca="false">IF(D468=E468,"-",IF(D468&lt;E468,B468,C468))</f>
        <v>Colombia</v>
      </c>
    </row>
    <row r="469" customFormat="false" ht="13.8" hidden="false" customHeight="false" outlineLevel="0" collapsed="false">
      <c r="A469" s="11" t="n">
        <v>31967</v>
      </c>
      <c r="B469" s="0" t="s">
        <v>2</v>
      </c>
      <c r="C469" s="0" t="s">
        <v>16</v>
      </c>
      <c r="D469" s="0" t="n">
        <v>0</v>
      </c>
      <c r="E469" s="0" t="n">
        <v>1</v>
      </c>
      <c r="F469" s="0" t="n">
        <v>33</v>
      </c>
      <c r="G469" s="0" t="str">
        <f aca="false">IF(D469=E469,"-",IF(D469&gt;E469,B469,C469))</f>
        <v>Uruguay</v>
      </c>
      <c r="H469" s="0" t="str">
        <f aca="false">IF(D469=E469,"-",IF(D469&lt;E469,B469,C469))</f>
        <v>Argentina</v>
      </c>
    </row>
    <row r="470" customFormat="false" ht="13.8" hidden="false" customHeight="false" outlineLevel="0" collapsed="false">
      <c r="A470" s="11" t="n">
        <v>31969</v>
      </c>
      <c r="B470" s="0" t="s">
        <v>2</v>
      </c>
      <c r="C470" s="0" t="s">
        <v>6</v>
      </c>
      <c r="D470" s="0" t="n">
        <v>1</v>
      </c>
      <c r="E470" s="0" t="n">
        <v>2</v>
      </c>
      <c r="F470" s="0" t="n">
        <v>33</v>
      </c>
      <c r="G470" s="0" t="str">
        <f aca="false">IF(D470=E470,"-",IF(D470&gt;E470,B470,C470))</f>
        <v>Colombia</v>
      </c>
      <c r="H470" s="0" t="str">
        <f aca="false">IF(D470=E470,"-",IF(D470&lt;E470,B470,C470))</f>
        <v>Argentina</v>
      </c>
    </row>
    <row r="471" customFormat="false" ht="13.8" hidden="false" customHeight="false" outlineLevel="0" collapsed="false">
      <c r="A471" s="11" t="n">
        <v>31970</v>
      </c>
      <c r="B471" s="0" t="s">
        <v>5</v>
      </c>
      <c r="C471" s="0" t="s">
        <v>16</v>
      </c>
      <c r="D471" s="0" t="n">
        <v>0</v>
      </c>
      <c r="E471" s="0" t="n">
        <v>1</v>
      </c>
      <c r="F471" s="0" t="n">
        <v>33</v>
      </c>
      <c r="G471" s="0" t="str">
        <f aca="false">IF(D471=E471,"-",IF(D471&gt;E471,B471,C471))</f>
        <v>Uruguay</v>
      </c>
      <c r="H471" s="0" t="str">
        <f aca="false">IF(D471=E471,"-",IF(D471&lt;E471,B471,C471))</f>
        <v>Chile</v>
      </c>
    </row>
    <row r="472" customFormat="false" ht="13.8" hidden="false" customHeight="false" outlineLevel="0" collapsed="false">
      <c r="A472" s="11" t="n">
        <v>32690</v>
      </c>
      <c r="B472" s="0" t="s">
        <v>13</v>
      </c>
      <c r="C472" s="0" t="s">
        <v>14</v>
      </c>
      <c r="D472" s="0" t="n">
        <v>5</v>
      </c>
      <c r="E472" s="0" t="n">
        <v>2</v>
      </c>
      <c r="F472" s="0" t="n">
        <v>34</v>
      </c>
      <c r="G472" s="0" t="str">
        <f aca="false">IF(D472=E472,"-",IF(D472&gt;E472,B472,C472))</f>
        <v>Paraguay</v>
      </c>
      <c r="H472" s="0" t="str">
        <f aca="false">IF(D472=E472,"-",IF(D472&lt;E472,B472,C472))</f>
        <v>Peru</v>
      </c>
    </row>
    <row r="473" customFormat="false" ht="13.8" hidden="false" customHeight="false" outlineLevel="0" collapsed="false">
      <c r="A473" s="11" t="n">
        <v>32690</v>
      </c>
      <c r="B473" s="0" t="s">
        <v>18</v>
      </c>
      <c r="C473" s="0" t="s">
        <v>4</v>
      </c>
      <c r="D473" s="0" t="n">
        <v>1</v>
      </c>
      <c r="E473" s="0" t="n">
        <v>3</v>
      </c>
      <c r="F473" s="0" t="n">
        <v>34</v>
      </c>
      <c r="G473" s="0" t="str">
        <f aca="false">IF(D473=E473,"-",IF(D473&gt;E473,B473,C473))</f>
        <v>Brazil</v>
      </c>
      <c r="H473" s="0" t="str">
        <f aca="false">IF(D473=E473,"-",IF(D473&lt;E473,B473,C473))</f>
        <v>Venezuela</v>
      </c>
    </row>
    <row r="474" customFormat="false" ht="13.8" hidden="false" customHeight="false" outlineLevel="0" collapsed="false">
      <c r="A474" s="11" t="n">
        <v>32691</v>
      </c>
      <c r="B474" s="0" t="s">
        <v>2</v>
      </c>
      <c r="C474" s="0" t="s">
        <v>5</v>
      </c>
      <c r="D474" s="0" t="n">
        <v>1</v>
      </c>
      <c r="E474" s="0" t="n">
        <v>0</v>
      </c>
      <c r="F474" s="0" t="n">
        <v>34</v>
      </c>
      <c r="G474" s="0" t="str">
        <f aca="false">IF(D474=E474,"-",IF(D474&gt;E474,B474,C474))</f>
        <v>Argentina</v>
      </c>
      <c r="H474" s="0" t="str">
        <f aca="false">IF(D474=E474,"-",IF(D474&lt;E474,B474,C474))</f>
        <v>Chile</v>
      </c>
    </row>
    <row r="475" customFormat="false" ht="13.8" hidden="false" customHeight="false" outlineLevel="0" collapsed="false">
      <c r="A475" s="11" t="n">
        <v>32691</v>
      </c>
      <c r="B475" s="0" t="s">
        <v>8</v>
      </c>
      <c r="C475" s="0" t="s">
        <v>16</v>
      </c>
      <c r="D475" s="0" t="n">
        <v>1</v>
      </c>
      <c r="E475" s="0" t="n">
        <v>0</v>
      </c>
      <c r="F475" s="0" t="n">
        <v>34</v>
      </c>
      <c r="G475" s="0" t="str">
        <f aca="false">IF(D475=E475,"-",IF(D475&gt;E475,B475,C475))</f>
        <v>Ecuador</v>
      </c>
      <c r="H475" s="0" t="str">
        <f aca="false">IF(D475=E475,"-",IF(D475&lt;E475,B475,C475))</f>
        <v>Uruguay</v>
      </c>
    </row>
    <row r="476" customFormat="false" ht="13.8" hidden="false" customHeight="false" outlineLevel="0" collapsed="false">
      <c r="A476" s="11" t="n">
        <v>32692</v>
      </c>
      <c r="B476" s="0" t="s">
        <v>6</v>
      </c>
      <c r="C476" s="0" t="s">
        <v>18</v>
      </c>
      <c r="D476" s="0" t="n">
        <v>4</v>
      </c>
      <c r="E476" s="0" t="n">
        <v>2</v>
      </c>
      <c r="F476" s="0" t="n">
        <v>34</v>
      </c>
      <c r="G476" s="0" t="str">
        <f aca="false">IF(D476=E476,"-",IF(D476&gt;E476,B476,C476))</f>
        <v>Colombia</v>
      </c>
      <c r="H476" s="0" t="str">
        <f aca="false">IF(D476=E476,"-",IF(D476&lt;E476,B476,C476))</f>
        <v>Venezuela</v>
      </c>
    </row>
    <row r="477" customFormat="false" ht="13.8" hidden="false" customHeight="false" outlineLevel="0" collapsed="false">
      <c r="A477" s="11" t="n">
        <v>32692</v>
      </c>
      <c r="B477" s="0" t="s">
        <v>14</v>
      </c>
      <c r="C477" s="0" t="s">
        <v>4</v>
      </c>
      <c r="D477" s="0" t="n">
        <v>0</v>
      </c>
      <c r="E477" s="0" t="n">
        <v>0</v>
      </c>
      <c r="F477" s="0" t="n">
        <v>34</v>
      </c>
      <c r="G477" s="0" t="str">
        <f aca="false">IF(D477=E477,"-",IF(D477&gt;E477,B477,C477))</f>
        <v>-</v>
      </c>
      <c r="H477" s="0" t="str">
        <f aca="false">IF(D477=E477,"-",IF(D477&lt;E477,B477,C477))</f>
        <v>-</v>
      </c>
    </row>
    <row r="478" customFormat="false" ht="13.8" hidden="false" customHeight="false" outlineLevel="0" collapsed="false">
      <c r="A478" s="11" t="n">
        <v>32693</v>
      </c>
      <c r="B478" s="0" t="s">
        <v>2</v>
      </c>
      <c r="C478" s="0" t="s">
        <v>8</v>
      </c>
      <c r="D478" s="0" t="n">
        <v>0</v>
      </c>
      <c r="E478" s="0" t="n">
        <v>0</v>
      </c>
      <c r="F478" s="0" t="n">
        <v>34</v>
      </c>
      <c r="G478" s="0" t="str">
        <f aca="false">IF(D478=E478,"-",IF(D478&gt;E478,B478,C478))</f>
        <v>-</v>
      </c>
      <c r="H478" s="0" t="str">
        <f aca="false">IF(D478=E478,"-",IF(D478&lt;E478,B478,C478))</f>
        <v>-</v>
      </c>
    </row>
    <row r="479" customFormat="false" ht="13.8" hidden="false" customHeight="false" outlineLevel="0" collapsed="false">
      <c r="A479" s="11" t="n">
        <v>32693</v>
      </c>
      <c r="B479" s="0" t="s">
        <v>3</v>
      </c>
      <c r="C479" s="0" t="s">
        <v>16</v>
      </c>
      <c r="D479" s="0" t="n">
        <v>0</v>
      </c>
      <c r="E479" s="0" t="n">
        <v>3</v>
      </c>
      <c r="F479" s="0" t="n">
        <v>34</v>
      </c>
      <c r="G479" s="0" t="str">
        <f aca="false">IF(D479=E479,"-",IF(D479&gt;E479,B479,C479))</f>
        <v>Uruguay</v>
      </c>
      <c r="H479" s="0" t="str">
        <f aca="false">IF(D479=E479,"-",IF(D479&lt;E479,B479,C479))</f>
        <v>Bolivia</v>
      </c>
    </row>
    <row r="480" customFormat="false" ht="13.8" hidden="false" customHeight="false" outlineLevel="0" collapsed="false">
      <c r="A480" s="11" t="n">
        <v>32694</v>
      </c>
      <c r="B480" s="0" t="s">
        <v>6</v>
      </c>
      <c r="C480" s="0" t="s">
        <v>13</v>
      </c>
      <c r="D480" s="0" t="n">
        <v>0</v>
      </c>
      <c r="E480" s="0" t="n">
        <v>1</v>
      </c>
      <c r="F480" s="0" t="n">
        <v>34</v>
      </c>
      <c r="G480" s="0" t="str">
        <f aca="false">IF(D480=E480,"-",IF(D480&gt;E480,B480,C480))</f>
        <v>Paraguay</v>
      </c>
      <c r="H480" s="0" t="str">
        <f aca="false">IF(D480=E480,"-",IF(D480&lt;E480,B480,C480))</f>
        <v>Colombia</v>
      </c>
    </row>
    <row r="481" customFormat="false" ht="13.8" hidden="false" customHeight="false" outlineLevel="0" collapsed="false">
      <c r="A481" s="11" t="n">
        <v>32694</v>
      </c>
      <c r="B481" s="0" t="s">
        <v>14</v>
      </c>
      <c r="C481" s="0" t="s">
        <v>18</v>
      </c>
      <c r="D481" s="0" t="n">
        <v>1</v>
      </c>
      <c r="E481" s="0" t="n">
        <v>1</v>
      </c>
      <c r="F481" s="0" t="n">
        <v>34</v>
      </c>
      <c r="G481" s="0" t="str">
        <f aca="false">IF(D481=E481,"-",IF(D481&gt;E481,B481,C481))</f>
        <v>-</v>
      </c>
      <c r="H481" s="0" t="str">
        <f aca="false">IF(D481=E481,"-",IF(D481&lt;E481,B481,C481))</f>
        <v>-</v>
      </c>
    </row>
    <row r="482" customFormat="false" ht="13.8" hidden="false" customHeight="false" outlineLevel="0" collapsed="false">
      <c r="A482" s="11" t="n">
        <v>32695</v>
      </c>
      <c r="B482" s="0" t="s">
        <v>3</v>
      </c>
      <c r="C482" s="0" t="s">
        <v>8</v>
      </c>
      <c r="D482" s="0" t="n">
        <v>0</v>
      </c>
      <c r="E482" s="0" t="n">
        <v>0</v>
      </c>
      <c r="F482" s="0" t="n">
        <v>34</v>
      </c>
      <c r="G482" s="0" t="str">
        <f aca="false">IF(D482=E482,"-",IF(D482&gt;E482,B482,C482))</f>
        <v>-</v>
      </c>
      <c r="H482" s="0" t="str">
        <f aca="false">IF(D482=E482,"-",IF(D482&lt;E482,B482,C482))</f>
        <v>-</v>
      </c>
    </row>
    <row r="483" customFormat="false" ht="13.8" hidden="false" customHeight="false" outlineLevel="0" collapsed="false">
      <c r="A483" s="11" t="n">
        <v>32695</v>
      </c>
      <c r="B483" s="0" t="s">
        <v>5</v>
      </c>
      <c r="C483" s="0" t="s">
        <v>16</v>
      </c>
      <c r="D483" s="0" t="n">
        <v>0</v>
      </c>
      <c r="E483" s="0" t="n">
        <v>3</v>
      </c>
      <c r="F483" s="0" t="n">
        <v>34</v>
      </c>
      <c r="G483" s="0" t="str">
        <f aca="false">IF(D483=E483,"-",IF(D483&gt;E483,B483,C483))</f>
        <v>Uruguay</v>
      </c>
      <c r="H483" s="0" t="str">
        <f aca="false">IF(D483=E483,"-",IF(D483&lt;E483,B483,C483))</f>
        <v>Chile</v>
      </c>
    </row>
    <row r="484" customFormat="false" ht="13.8" hidden="false" customHeight="false" outlineLevel="0" collapsed="false">
      <c r="A484" s="11" t="n">
        <v>32696</v>
      </c>
      <c r="B484" s="0" t="s">
        <v>13</v>
      </c>
      <c r="C484" s="0" t="s">
        <v>18</v>
      </c>
      <c r="D484" s="0" t="n">
        <v>3</v>
      </c>
      <c r="E484" s="0" t="n">
        <v>0</v>
      </c>
      <c r="F484" s="0" t="n">
        <v>34</v>
      </c>
      <c r="G484" s="0" t="str">
        <f aca="false">IF(D484=E484,"-",IF(D484&gt;E484,B484,C484))</f>
        <v>Paraguay</v>
      </c>
      <c r="H484" s="0" t="str">
        <f aca="false">IF(D484=E484,"-",IF(D484&lt;E484,B484,C484))</f>
        <v>Venezuela</v>
      </c>
    </row>
    <row r="485" customFormat="false" ht="13.8" hidden="false" customHeight="false" outlineLevel="0" collapsed="false">
      <c r="A485" s="11" t="n">
        <v>32696</v>
      </c>
      <c r="B485" s="0" t="s">
        <v>6</v>
      </c>
      <c r="C485" s="0" t="s">
        <v>4</v>
      </c>
      <c r="D485" s="0" t="n">
        <v>0</v>
      </c>
      <c r="E485" s="0" t="n">
        <v>0</v>
      </c>
      <c r="F485" s="0" t="n">
        <v>34</v>
      </c>
      <c r="G485" s="0" t="str">
        <f aca="false">IF(D485=E485,"-",IF(D485&gt;E485,B485,C485))</f>
        <v>-</v>
      </c>
      <c r="H485" s="0" t="str">
        <f aca="false">IF(D485=E485,"-",IF(D485&lt;E485,B485,C485))</f>
        <v>-</v>
      </c>
    </row>
    <row r="486" customFormat="false" ht="13.8" hidden="false" customHeight="false" outlineLevel="0" collapsed="false">
      <c r="A486" s="11" t="n">
        <v>32697</v>
      </c>
      <c r="B486" s="0" t="s">
        <v>2</v>
      </c>
      <c r="C486" s="0" t="s">
        <v>16</v>
      </c>
      <c r="D486" s="0" t="n">
        <v>1</v>
      </c>
      <c r="E486" s="0" t="n">
        <v>0</v>
      </c>
      <c r="F486" s="0" t="n">
        <v>34</v>
      </c>
      <c r="G486" s="0" t="str">
        <f aca="false">IF(D486=E486,"-",IF(D486&gt;E486,B486,C486))</f>
        <v>Argentina</v>
      </c>
      <c r="H486" s="0" t="str">
        <f aca="false">IF(D486=E486,"-",IF(D486&lt;E486,B486,C486))</f>
        <v>Uruguay</v>
      </c>
    </row>
    <row r="487" customFormat="false" ht="13.8" hidden="false" customHeight="false" outlineLevel="0" collapsed="false">
      <c r="A487" s="11" t="n">
        <v>32697</v>
      </c>
      <c r="B487" s="0" t="s">
        <v>3</v>
      </c>
      <c r="C487" s="0" t="s">
        <v>5</v>
      </c>
      <c r="D487" s="0" t="n">
        <v>0</v>
      </c>
      <c r="E487" s="0" t="n">
        <v>5</v>
      </c>
      <c r="F487" s="0" t="n">
        <v>34</v>
      </c>
      <c r="G487" s="0" t="str">
        <f aca="false">IF(D487=E487,"-",IF(D487&gt;E487,B487,C487))</f>
        <v>Chile</v>
      </c>
      <c r="H487" s="0" t="str">
        <f aca="false">IF(D487=E487,"-",IF(D487&lt;E487,B487,C487))</f>
        <v>Bolivia</v>
      </c>
    </row>
    <row r="488" customFormat="false" ht="13.8" hidden="false" customHeight="false" outlineLevel="0" collapsed="false">
      <c r="A488" s="11" t="n">
        <v>32698</v>
      </c>
      <c r="B488" s="0" t="s">
        <v>6</v>
      </c>
      <c r="C488" s="0" t="s">
        <v>14</v>
      </c>
      <c r="D488" s="0" t="n">
        <v>1</v>
      </c>
      <c r="E488" s="0" t="n">
        <v>1</v>
      </c>
      <c r="F488" s="0" t="n">
        <v>34</v>
      </c>
      <c r="G488" s="0" t="str">
        <f aca="false">IF(D488=E488,"-",IF(D488&gt;E488,B488,C488))</f>
        <v>-</v>
      </c>
      <c r="H488" s="0" t="str">
        <f aca="false">IF(D488=E488,"-",IF(D488&lt;E488,B488,C488))</f>
        <v>-</v>
      </c>
    </row>
    <row r="489" customFormat="false" ht="13.8" hidden="false" customHeight="false" outlineLevel="0" collapsed="false">
      <c r="A489" s="11" t="n">
        <v>32698</v>
      </c>
      <c r="B489" s="0" t="s">
        <v>13</v>
      </c>
      <c r="C489" s="0" t="s">
        <v>4</v>
      </c>
      <c r="D489" s="0" t="n">
        <v>0</v>
      </c>
      <c r="E489" s="0" t="n">
        <v>2</v>
      </c>
      <c r="F489" s="0" t="n">
        <v>34</v>
      </c>
      <c r="G489" s="0" t="str">
        <f aca="false">IF(D489=E489,"-",IF(D489&gt;E489,B489,C489))</f>
        <v>Brazil</v>
      </c>
      <c r="H489" s="0" t="str">
        <f aca="false">IF(D489=E489,"-",IF(D489&lt;E489,B489,C489))</f>
        <v>Paraguay</v>
      </c>
    </row>
    <row r="490" customFormat="false" ht="13.8" hidden="false" customHeight="false" outlineLevel="0" collapsed="false">
      <c r="A490" s="11" t="n">
        <v>32699</v>
      </c>
      <c r="B490" s="0" t="s">
        <v>5</v>
      </c>
      <c r="C490" s="0" t="s">
        <v>8</v>
      </c>
      <c r="D490" s="0" t="n">
        <v>2</v>
      </c>
      <c r="E490" s="0" t="n">
        <v>1</v>
      </c>
      <c r="F490" s="0" t="n">
        <v>34</v>
      </c>
      <c r="G490" s="0" t="str">
        <f aca="false">IF(D490=E490,"-",IF(D490&gt;E490,B490,C490))</f>
        <v>Chile</v>
      </c>
      <c r="H490" s="0" t="str">
        <f aca="false">IF(D490=E490,"-",IF(D490&lt;E490,B490,C490))</f>
        <v>Ecuador</v>
      </c>
    </row>
    <row r="491" customFormat="false" ht="13.8" hidden="false" customHeight="false" outlineLevel="0" collapsed="false">
      <c r="A491" s="11" t="n">
        <v>32699</v>
      </c>
      <c r="B491" s="0" t="s">
        <v>2</v>
      </c>
      <c r="C491" s="0" t="s">
        <v>3</v>
      </c>
      <c r="D491" s="0" t="n">
        <v>0</v>
      </c>
      <c r="E491" s="0" t="n">
        <v>0</v>
      </c>
      <c r="F491" s="0" t="n">
        <v>34</v>
      </c>
      <c r="G491" s="0" t="str">
        <f aca="false">IF(D491=E491,"-",IF(D491&gt;E491,B491,C491))</f>
        <v>-</v>
      </c>
      <c r="H491" s="0" t="str">
        <f aca="false">IF(D491=E491,"-",IF(D491&lt;E491,B491,C491))</f>
        <v>-</v>
      </c>
    </row>
    <row r="492" customFormat="false" ht="13.8" hidden="false" customHeight="false" outlineLevel="0" collapsed="false">
      <c r="A492" s="11" t="n">
        <v>32701</v>
      </c>
      <c r="B492" s="0" t="s">
        <v>13</v>
      </c>
      <c r="C492" s="0" t="s">
        <v>16</v>
      </c>
      <c r="D492" s="0" t="n">
        <v>0</v>
      </c>
      <c r="E492" s="0" t="n">
        <v>3</v>
      </c>
      <c r="F492" s="0" t="n">
        <v>34</v>
      </c>
      <c r="G492" s="0" t="str">
        <f aca="false">IF(D492=E492,"-",IF(D492&gt;E492,B492,C492))</f>
        <v>Uruguay</v>
      </c>
      <c r="H492" s="0" t="str">
        <f aca="false">IF(D492=E492,"-",IF(D492&lt;E492,B492,C492))</f>
        <v>Paraguay</v>
      </c>
    </row>
    <row r="493" customFormat="false" ht="13.8" hidden="false" customHeight="false" outlineLevel="0" collapsed="false">
      <c r="A493" s="11" t="n">
        <v>32701</v>
      </c>
      <c r="B493" s="0" t="s">
        <v>2</v>
      </c>
      <c r="C493" s="0" t="s">
        <v>4</v>
      </c>
      <c r="D493" s="0" t="n">
        <v>0</v>
      </c>
      <c r="E493" s="0" t="n">
        <v>2</v>
      </c>
      <c r="F493" s="0" t="n">
        <v>34</v>
      </c>
      <c r="G493" s="0" t="str">
        <f aca="false">IF(D493=E493,"-",IF(D493&gt;E493,B493,C493))</f>
        <v>Brazil</v>
      </c>
      <c r="H493" s="0" t="str">
        <f aca="false">IF(D493=E493,"-",IF(D493&lt;E493,B493,C493))</f>
        <v>Argentina</v>
      </c>
    </row>
    <row r="494" customFormat="false" ht="13.8" hidden="false" customHeight="false" outlineLevel="0" collapsed="false">
      <c r="A494" s="11" t="n">
        <v>32703</v>
      </c>
      <c r="B494" s="0" t="s">
        <v>2</v>
      </c>
      <c r="C494" s="0" t="s">
        <v>16</v>
      </c>
      <c r="D494" s="0" t="n">
        <v>0</v>
      </c>
      <c r="E494" s="0" t="n">
        <v>2</v>
      </c>
      <c r="F494" s="0" t="n">
        <v>34</v>
      </c>
      <c r="G494" s="0" t="str">
        <f aca="false">IF(D494=E494,"-",IF(D494&gt;E494,B494,C494))</f>
        <v>Uruguay</v>
      </c>
      <c r="H494" s="0" t="str">
        <f aca="false">IF(D494=E494,"-",IF(D494&lt;E494,B494,C494))</f>
        <v>Argentina</v>
      </c>
    </row>
    <row r="495" customFormat="false" ht="13.8" hidden="false" customHeight="false" outlineLevel="0" collapsed="false">
      <c r="A495" s="11" t="n">
        <v>32703</v>
      </c>
      <c r="B495" s="0" t="s">
        <v>13</v>
      </c>
      <c r="C495" s="0" t="s">
        <v>4</v>
      </c>
      <c r="D495" s="0" t="n">
        <v>0</v>
      </c>
      <c r="E495" s="0" t="n">
        <v>3</v>
      </c>
      <c r="F495" s="0" t="n">
        <v>34</v>
      </c>
      <c r="G495" s="0" t="str">
        <f aca="false">IF(D495=E495,"-",IF(D495&gt;E495,B495,C495))</f>
        <v>Brazil</v>
      </c>
      <c r="H495" s="0" t="str">
        <f aca="false">IF(D495=E495,"-",IF(D495&lt;E495,B495,C495))</f>
        <v>Paraguay</v>
      </c>
    </row>
    <row r="496" customFormat="false" ht="13.8" hidden="false" customHeight="false" outlineLevel="0" collapsed="false">
      <c r="A496" s="11" t="n">
        <v>32705</v>
      </c>
      <c r="B496" s="0" t="s">
        <v>2</v>
      </c>
      <c r="C496" s="0" t="s">
        <v>13</v>
      </c>
      <c r="D496" s="0" t="n">
        <v>0</v>
      </c>
      <c r="E496" s="0" t="n">
        <v>0</v>
      </c>
      <c r="F496" s="0" t="n">
        <v>34</v>
      </c>
      <c r="G496" s="0" t="str">
        <f aca="false">IF(D496=E496,"-",IF(D496&gt;E496,B496,C496))</f>
        <v>-</v>
      </c>
      <c r="H496" s="0" t="str">
        <f aca="false">IF(D496=E496,"-",IF(D496&lt;E496,B496,C496))</f>
        <v>-</v>
      </c>
    </row>
    <row r="497" customFormat="false" ht="13.8" hidden="false" customHeight="false" outlineLevel="0" collapsed="false">
      <c r="A497" s="11" t="n">
        <v>32705</v>
      </c>
      <c r="B497" s="0" t="s">
        <v>16</v>
      </c>
      <c r="C497" s="0" t="s">
        <v>4</v>
      </c>
      <c r="D497" s="0" t="n">
        <v>0</v>
      </c>
      <c r="E497" s="0" t="n">
        <v>1</v>
      </c>
      <c r="F497" s="0" t="n">
        <v>34</v>
      </c>
      <c r="G497" s="0" t="str">
        <f aca="false">IF(D497=E497,"-",IF(D497&gt;E497,B497,C497))</f>
        <v>Brazil</v>
      </c>
      <c r="H497" s="0" t="str">
        <f aca="false">IF(D497=E497,"-",IF(D497&lt;E497,B497,C497))</f>
        <v>Uruguay</v>
      </c>
    </row>
    <row r="498" customFormat="false" ht="13.8" hidden="false" customHeight="false" outlineLevel="0" collapsed="false">
      <c r="A498" s="11" t="n">
        <v>33425</v>
      </c>
      <c r="B498" s="0" t="s">
        <v>5</v>
      </c>
      <c r="C498" s="0" t="s">
        <v>18</v>
      </c>
      <c r="D498" s="0" t="n">
        <v>2</v>
      </c>
      <c r="E498" s="0" t="n">
        <v>0</v>
      </c>
      <c r="F498" s="0" t="n">
        <v>35</v>
      </c>
      <c r="G498" s="0" t="str">
        <f aca="false">IF(D498=E498,"-",IF(D498&gt;E498,B498,C498))</f>
        <v>Chile</v>
      </c>
      <c r="H498" s="0" t="str">
        <f aca="false">IF(D498=E498,"-",IF(D498&lt;E498,B498,C498))</f>
        <v>Venezuela</v>
      </c>
    </row>
    <row r="499" customFormat="false" ht="13.8" hidden="false" customHeight="false" outlineLevel="0" collapsed="false">
      <c r="A499" s="11" t="n">
        <v>33425</v>
      </c>
      <c r="B499" s="0" t="s">
        <v>13</v>
      </c>
      <c r="C499" s="0" t="s">
        <v>14</v>
      </c>
      <c r="D499" s="0" t="n">
        <v>1</v>
      </c>
      <c r="E499" s="0" t="n">
        <v>0</v>
      </c>
      <c r="F499" s="0" t="n">
        <v>35</v>
      </c>
      <c r="G499" s="0" t="str">
        <f aca="false">IF(D499=E499,"-",IF(D499&gt;E499,B499,C499))</f>
        <v>Paraguay</v>
      </c>
      <c r="H499" s="0" t="str">
        <f aca="false">IF(D499=E499,"-",IF(D499&lt;E499,B499,C499))</f>
        <v>Peru</v>
      </c>
    </row>
    <row r="500" customFormat="false" ht="13.8" hidden="false" customHeight="false" outlineLevel="0" collapsed="false">
      <c r="A500" s="11" t="n">
        <v>33426</v>
      </c>
      <c r="B500" s="0" t="s">
        <v>3</v>
      </c>
      <c r="C500" s="0" t="s">
        <v>16</v>
      </c>
      <c r="D500" s="0" t="n">
        <v>1</v>
      </c>
      <c r="E500" s="0" t="n">
        <v>1</v>
      </c>
      <c r="F500" s="0" t="n">
        <v>35</v>
      </c>
      <c r="G500" s="0" t="str">
        <f aca="false">IF(D500=E500,"-",IF(D500&gt;E500,B500,C500))</f>
        <v>-</v>
      </c>
      <c r="H500" s="0" t="str">
        <f aca="false">IF(D500=E500,"-",IF(D500&lt;E500,B500,C500))</f>
        <v>-</v>
      </c>
    </row>
    <row r="501" customFormat="false" ht="13.8" hidden="false" customHeight="false" outlineLevel="0" collapsed="false">
      <c r="A501" s="11" t="n">
        <v>33426</v>
      </c>
      <c r="B501" s="0" t="s">
        <v>6</v>
      </c>
      <c r="C501" s="0" t="s">
        <v>8</v>
      </c>
      <c r="D501" s="0" t="n">
        <v>1</v>
      </c>
      <c r="E501" s="0" t="n">
        <v>0</v>
      </c>
      <c r="F501" s="0" t="n">
        <v>35</v>
      </c>
      <c r="G501" s="0" t="str">
        <f aca="false">IF(D501=E501,"-",IF(D501&gt;E501,B501,C501))</f>
        <v>Colombia</v>
      </c>
      <c r="H501" s="0" t="str">
        <f aca="false">IF(D501=E501,"-",IF(D501&lt;E501,B501,C501))</f>
        <v>Ecuador</v>
      </c>
    </row>
    <row r="502" customFormat="false" ht="13.8" hidden="false" customHeight="false" outlineLevel="0" collapsed="false">
      <c r="A502" s="11" t="n">
        <v>33427</v>
      </c>
      <c r="B502" s="0" t="s">
        <v>2</v>
      </c>
      <c r="C502" s="0" t="s">
        <v>18</v>
      </c>
      <c r="D502" s="0" t="n">
        <v>3</v>
      </c>
      <c r="E502" s="0" t="n">
        <v>0</v>
      </c>
      <c r="F502" s="0" t="n">
        <v>35</v>
      </c>
      <c r="G502" s="0" t="str">
        <f aca="false">IF(D502=E502,"-",IF(D502&gt;E502,B502,C502))</f>
        <v>Argentina</v>
      </c>
      <c r="H502" s="0" t="str">
        <f aca="false">IF(D502=E502,"-",IF(D502&lt;E502,B502,C502))</f>
        <v>Venezuela</v>
      </c>
    </row>
    <row r="503" customFormat="false" ht="13.8" hidden="false" customHeight="false" outlineLevel="0" collapsed="false">
      <c r="A503" s="11" t="n">
        <v>33427</v>
      </c>
      <c r="B503" s="0" t="s">
        <v>5</v>
      </c>
      <c r="C503" s="0" t="s">
        <v>14</v>
      </c>
      <c r="D503" s="0" t="n">
        <v>4</v>
      </c>
      <c r="E503" s="0" t="n">
        <v>2</v>
      </c>
      <c r="F503" s="0" t="n">
        <v>35</v>
      </c>
      <c r="G503" s="0" t="str">
        <f aca="false">IF(D503=E503,"-",IF(D503&gt;E503,B503,C503))</f>
        <v>Chile</v>
      </c>
      <c r="H503" s="0" t="str">
        <f aca="false">IF(D503=E503,"-",IF(D503&lt;E503,B503,C503))</f>
        <v>Peru</v>
      </c>
    </row>
    <row r="504" customFormat="false" ht="13.8" hidden="false" customHeight="false" outlineLevel="0" collapsed="false">
      <c r="A504" s="11" t="n">
        <v>33428</v>
      </c>
      <c r="B504" s="0" t="s">
        <v>3</v>
      </c>
      <c r="C504" s="0" t="s">
        <v>4</v>
      </c>
      <c r="D504" s="0" t="n">
        <v>1</v>
      </c>
      <c r="E504" s="0" t="n">
        <v>2</v>
      </c>
      <c r="F504" s="0" t="n">
        <v>35</v>
      </c>
      <c r="G504" s="0" t="str">
        <f aca="false">IF(D504=E504,"-",IF(D504&gt;E504,B504,C504))</f>
        <v>Brazil</v>
      </c>
      <c r="H504" s="0" t="str">
        <f aca="false">IF(D504=E504,"-",IF(D504&lt;E504,B504,C504))</f>
        <v>Bolivia</v>
      </c>
    </row>
    <row r="505" customFormat="false" ht="13.8" hidden="false" customHeight="false" outlineLevel="0" collapsed="false">
      <c r="A505" s="11" t="n">
        <v>33428</v>
      </c>
      <c r="B505" s="0" t="s">
        <v>8</v>
      </c>
      <c r="C505" s="0" t="s">
        <v>16</v>
      </c>
      <c r="D505" s="0" t="n">
        <v>1</v>
      </c>
      <c r="E505" s="0" t="n">
        <v>1</v>
      </c>
      <c r="F505" s="0" t="n">
        <v>35</v>
      </c>
      <c r="G505" s="0" t="str">
        <f aca="false">IF(D505=E505,"-",IF(D505&gt;E505,B505,C505))</f>
        <v>-</v>
      </c>
      <c r="H505" s="0" t="str">
        <f aca="false">IF(D505=E505,"-",IF(D505&lt;E505,B505,C505))</f>
        <v>-</v>
      </c>
    </row>
    <row r="506" customFormat="false" ht="13.8" hidden="false" customHeight="false" outlineLevel="0" collapsed="false">
      <c r="A506" s="11" t="n">
        <v>33429</v>
      </c>
      <c r="B506" s="0" t="s">
        <v>13</v>
      </c>
      <c r="C506" s="0" t="s">
        <v>18</v>
      </c>
      <c r="D506" s="0" t="n">
        <v>5</v>
      </c>
      <c r="E506" s="0" t="n">
        <v>0</v>
      </c>
      <c r="F506" s="0" t="n">
        <v>35</v>
      </c>
      <c r="G506" s="0" t="str">
        <f aca="false">IF(D506=E506,"-",IF(D506&gt;E506,B506,C506))</f>
        <v>Paraguay</v>
      </c>
      <c r="H506" s="0" t="str">
        <f aca="false">IF(D506=E506,"-",IF(D506&lt;E506,B506,C506))</f>
        <v>Venezuela</v>
      </c>
    </row>
    <row r="507" customFormat="false" ht="13.8" hidden="false" customHeight="false" outlineLevel="0" collapsed="false">
      <c r="A507" s="11" t="n">
        <v>33429</v>
      </c>
      <c r="B507" s="0" t="s">
        <v>2</v>
      </c>
      <c r="C507" s="0" t="s">
        <v>5</v>
      </c>
      <c r="D507" s="0" t="n">
        <v>1</v>
      </c>
      <c r="E507" s="0" t="n">
        <v>0</v>
      </c>
      <c r="F507" s="0" t="n">
        <v>35</v>
      </c>
      <c r="G507" s="0" t="str">
        <f aca="false">IF(D507=E507,"-",IF(D507&gt;E507,B507,C507))</f>
        <v>Argentina</v>
      </c>
      <c r="H507" s="0" t="str">
        <f aca="false">IF(D507=E507,"-",IF(D507&lt;E507,B507,C507))</f>
        <v>Chile</v>
      </c>
    </row>
    <row r="508" customFormat="false" ht="13.8" hidden="false" customHeight="false" outlineLevel="0" collapsed="false">
      <c r="A508" s="11" t="n">
        <v>33430</v>
      </c>
      <c r="B508" s="0" t="s">
        <v>3</v>
      </c>
      <c r="C508" s="0" t="s">
        <v>6</v>
      </c>
      <c r="D508" s="0" t="n">
        <v>0</v>
      </c>
      <c r="E508" s="0" t="n">
        <v>0</v>
      </c>
      <c r="F508" s="0" t="n">
        <v>35</v>
      </c>
      <c r="G508" s="0" t="str">
        <f aca="false">IF(D508=E508,"-",IF(D508&gt;E508,B508,C508))</f>
        <v>-</v>
      </c>
      <c r="H508" s="0" t="str">
        <f aca="false">IF(D508=E508,"-",IF(D508&lt;E508,B508,C508))</f>
        <v>-</v>
      </c>
    </row>
    <row r="509" customFormat="false" ht="13.8" hidden="false" customHeight="false" outlineLevel="0" collapsed="false">
      <c r="A509" s="11" t="n">
        <v>33430</v>
      </c>
      <c r="B509" s="0" t="s">
        <v>16</v>
      </c>
      <c r="C509" s="0" t="s">
        <v>4</v>
      </c>
      <c r="D509" s="0" t="n">
        <v>1</v>
      </c>
      <c r="E509" s="0" t="n">
        <v>1</v>
      </c>
      <c r="F509" s="0" t="n">
        <v>35</v>
      </c>
      <c r="G509" s="0" t="str">
        <f aca="false">IF(D509=E509,"-",IF(D509&gt;E509,B509,C509))</f>
        <v>-</v>
      </c>
      <c r="H509" s="0" t="str">
        <f aca="false">IF(D509=E509,"-",IF(D509&lt;E509,B509,C509))</f>
        <v>-</v>
      </c>
    </row>
    <row r="510" customFormat="false" ht="13.8" hidden="false" customHeight="false" outlineLevel="0" collapsed="false">
      <c r="A510" s="11" t="n">
        <v>33431</v>
      </c>
      <c r="B510" s="0" t="s">
        <v>2</v>
      </c>
      <c r="C510" s="0" t="s">
        <v>13</v>
      </c>
      <c r="D510" s="0" t="n">
        <v>4</v>
      </c>
      <c r="E510" s="0" t="n">
        <v>1</v>
      </c>
      <c r="F510" s="0" t="n">
        <v>35</v>
      </c>
      <c r="G510" s="0" t="str">
        <f aca="false">IF(D510=E510,"-",IF(D510&gt;E510,B510,C510))</f>
        <v>Argentina</v>
      </c>
      <c r="H510" s="0" t="str">
        <f aca="false">IF(D510=E510,"-",IF(D510&lt;E510,B510,C510))</f>
        <v>Paraguay</v>
      </c>
    </row>
    <row r="511" customFormat="false" ht="13.8" hidden="false" customHeight="false" outlineLevel="0" collapsed="false">
      <c r="A511" s="11" t="n">
        <v>33431</v>
      </c>
      <c r="B511" s="0" t="s">
        <v>14</v>
      </c>
      <c r="C511" s="0" t="s">
        <v>18</v>
      </c>
      <c r="D511" s="0" t="n">
        <v>5</v>
      </c>
      <c r="E511" s="0" t="n">
        <v>1</v>
      </c>
      <c r="F511" s="0" t="n">
        <v>35</v>
      </c>
      <c r="G511" s="0" t="str">
        <f aca="false">IF(D511=E511,"-",IF(D511&gt;E511,B511,C511))</f>
        <v>Peru</v>
      </c>
      <c r="H511" s="0" t="str">
        <f aca="false">IF(D511=E511,"-",IF(D511&lt;E511,B511,C511))</f>
        <v>Venezuela</v>
      </c>
    </row>
    <row r="512" customFormat="false" ht="13.8" hidden="false" customHeight="false" outlineLevel="0" collapsed="false">
      <c r="A512" s="11" t="n">
        <v>33432</v>
      </c>
      <c r="B512" s="0" t="s">
        <v>6</v>
      </c>
      <c r="C512" s="0" t="s">
        <v>4</v>
      </c>
      <c r="D512" s="0" t="n">
        <v>2</v>
      </c>
      <c r="E512" s="0" t="n">
        <v>0</v>
      </c>
      <c r="F512" s="0" t="n">
        <v>35</v>
      </c>
      <c r="G512" s="0" t="str">
        <f aca="false">IF(D512=E512,"-",IF(D512&gt;E512,B512,C512))</f>
        <v>Colombia</v>
      </c>
      <c r="H512" s="0" t="str">
        <f aca="false">IF(D512=E512,"-",IF(D512&lt;E512,B512,C512))</f>
        <v>Brazil</v>
      </c>
    </row>
    <row r="513" customFormat="false" ht="13.8" hidden="false" customHeight="false" outlineLevel="0" collapsed="false">
      <c r="A513" s="11" t="n">
        <v>33432</v>
      </c>
      <c r="B513" s="0" t="s">
        <v>3</v>
      </c>
      <c r="C513" s="0" t="s">
        <v>8</v>
      </c>
      <c r="D513" s="0" t="n">
        <v>0</v>
      </c>
      <c r="E513" s="0" t="n">
        <v>4</v>
      </c>
      <c r="F513" s="0" t="n">
        <v>35</v>
      </c>
      <c r="G513" s="0" t="str">
        <f aca="false">IF(D513=E513,"-",IF(D513&gt;E513,B513,C513))</f>
        <v>Ecuador</v>
      </c>
      <c r="H513" s="0" t="str">
        <f aca="false">IF(D513=E513,"-",IF(D513&lt;E513,B513,C513))</f>
        <v>Bolivia</v>
      </c>
    </row>
    <row r="514" customFormat="false" ht="13.8" hidden="false" customHeight="false" outlineLevel="0" collapsed="false">
      <c r="A514" s="11" t="n">
        <v>33433</v>
      </c>
      <c r="B514" s="0" t="s">
        <v>2</v>
      </c>
      <c r="C514" s="0" t="s">
        <v>14</v>
      </c>
      <c r="D514" s="0" t="n">
        <v>3</v>
      </c>
      <c r="E514" s="0" t="n">
        <v>2</v>
      </c>
      <c r="F514" s="0" t="n">
        <v>35</v>
      </c>
      <c r="G514" s="0" t="str">
        <f aca="false">IF(D514=E514,"-",IF(D514&gt;E514,B514,C514))</f>
        <v>Argentina</v>
      </c>
      <c r="H514" s="0" t="str">
        <f aca="false">IF(D514=E514,"-",IF(D514&lt;E514,B514,C514))</f>
        <v>Peru</v>
      </c>
    </row>
    <row r="515" customFormat="false" ht="13.8" hidden="false" customHeight="false" outlineLevel="0" collapsed="false">
      <c r="A515" s="11" t="n">
        <v>33433</v>
      </c>
      <c r="B515" s="0" t="s">
        <v>5</v>
      </c>
      <c r="C515" s="0" t="s">
        <v>13</v>
      </c>
      <c r="D515" s="0" t="n">
        <v>4</v>
      </c>
      <c r="E515" s="0" t="n">
        <v>0</v>
      </c>
      <c r="F515" s="0" t="n">
        <v>35</v>
      </c>
      <c r="G515" s="0" t="str">
        <f aca="false">IF(D515=E515,"-",IF(D515&gt;E515,B515,C515))</f>
        <v>Chile</v>
      </c>
      <c r="H515" s="0" t="str">
        <f aca="false">IF(D515=E515,"-",IF(D515&lt;E515,B515,C515))</f>
        <v>Paraguay</v>
      </c>
    </row>
    <row r="516" customFormat="false" ht="13.8" hidden="false" customHeight="false" outlineLevel="0" collapsed="false">
      <c r="A516" s="11" t="n">
        <v>33434</v>
      </c>
      <c r="B516" s="0" t="s">
        <v>6</v>
      </c>
      <c r="C516" s="0" t="s">
        <v>16</v>
      </c>
      <c r="D516" s="0" t="n">
        <v>0</v>
      </c>
      <c r="E516" s="0" t="n">
        <v>1</v>
      </c>
      <c r="F516" s="0" t="n">
        <v>35</v>
      </c>
      <c r="G516" s="0" t="str">
        <f aca="false">IF(D516=E516,"-",IF(D516&gt;E516,B516,C516))</f>
        <v>Uruguay</v>
      </c>
      <c r="H516" s="0" t="str">
        <f aca="false">IF(D516=E516,"-",IF(D516&lt;E516,B516,C516))</f>
        <v>Colombia</v>
      </c>
    </row>
    <row r="517" customFormat="false" ht="13.8" hidden="false" customHeight="false" outlineLevel="0" collapsed="false">
      <c r="A517" s="11" t="n">
        <v>33434</v>
      </c>
      <c r="B517" s="0" t="s">
        <v>8</v>
      </c>
      <c r="C517" s="0" t="s">
        <v>4</v>
      </c>
      <c r="D517" s="0" t="n">
        <v>1</v>
      </c>
      <c r="E517" s="0" t="n">
        <v>3</v>
      </c>
      <c r="F517" s="0" t="n">
        <v>35</v>
      </c>
      <c r="G517" s="0" t="str">
        <f aca="false">IF(D517=E517,"-",IF(D517&gt;E517,B517,C517))</f>
        <v>Brazil</v>
      </c>
      <c r="H517" s="0" t="str">
        <f aca="false">IF(D517=E517,"-",IF(D517&lt;E517,B517,C517))</f>
        <v>Ecuador</v>
      </c>
    </row>
    <row r="518" customFormat="false" ht="13.8" hidden="false" customHeight="false" outlineLevel="0" collapsed="false">
      <c r="A518" s="11" t="n">
        <v>33436</v>
      </c>
      <c r="B518" s="0" t="s">
        <v>5</v>
      </c>
      <c r="C518" s="0" t="s">
        <v>6</v>
      </c>
      <c r="D518" s="0" t="n">
        <v>1</v>
      </c>
      <c r="E518" s="0" t="n">
        <v>1</v>
      </c>
      <c r="F518" s="0" t="n">
        <v>35</v>
      </c>
      <c r="G518" s="0" t="str">
        <f aca="false">IF(D518=E518,"-",IF(D518&gt;E518,B518,C518))</f>
        <v>-</v>
      </c>
      <c r="H518" s="0" t="str">
        <f aca="false">IF(D518=E518,"-",IF(D518&lt;E518,B518,C518))</f>
        <v>-</v>
      </c>
    </row>
    <row r="519" customFormat="false" ht="13.8" hidden="false" customHeight="false" outlineLevel="0" collapsed="false">
      <c r="A519" s="11" t="n">
        <v>33436</v>
      </c>
      <c r="B519" s="0" t="s">
        <v>2</v>
      </c>
      <c r="C519" s="0" t="s">
        <v>4</v>
      </c>
      <c r="D519" s="0" t="n">
        <v>3</v>
      </c>
      <c r="E519" s="0" t="n">
        <v>2</v>
      </c>
      <c r="F519" s="0" t="n">
        <v>35</v>
      </c>
      <c r="G519" s="0" t="str">
        <f aca="false">IF(D519=E519,"-",IF(D519&gt;E519,B519,C519))</f>
        <v>Argentina</v>
      </c>
      <c r="H519" s="0" t="str">
        <f aca="false">IF(D519=E519,"-",IF(D519&lt;E519,B519,C519))</f>
        <v>Brazil</v>
      </c>
    </row>
    <row r="520" customFormat="false" ht="13.8" hidden="false" customHeight="false" outlineLevel="0" collapsed="false">
      <c r="A520" s="11" t="n">
        <v>33438</v>
      </c>
      <c r="B520" s="0" t="s">
        <v>6</v>
      </c>
      <c r="C520" s="0" t="s">
        <v>4</v>
      </c>
      <c r="D520" s="0" t="n">
        <v>0</v>
      </c>
      <c r="E520" s="0" t="n">
        <v>2</v>
      </c>
      <c r="F520" s="0" t="n">
        <v>35</v>
      </c>
      <c r="G520" s="0" t="str">
        <f aca="false">IF(D520=E520,"-",IF(D520&gt;E520,B520,C520))</f>
        <v>Brazil</v>
      </c>
      <c r="H520" s="0" t="str">
        <f aca="false">IF(D520=E520,"-",IF(D520&lt;E520,B520,C520))</f>
        <v>Colombia</v>
      </c>
    </row>
    <row r="521" customFormat="false" ht="13.8" hidden="false" customHeight="false" outlineLevel="0" collapsed="false">
      <c r="A521" s="11" t="n">
        <v>33438</v>
      </c>
      <c r="B521" s="0" t="s">
        <v>2</v>
      </c>
      <c r="C521" s="0" t="s">
        <v>5</v>
      </c>
      <c r="D521" s="0" t="n">
        <v>0</v>
      </c>
      <c r="E521" s="0" t="n">
        <v>0</v>
      </c>
      <c r="F521" s="0" t="n">
        <v>35</v>
      </c>
      <c r="G521" s="0" t="str">
        <f aca="false">IF(D521=E521,"-",IF(D521&gt;E521,B521,C521))</f>
        <v>-</v>
      </c>
      <c r="H521" s="0" t="str">
        <f aca="false">IF(D521=E521,"-",IF(D521&lt;E521,B521,C521))</f>
        <v>-</v>
      </c>
    </row>
    <row r="522" customFormat="false" ht="13.8" hidden="false" customHeight="false" outlineLevel="0" collapsed="false">
      <c r="A522" s="11" t="n">
        <v>33440</v>
      </c>
      <c r="B522" s="0" t="s">
        <v>2</v>
      </c>
      <c r="C522" s="0" t="s">
        <v>6</v>
      </c>
      <c r="D522" s="0" t="n">
        <v>2</v>
      </c>
      <c r="E522" s="0" t="n">
        <v>1</v>
      </c>
      <c r="F522" s="0" t="n">
        <v>35</v>
      </c>
      <c r="G522" s="0" t="str">
        <f aca="false">IF(D522=E522,"-",IF(D522&gt;E522,B522,C522))</f>
        <v>Argentina</v>
      </c>
      <c r="H522" s="0" t="str">
        <f aca="false">IF(D522=E522,"-",IF(D522&lt;E522,B522,C522))</f>
        <v>Colombia</v>
      </c>
    </row>
    <row r="523" customFormat="false" ht="13.8" hidden="false" customHeight="false" outlineLevel="0" collapsed="false">
      <c r="A523" s="13" t="n">
        <v>33440</v>
      </c>
      <c r="B523" s="14" t="s">
        <v>5</v>
      </c>
      <c r="C523" s="14" t="s">
        <v>4</v>
      </c>
      <c r="D523" s="14" t="n">
        <v>0</v>
      </c>
      <c r="E523" s="14" t="n">
        <v>2</v>
      </c>
      <c r="F523" s="14" t="n">
        <v>35</v>
      </c>
      <c r="G523" s="14" t="str">
        <f aca="false">IF(D523=E523,"-",IF(D523&gt;E523,B523,C523))</f>
        <v>Brazil</v>
      </c>
      <c r="H523" s="14" t="str">
        <f aca="false">IF(D523=E523,"-",IF(D523&lt;E523,B523,C523))</f>
        <v>Chile</v>
      </c>
    </row>
    <row r="524" customFormat="false" ht="13.8" hidden="false" customHeight="false" outlineLevel="0" collapsed="false">
      <c r="A524" s="11" t="n">
        <v>34135</v>
      </c>
      <c r="B524" s="0" t="s">
        <v>8</v>
      </c>
      <c r="C524" s="0" t="s">
        <v>18</v>
      </c>
      <c r="D524" s="0" t="n">
        <v>6</v>
      </c>
      <c r="E524" s="0" t="n">
        <v>1</v>
      </c>
      <c r="F524" s="0" t="n">
        <v>36</v>
      </c>
      <c r="G524" s="0" t="str">
        <f aca="false">IF(D524=E524,"-",IF(D524&gt;E524,B524,C524))</f>
        <v>Ecuador</v>
      </c>
      <c r="H524" s="0" t="str">
        <f aca="false">IF(D524=E524,"-",IF(D524&lt;E524,B524,C524))</f>
        <v>Venezuela</v>
      </c>
    </row>
    <row r="525" customFormat="false" ht="13.8" hidden="false" customHeight="false" outlineLevel="0" collapsed="false">
      <c r="A525" s="11" t="n">
        <v>34136</v>
      </c>
      <c r="B525" s="0" t="s">
        <v>16</v>
      </c>
      <c r="C525" s="0" t="s">
        <v>17</v>
      </c>
      <c r="D525" s="0" t="n">
        <v>1</v>
      </c>
      <c r="E525" s="0" t="n">
        <v>0</v>
      </c>
      <c r="F525" s="0" t="n">
        <v>36</v>
      </c>
      <c r="G525" s="0" t="str">
        <f aca="false">IF(D525=E525,"-",IF(D525&gt;E525,B525,C525))</f>
        <v>Uruguay</v>
      </c>
      <c r="H525" s="0" t="str">
        <f aca="false">IF(D525=E525,"-",IF(D525&lt;E525,B525,C525))</f>
        <v>USA</v>
      </c>
    </row>
    <row r="526" customFormat="false" ht="13.8" hidden="false" customHeight="false" outlineLevel="0" collapsed="false">
      <c r="A526" s="11" t="n">
        <v>34136</v>
      </c>
      <c r="B526" s="0" t="s">
        <v>6</v>
      </c>
      <c r="C526" s="0" t="s">
        <v>12</v>
      </c>
      <c r="D526" s="0" t="n">
        <v>2</v>
      </c>
      <c r="E526" s="0" t="n">
        <v>1</v>
      </c>
      <c r="F526" s="0" t="n">
        <v>36</v>
      </c>
      <c r="G526" s="0" t="str">
        <f aca="false">IF(D526=E526,"-",IF(D526&gt;E526,B526,C526))</f>
        <v>Colombia</v>
      </c>
      <c r="H526" s="0" t="str">
        <f aca="false">IF(D526=E526,"-",IF(D526&lt;E526,B526,C526))</f>
        <v>México</v>
      </c>
    </row>
    <row r="527" customFormat="false" ht="13.8" hidden="false" customHeight="false" outlineLevel="0" collapsed="false">
      <c r="A527" s="11" t="n">
        <v>34137</v>
      </c>
      <c r="B527" s="0" t="s">
        <v>2</v>
      </c>
      <c r="C527" s="0" t="s">
        <v>3</v>
      </c>
      <c r="D527" s="0" t="n">
        <v>1</v>
      </c>
      <c r="E527" s="0" t="n">
        <v>0</v>
      </c>
      <c r="F527" s="0" t="n">
        <v>36</v>
      </c>
      <c r="G527" s="0" t="str">
        <f aca="false">IF(D527=E527,"-",IF(D527&gt;E527,B527,C527))</f>
        <v>Argentina</v>
      </c>
      <c r="H527" s="0" t="str">
        <f aca="false">IF(D527=E527,"-",IF(D527&lt;E527,B527,C527))</f>
        <v>Bolivia</v>
      </c>
    </row>
    <row r="528" customFormat="false" ht="13.8" hidden="false" customHeight="false" outlineLevel="0" collapsed="false">
      <c r="A528" s="11" t="n">
        <v>34138</v>
      </c>
      <c r="B528" s="0" t="s">
        <v>14</v>
      </c>
      <c r="C528" s="0" t="s">
        <v>4</v>
      </c>
      <c r="D528" s="0" t="n">
        <v>0</v>
      </c>
      <c r="E528" s="0" t="n">
        <v>0</v>
      </c>
      <c r="F528" s="0" t="n">
        <v>36</v>
      </c>
      <c r="G528" s="0" t="str">
        <f aca="false">IF(D528=E528,"-",IF(D528&gt;E528,B528,C528))</f>
        <v>-</v>
      </c>
      <c r="H528" s="0" t="str">
        <f aca="false">IF(D528=E528,"-",IF(D528&lt;E528,B528,C528))</f>
        <v>-</v>
      </c>
    </row>
    <row r="529" customFormat="false" ht="13.8" hidden="false" customHeight="false" outlineLevel="0" collapsed="false">
      <c r="A529" s="11" t="n">
        <v>34138</v>
      </c>
      <c r="B529" s="0" t="s">
        <v>5</v>
      </c>
      <c r="C529" s="0" t="s">
        <v>13</v>
      </c>
      <c r="D529" s="0" t="n">
        <v>0</v>
      </c>
      <c r="E529" s="0" t="n">
        <v>1</v>
      </c>
      <c r="F529" s="0" t="n">
        <v>36</v>
      </c>
      <c r="G529" s="0" t="str">
        <f aca="false">IF(D529=E529,"-",IF(D529&gt;E529,B529,C529))</f>
        <v>Paraguay</v>
      </c>
      <c r="H529" s="0" t="str">
        <f aca="false">IF(D529=E529,"-",IF(D529&lt;E529,B529,C529))</f>
        <v>Chile</v>
      </c>
    </row>
    <row r="530" customFormat="false" ht="13.8" hidden="false" customHeight="false" outlineLevel="0" collapsed="false">
      <c r="A530" s="11" t="n">
        <v>34139</v>
      </c>
      <c r="B530" s="0" t="s">
        <v>16</v>
      </c>
      <c r="C530" s="0" t="s">
        <v>18</v>
      </c>
      <c r="D530" s="0" t="n">
        <v>2</v>
      </c>
      <c r="E530" s="0" t="n">
        <v>2</v>
      </c>
      <c r="F530" s="0" t="n">
        <v>36</v>
      </c>
      <c r="G530" s="0" t="str">
        <f aca="false">IF(D530=E530,"-",IF(D530&gt;E530,B530,C530))</f>
        <v>-</v>
      </c>
      <c r="H530" s="0" t="str">
        <f aca="false">IF(D530=E530,"-",IF(D530&lt;E530,B530,C530))</f>
        <v>-</v>
      </c>
    </row>
    <row r="531" customFormat="false" ht="13.8" hidden="false" customHeight="false" outlineLevel="0" collapsed="false">
      <c r="A531" s="11" t="n">
        <v>34139</v>
      </c>
      <c r="B531" s="0" t="s">
        <v>8</v>
      </c>
      <c r="C531" s="0" t="s">
        <v>17</v>
      </c>
      <c r="D531" s="0" t="n">
        <v>2</v>
      </c>
      <c r="E531" s="0" t="n">
        <v>0</v>
      </c>
      <c r="F531" s="0" t="n">
        <v>36</v>
      </c>
      <c r="G531" s="0" t="str">
        <f aca="false">IF(D531=E531,"-",IF(D531&gt;E531,B531,C531))</f>
        <v>Ecuador</v>
      </c>
      <c r="H531" s="0" t="str">
        <f aca="false">IF(D531=E531,"-",IF(D531&lt;E531,B531,C531))</f>
        <v>USA</v>
      </c>
    </row>
    <row r="532" customFormat="false" ht="13.8" hidden="false" customHeight="false" outlineLevel="0" collapsed="false">
      <c r="A532" s="11" t="n">
        <v>34140</v>
      </c>
      <c r="B532" s="0" t="s">
        <v>2</v>
      </c>
      <c r="C532" s="0" t="s">
        <v>12</v>
      </c>
      <c r="D532" s="0" t="n">
        <v>1</v>
      </c>
      <c r="E532" s="0" t="n">
        <v>1</v>
      </c>
      <c r="F532" s="0" t="n">
        <v>36</v>
      </c>
      <c r="G532" s="0" t="str">
        <f aca="false">IF(D532=E532,"-",IF(D532&gt;E532,B532,C532))</f>
        <v>-</v>
      </c>
      <c r="H532" s="0" t="str">
        <f aca="false">IF(D532=E532,"-",IF(D532&lt;E532,B532,C532))</f>
        <v>-</v>
      </c>
    </row>
    <row r="533" customFormat="false" ht="13.8" hidden="false" customHeight="false" outlineLevel="0" collapsed="false">
      <c r="A533" s="11" t="n">
        <v>34140</v>
      </c>
      <c r="B533" s="0" t="s">
        <v>3</v>
      </c>
      <c r="C533" s="0" t="s">
        <v>6</v>
      </c>
      <c r="D533" s="0" t="n">
        <v>1</v>
      </c>
      <c r="E533" s="0" t="n">
        <v>1</v>
      </c>
      <c r="F533" s="0" t="n">
        <v>36</v>
      </c>
      <c r="G533" s="0" t="str">
        <f aca="false">IF(D533=E533,"-",IF(D533&gt;E533,B533,C533))</f>
        <v>-</v>
      </c>
      <c r="H533" s="0" t="str">
        <f aca="false">IF(D533=E533,"-",IF(D533&lt;E533,B533,C533))</f>
        <v>-</v>
      </c>
    </row>
    <row r="534" customFormat="false" ht="13.8" hidden="false" customHeight="false" outlineLevel="0" collapsed="false">
      <c r="A534" s="11" t="n">
        <v>34141</v>
      </c>
      <c r="B534" s="0" t="s">
        <v>5</v>
      </c>
      <c r="C534" s="0" t="s">
        <v>4</v>
      </c>
      <c r="D534" s="0" t="n">
        <v>3</v>
      </c>
      <c r="E534" s="0" t="n">
        <v>2</v>
      </c>
      <c r="F534" s="0" t="n">
        <v>36</v>
      </c>
      <c r="G534" s="0" t="str">
        <f aca="false">IF(D534=E534,"-",IF(D534&gt;E534,B534,C534))</f>
        <v>Chile</v>
      </c>
      <c r="H534" s="0" t="str">
        <f aca="false">IF(D534=E534,"-",IF(D534&lt;E534,B534,C534))</f>
        <v>Brazil</v>
      </c>
    </row>
    <row r="535" customFormat="false" ht="13.8" hidden="false" customHeight="false" outlineLevel="0" collapsed="false">
      <c r="A535" s="11" t="n">
        <v>34141</v>
      </c>
      <c r="B535" s="0" t="s">
        <v>13</v>
      </c>
      <c r="C535" s="0" t="s">
        <v>14</v>
      </c>
      <c r="D535" s="0" t="n">
        <v>1</v>
      </c>
      <c r="E535" s="0" t="n">
        <v>1</v>
      </c>
      <c r="F535" s="0" t="n">
        <v>36</v>
      </c>
      <c r="G535" s="0" t="str">
        <f aca="false">IF(D535=E535,"-",IF(D535&gt;E535,B535,C535))</f>
        <v>-</v>
      </c>
      <c r="H535" s="0" t="str">
        <f aca="false">IF(D535=E535,"-",IF(D535&lt;E535,B535,C535))</f>
        <v>-</v>
      </c>
    </row>
    <row r="536" customFormat="false" ht="13.8" hidden="false" customHeight="false" outlineLevel="0" collapsed="false">
      <c r="A536" s="11" t="n">
        <v>34142</v>
      </c>
      <c r="B536" s="0" t="s">
        <v>18</v>
      </c>
      <c r="C536" s="0" t="s">
        <v>17</v>
      </c>
      <c r="D536" s="0" t="n">
        <v>3</v>
      </c>
      <c r="E536" s="0" t="n">
        <v>3</v>
      </c>
      <c r="F536" s="0" t="n">
        <v>36</v>
      </c>
      <c r="G536" s="0" t="str">
        <f aca="false">IF(D536=E536,"-",IF(D536&gt;E536,B536,C536))</f>
        <v>-</v>
      </c>
      <c r="H536" s="0" t="str">
        <f aca="false">IF(D536=E536,"-",IF(D536&lt;E536,B536,C536))</f>
        <v>-</v>
      </c>
    </row>
    <row r="537" customFormat="false" ht="13.8" hidden="false" customHeight="false" outlineLevel="0" collapsed="false">
      <c r="A537" s="11" t="n">
        <v>34142</v>
      </c>
      <c r="B537" s="0" t="s">
        <v>8</v>
      </c>
      <c r="C537" s="0" t="s">
        <v>16</v>
      </c>
      <c r="D537" s="0" t="n">
        <v>2</v>
      </c>
      <c r="E537" s="0" t="n">
        <v>1</v>
      </c>
      <c r="F537" s="0" t="n">
        <v>36</v>
      </c>
      <c r="G537" s="0" t="str">
        <f aca="false">IF(D537=E537,"-",IF(D537&gt;E537,B537,C537))</f>
        <v>Ecuador</v>
      </c>
      <c r="H537" s="0" t="str">
        <f aca="false">IF(D537=E537,"-",IF(D537&lt;E537,B537,C537))</f>
        <v>Uruguay</v>
      </c>
    </row>
    <row r="538" customFormat="false" ht="13.8" hidden="false" customHeight="false" outlineLevel="0" collapsed="false">
      <c r="A538" s="11" t="n">
        <v>34143</v>
      </c>
      <c r="B538" s="0" t="s">
        <v>3</v>
      </c>
      <c r="C538" s="0" t="s">
        <v>12</v>
      </c>
      <c r="D538" s="0" t="n">
        <v>0</v>
      </c>
      <c r="E538" s="0" t="n">
        <v>0</v>
      </c>
      <c r="F538" s="0" t="n">
        <v>36</v>
      </c>
      <c r="G538" s="0" t="str">
        <f aca="false">IF(D538=E538,"-",IF(D538&gt;E538,B538,C538))</f>
        <v>-</v>
      </c>
      <c r="H538" s="0" t="str">
        <f aca="false">IF(D538=E538,"-",IF(D538&lt;E538,B538,C538))</f>
        <v>-</v>
      </c>
    </row>
    <row r="539" customFormat="false" ht="13.8" hidden="false" customHeight="false" outlineLevel="0" collapsed="false">
      <c r="A539" s="11" t="n">
        <v>34143</v>
      </c>
      <c r="B539" s="0" t="s">
        <v>2</v>
      </c>
      <c r="C539" s="0" t="s">
        <v>6</v>
      </c>
      <c r="D539" s="0" t="n">
        <v>1</v>
      </c>
      <c r="E539" s="0" t="n">
        <v>1</v>
      </c>
      <c r="F539" s="0" t="n">
        <v>36</v>
      </c>
      <c r="G539" s="0" t="str">
        <f aca="false">IF(D539=E539,"-",IF(D539&gt;E539,B539,C539))</f>
        <v>-</v>
      </c>
      <c r="H539" s="0" t="str">
        <f aca="false">IF(D539=E539,"-",IF(D539&lt;E539,B539,C539))</f>
        <v>-</v>
      </c>
    </row>
    <row r="540" customFormat="false" ht="13.8" hidden="false" customHeight="false" outlineLevel="0" collapsed="false">
      <c r="A540" s="11" t="n">
        <v>34144</v>
      </c>
      <c r="B540" s="0" t="s">
        <v>13</v>
      </c>
      <c r="C540" s="0" t="s">
        <v>4</v>
      </c>
      <c r="D540" s="0" t="n">
        <v>0</v>
      </c>
      <c r="E540" s="0" t="n">
        <v>3</v>
      </c>
      <c r="F540" s="0" t="n">
        <v>36</v>
      </c>
      <c r="G540" s="0" t="str">
        <f aca="false">IF(D540=E540,"-",IF(D540&gt;E540,B540,C540))</f>
        <v>Brazil</v>
      </c>
      <c r="H540" s="0" t="str">
        <f aca="false">IF(D540=E540,"-",IF(D540&lt;E540,B540,C540))</f>
        <v>Paraguay</v>
      </c>
    </row>
    <row r="541" customFormat="false" ht="13.8" hidden="false" customHeight="false" outlineLevel="0" collapsed="false">
      <c r="A541" s="11" t="n">
        <v>34144</v>
      </c>
      <c r="B541" s="0" t="s">
        <v>5</v>
      </c>
      <c r="C541" s="0" t="s">
        <v>14</v>
      </c>
      <c r="D541" s="0" t="n">
        <v>0</v>
      </c>
      <c r="E541" s="0" t="n">
        <v>1</v>
      </c>
      <c r="F541" s="0" t="n">
        <v>36</v>
      </c>
      <c r="G541" s="0" t="str">
        <f aca="false">IF(D541=E541,"-",IF(D541&gt;E541,B541,C541))</f>
        <v>Peru</v>
      </c>
      <c r="H541" s="0" t="str">
        <f aca="false">IF(D541=E541,"-",IF(D541&lt;E541,B541,C541))</f>
        <v>Chile</v>
      </c>
    </row>
    <row r="542" customFormat="false" ht="13.8" hidden="false" customHeight="false" outlineLevel="0" collapsed="false">
      <c r="A542" s="11" t="n">
        <v>34146</v>
      </c>
      <c r="B542" s="0" t="s">
        <v>8</v>
      </c>
      <c r="C542" s="0" t="s">
        <v>13</v>
      </c>
      <c r="D542" s="0" t="n">
        <v>3</v>
      </c>
      <c r="E542" s="0" t="n">
        <v>0</v>
      </c>
      <c r="F542" s="0" t="n">
        <v>36</v>
      </c>
      <c r="G542" s="0" t="str">
        <f aca="false">IF(D542=E542,"-",IF(D542&gt;E542,B542,C542))</f>
        <v>Ecuador</v>
      </c>
      <c r="H542" s="0" t="str">
        <f aca="false">IF(D542=E542,"-",IF(D542&lt;E542,B542,C542))</f>
        <v>Paraguay</v>
      </c>
    </row>
    <row r="543" customFormat="false" ht="13.8" hidden="false" customHeight="false" outlineLevel="0" collapsed="false">
      <c r="A543" s="11" t="n">
        <v>34146</v>
      </c>
      <c r="B543" s="0" t="s">
        <v>6</v>
      </c>
      <c r="C543" s="0" t="s">
        <v>16</v>
      </c>
      <c r="D543" s="0" t="n">
        <v>1</v>
      </c>
      <c r="E543" s="0" t="n">
        <v>1</v>
      </c>
      <c r="F543" s="0" t="n">
        <v>36</v>
      </c>
      <c r="G543" s="0" t="str">
        <f aca="false">IF(D543=E543,"-",IF(D543&gt;E543,B543,C543))</f>
        <v>-</v>
      </c>
      <c r="H543" s="0" t="str">
        <f aca="false">IF(D543=E543,"-",IF(D543&lt;E543,B543,C543))</f>
        <v>-</v>
      </c>
    </row>
    <row r="544" customFormat="false" ht="13.8" hidden="false" customHeight="false" outlineLevel="0" collapsed="false">
      <c r="A544" s="11" t="n">
        <v>34147</v>
      </c>
      <c r="B544" s="0" t="s">
        <v>14</v>
      </c>
      <c r="C544" s="0" t="s">
        <v>12</v>
      </c>
      <c r="D544" s="0" t="n">
        <v>2</v>
      </c>
      <c r="E544" s="0" t="n">
        <v>4</v>
      </c>
      <c r="F544" s="0" t="n">
        <v>36</v>
      </c>
      <c r="G544" s="0" t="str">
        <f aca="false">IF(D544=E544,"-",IF(D544&gt;E544,B544,C544))</f>
        <v>México</v>
      </c>
      <c r="H544" s="0" t="str">
        <f aca="false">IF(D544=E544,"-",IF(D544&lt;E544,B544,C544))</f>
        <v>Peru</v>
      </c>
    </row>
    <row r="545" customFormat="false" ht="13.8" hidden="false" customHeight="false" outlineLevel="0" collapsed="false">
      <c r="A545" s="11" t="n">
        <v>34147</v>
      </c>
      <c r="B545" s="0" t="s">
        <v>2</v>
      </c>
      <c r="C545" s="0" t="s">
        <v>4</v>
      </c>
      <c r="D545" s="0" t="n">
        <v>1</v>
      </c>
      <c r="E545" s="0" t="n">
        <v>1</v>
      </c>
      <c r="F545" s="0" t="n">
        <v>36</v>
      </c>
      <c r="G545" s="0" t="str">
        <f aca="false">IF(D545=E545,"-",IF(D545&gt;E545,B545,C545))</f>
        <v>-</v>
      </c>
      <c r="H545" s="0" t="str">
        <f aca="false">IF(D545=E545,"-",IF(D545&lt;E545,B545,C545))</f>
        <v>-</v>
      </c>
    </row>
    <row r="546" customFormat="false" ht="13.8" hidden="false" customHeight="false" outlineLevel="0" collapsed="false">
      <c r="A546" s="11" t="n">
        <v>34150</v>
      </c>
      <c r="B546" s="0" t="s">
        <v>8</v>
      </c>
      <c r="C546" s="0" t="s">
        <v>12</v>
      </c>
      <c r="D546" s="0" t="n">
        <v>0</v>
      </c>
      <c r="E546" s="0" t="n">
        <v>2</v>
      </c>
      <c r="F546" s="0" t="n">
        <v>36</v>
      </c>
      <c r="G546" s="0" t="str">
        <f aca="false">IF(D546=E546,"-",IF(D546&gt;E546,B546,C546))</f>
        <v>México</v>
      </c>
      <c r="H546" s="0" t="str">
        <f aca="false">IF(D546=E546,"-",IF(D546&lt;E546,B546,C546))</f>
        <v>Ecuador</v>
      </c>
    </row>
    <row r="547" customFormat="false" ht="13.8" hidden="false" customHeight="false" outlineLevel="0" collapsed="false">
      <c r="A547" s="11" t="n">
        <v>34151</v>
      </c>
      <c r="B547" s="0" t="s">
        <v>2</v>
      </c>
      <c r="C547" s="0" t="s">
        <v>6</v>
      </c>
      <c r="D547" s="0" t="n">
        <v>0</v>
      </c>
      <c r="E547" s="0" t="n">
        <v>0</v>
      </c>
      <c r="F547" s="0" t="n">
        <v>36</v>
      </c>
      <c r="G547" s="0" t="str">
        <f aca="false">IF(D547=E547,"-",IF(D547&gt;E547,B547,C547))</f>
        <v>-</v>
      </c>
      <c r="H547" s="0" t="str">
        <f aca="false">IF(D547=E547,"-",IF(D547&lt;E547,B547,C547))</f>
        <v>-</v>
      </c>
    </row>
    <row r="548" customFormat="false" ht="13.8" hidden="false" customHeight="false" outlineLevel="0" collapsed="false">
      <c r="A548" s="11" t="n">
        <v>34153</v>
      </c>
      <c r="B548" s="0" t="s">
        <v>6</v>
      </c>
      <c r="C548" s="0" t="s">
        <v>8</v>
      </c>
      <c r="D548" s="0" t="n">
        <v>1</v>
      </c>
      <c r="E548" s="0" t="n">
        <v>0</v>
      </c>
      <c r="F548" s="0" t="n">
        <v>36</v>
      </c>
      <c r="G548" s="0" t="str">
        <f aca="false">IF(D548=E548,"-",IF(D548&gt;E548,B548,C548))</f>
        <v>Colombia</v>
      </c>
      <c r="H548" s="0" t="str">
        <f aca="false">IF(D548=E548,"-",IF(D548&lt;E548,B548,C548))</f>
        <v>Ecuador</v>
      </c>
    </row>
    <row r="549" customFormat="false" ht="13.8" hidden="false" customHeight="false" outlineLevel="0" collapsed="false">
      <c r="A549" s="11" t="n">
        <v>34154</v>
      </c>
      <c r="B549" s="0" t="s">
        <v>2</v>
      </c>
      <c r="C549" s="0" t="s">
        <v>12</v>
      </c>
      <c r="D549" s="0" t="n">
        <v>2</v>
      </c>
      <c r="E549" s="0" t="n">
        <v>1</v>
      </c>
      <c r="F549" s="0" t="n">
        <v>36</v>
      </c>
      <c r="G549" s="0" t="str">
        <f aca="false">IF(D549=E549,"-",IF(D549&gt;E549,B549,C549))</f>
        <v>Argentina</v>
      </c>
      <c r="H549" s="0" t="str">
        <f aca="false">IF(D549=E549,"-",IF(D549&lt;E549,B549,C549))</f>
        <v>México</v>
      </c>
    </row>
    <row r="550" customFormat="false" ht="13.8" hidden="false" customHeight="false" outlineLevel="0" collapsed="false">
      <c r="A550" s="11" t="n">
        <v>34885</v>
      </c>
      <c r="B550" s="0" t="s">
        <v>16</v>
      </c>
      <c r="C550" s="0" t="s">
        <v>18</v>
      </c>
      <c r="D550" s="0" t="n">
        <v>4</v>
      </c>
      <c r="E550" s="0" t="n">
        <v>1</v>
      </c>
      <c r="F550" s="0" t="n">
        <v>37</v>
      </c>
      <c r="G550" s="0" t="str">
        <f aca="false">IF(D550=E550,"-",IF(D550&gt;E550,B550,C550))</f>
        <v>Uruguay</v>
      </c>
      <c r="H550" s="0" t="str">
        <f aca="false">IF(D550=E550,"-",IF(D550&lt;E550,B550,C550))</f>
        <v>Venezuela</v>
      </c>
    </row>
    <row r="551" customFormat="false" ht="13.8" hidden="false" customHeight="false" outlineLevel="0" collapsed="false">
      <c r="A551" s="11" t="n">
        <v>34886</v>
      </c>
      <c r="B551" s="0" t="s">
        <v>13</v>
      </c>
      <c r="C551" s="0" t="s">
        <v>12</v>
      </c>
      <c r="D551" s="0" t="n">
        <v>2</v>
      </c>
      <c r="E551" s="0" t="n">
        <v>1</v>
      </c>
      <c r="F551" s="0" t="n">
        <v>37</v>
      </c>
      <c r="G551" s="0" t="str">
        <f aca="false">IF(D551=E551,"-",IF(D551&gt;E551,B551,C551))</f>
        <v>Paraguay</v>
      </c>
      <c r="H551" s="0" t="str">
        <f aca="false">IF(D551=E551,"-",IF(D551&lt;E551,B551,C551))</f>
        <v>México</v>
      </c>
    </row>
    <row r="552" customFormat="false" ht="13.8" hidden="false" customHeight="false" outlineLevel="0" collapsed="false">
      <c r="A552" s="11" t="n">
        <v>34887</v>
      </c>
      <c r="B552" s="0" t="s">
        <v>8</v>
      </c>
      <c r="C552" s="0" t="s">
        <v>4</v>
      </c>
      <c r="D552" s="0" t="n">
        <v>0</v>
      </c>
      <c r="E552" s="0" t="n">
        <v>1</v>
      </c>
      <c r="F552" s="0" t="n">
        <v>37</v>
      </c>
      <c r="G552" s="0" t="str">
        <f aca="false">IF(D552=E552,"-",IF(D552&gt;E552,B552,C552))</f>
        <v>Brazil</v>
      </c>
      <c r="H552" s="0" t="str">
        <f aca="false">IF(D552=E552,"-",IF(D552&lt;E552,B552,C552))</f>
        <v>Ecuador</v>
      </c>
    </row>
    <row r="553" customFormat="false" ht="13.8" hidden="false" customHeight="false" outlineLevel="0" collapsed="false">
      <c r="A553" s="11" t="n">
        <v>34887</v>
      </c>
      <c r="B553" s="0" t="s">
        <v>6</v>
      </c>
      <c r="C553" s="0" t="s">
        <v>14</v>
      </c>
      <c r="D553" s="0" t="n">
        <v>1</v>
      </c>
      <c r="E553" s="0" t="n">
        <v>1</v>
      </c>
      <c r="F553" s="0" t="n">
        <v>37</v>
      </c>
      <c r="G553" s="0" t="str">
        <f aca="false">IF(D553=E553,"-",IF(D553&gt;E553,B553,C553))</f>
        <v>-</v>
      </c>
      <c r="H553" s="0" t="str">
        <f aca="false">IF(D553=E553,"-",IF(D553&lt;E553,B553,C553))</f>
        <v>-</v>
      </c>
    </row>
    <row r="554" customFormat="false" ht="13.8" hidden="false" customHeight="false" outlineLevel="0" collapsed="false">
      <c r="A554" s="11" t="n">
        <v>34888</v>
      </c>
      <c r="B554" s="0" t="s">
        <v>5</v>
      </c>
      <c r="C554" s="0" t="s">
        <v>15</v>
      </c>
      <c r="D554" s="0" t="n">
        <v>1</v>
      </c>
      <c r="E554" s="0" t="n">
        <v>2</v>
      </c>
      <c r="F554" s="0" t="n">
        <v>37</v>
      </c>
      <c r="G554" s="0" t="str">
        <f aca="false">IF(D554=E554,"-",IF(D554&gt;E554,B554,C554))</f>
        <v>U.S.A.</v>
      </c>
      <c r="H554" s="0" t="str">
        <f aca="false">IF(D554=E554,"-",IF(D554&lt;E554,B554,C554))</f>
        <v>Chile</v>
      </c>
    </row>
    <row r="555" customFormat="false" ht="13.8" hidden="false" customHeight="false" outlineLevel="0" collapsed="false">
      <c r="A555" s="11" t="n">
        <v>34888</v>
      </c>
      <c r="B555" s="0" t="s">
        <v>2</v>
      </c>
      <c r="C555" s="0" t="s">
        <v>3</v>
      </c>
      <c r="D555" s="0" t="n">
        <v>2</v>
      </c>
      <c r="E555" s="0" t="n">
        <v>1</v>
      </c>
      <c r="F555" s="0" t="n">
        <v>37</v>
      </c>
      <c r="G555" s="0" t="str">
        <f aca="false">IF(D555=E555,"-",IF(D555&gt;E555,B555,C555))</f>
        <v>Argentina</v>
      </c>
      <c r="H555" s="0" t="str">
        <f aca="false">IF(D555=E555,"-",IF(D555&lt;E555,B555,C555))</f>
        <v>Bolivia</v>
      </c>
    </row>
    <row r="556" customFormat="false" ht="13.8" hidden="false" customHeight="false" outlineLevel="0" collapsed="false">
      <c r="A556" s="11" t="n">
        <v>34889</v>
      </c>
      <c r="B556" s="0" t="s">
        <v>18</v>
      </c>
      <c r="C556" s="0" t="s">
        <v>12</v>
      </c>
      <c r="D556" s="0" t="n">
        <v>1</v>
      </c>
      <c r="E556" s="0" t="n">
        <v>3</v>
      </c>
      <c r="F556" s="0" t="n">
        <v>37</v>
      </c>
      <c r="G556" s="0" t="str">
        <f aca="false">IF(D556=E556,"-",IF(D556&gt;E556,B556,C556))</f>
        <v>México</v>
      </c>
      <c r="H556" s="0" t="str">
        <f aca="false">IF(D556=E556,"-",IF(D556&lt;E556,B556,C556))</f>
        <v>Venezuela</v>
      </c>
    </row>
    <row r="557" customFormat="false" ht="13.8" hidden="false" customHeight="false" outlineLevel="0" collapsed="false">
      <c r="A557" s="11" t="n">
        <v>34889</v>
      </c>
      <c r="B557" s="0" t="s">
        <v>13</v>
      </c>
      <c r="C557" s="0" t="s">
        <v>16</v>
      </c>
      <c r="D557" s="0" t="n">
        <v>0</v>
      </c>
      <c r="E557" s="0" t="n">
        <v>1</v>
      </c>
      <c r="F557" s="0" t="n">
        <v>37</v>
      </c>
      <c r="G557" s="0" t="str">
        <f aca="false">IF(D557=E557,"-",IF(D557&gt;E557,B557,C557))</f>
        <v>Uruguay</v>
      </c>
      <c r="H557" s="0" t="str">
        <f aca="false">IF(D557=E557,"-",IF(D557&lt;E557,B557,C557))</f>
        <v>Paraguay</v>
      </c>
    </row>
    <row r="558" customFormat="false" ht="13.8" hidden="false" customHeight="false" outlineLevel="0" collapsed="false">
      <c r="A558" s="11" t="n">
        <v>34890</v>
      </c>
      <c r="B558" s="0" t="s">
        <v>6</v>
      </c>
      <c r="C558" s="0" t="s">
        <v>8</v>
      </c>
      <c r="D558" s="0" t="n">
        <v>1</v>
      </c>
      <c r="E558" s="0" t="n">
        <v>0</v>
      </c>
      <c r="F558" s="0" t="n">
        <v>37</v>
      </c>
      <c r="G558" s="0" t="str">
        <f aca="false">IF(D558=E558,"-",IF(D558&gt;E558,B558,C558))</f>
        <v>Colombia</v>
      </c>
      <c r="H558" s="0" t="str">
        <f aca="false">IF(D558=E558,"-",IF(D558&lt;E558,B558,C558))</f>
        <v>Ecuador</v>
      </c>
    </row>
    <row r="559" customFormat="false" ht="13.8" hidden="false" customHeight="false" outlineLevel="0" collapsed="false">
      <c r="A559" s="11" t="n">
        <v>34890</v>
      </c>
      <c r="B559" s="0" t="s">
        <v>14</v>
      </c>
      <c r="C559" s="0" t="s">
        <v>4</v>
      </c>
      <c r="D559" s="0" t="n">
        <v>0</v>
      </c>
      <c r="E559" s="0" t="n">
        <v>2</v>
      </c>
      <c r="F559" s="0" t="n">
        <v>37</v>
      </c>
      <c r="G559" s="0" t="str">
        <f aca="false">IF(D559=E559,"-",IF(D559&gt;E559,B559,C559))</f>
        <v>Brazil</v>
      </c>
      <c r="H559" s="0" t="str">
        <f aca="false">IF(D559=E559,"-",IF(D559&lt;E559,B559,C559))</f>
        <v>Peru</v>
      </c>
    </row>
    <row r="560" customFormat="false" ht="13.8" hidden="false" customHeight="false" outlineLevel="0" collapsed="false">
      <c r="A560" s="11" t="n">
        <v>34891</v>
      </c>
      <c r="B560" s="0" t="s">
        <v>2</v>
      </c>
      <c r="C560" s="0" t="s">
        <v>5</v>
      </c>
      <c r="D560" s="0" t="n">
        <v>4</v>
      </c>
      <c r="E560" s="0" t="n">
        <v>0</v>
      </c>
      <c r="F560" s="0" t="n">
        <v>37</v>
      </c>
      <c r="G560" s="0" t="str">
        <f aca="false">IF(D560=E560,"-",IF(D560&gt;E560,B560,C560))</f>
        <v>Argentina</v>
      </c>
      <c r="H560" s="0" t="str">
        <f aca="false">IF(D560=E560,"-",IF(D560&lt;E560,B560,C560))</f>
        <v>Chile</v>
      </c>
    </row>
    <row r="561" customFormat="false" ht="13.8" hidden="false" customHeight="false" outlineLevel="0" collapsed="false">
      <c r="A561" s="11" t="n">
        <v>34891</v>
      </c>
      <c r="B561" s="0" t="s">
        <v>3</v>
      </c>
      <c r="C561" s="0" t="s">
        <v>17</v>
      </c>
      <c r="D561" s="0" t="n">
        <v>1</v>
      </c>
      <c r="E561" s="0" t="n">
        <v>0</v>
      </c>
      <c r="F561" s="0" t="n">
        <v>37</v>
      </c>
      <c r="G561" s="0" t="str">
        <f aca="false">IF(D561=E561,"-",IF(D561&gt;E561,B561,C561))</f>
        <v>Bolivia</v>
      </c>
      <c r="H561" s="0" t="str">
        <f aca="false">IF(D561=E561,"-",IF(D561&lt;E561,B561,C561))</f>
        <v>USA</v>
      </c>
    </row>
    <row r="562" customFormat="false" ht="13.8" hidden="false" customHeight="false" outlineLevel="0" collapsed="false">
      <c r="A562" s="11" t="n">
        <v>34892</v>
      </c>
      <c r="B562" s="0" t="s">
        <v>13</v>
      </c>
      <c r="C562" s="0" t="s">
        <v>18</v>
      </c>
      <c r="D562" s="0" t="n">
        <v>3</v>
      </c>
      <c r="E562" s="0" t="n">
        <v>2</v>
      </c>
      <c r="F562" s="0" t="n">
        <v>37</v>
      </c>
      <c r="G562" s="0" t="str">
        <f aca="false">IF(D562=E562,"-",IF(D562&gt;E562,B562,C562))</f>
        <v>Paraguay</v>
      </c>
      <c r="H562" s="0" t="str">
        <f aca="false">IF(D562=E562,"-",IF(D562&lt;E562,B562,C562))</f>
        <v>Venezuela</v>
      </c>
    </row>
    <row r="563" customFormat="false" ht="13.8" hidden="false" customHeight="false" outlineLevel="0" collapsed="false">
      <c r="A563" s="11" t="n">
        <v>34893</v>
      </c>
      <c r="B563" s="0" t="s">
        <v>8</v>
      </c>
      <c r="C563" s="0" t="s">
        <v>14</v>
      </c>
      <c r="D563" s="0" t="n">
        <v>2</v>
      </c>
      <c r="E563" s="0" t="n">
        <v>1</v>
      </c>
      <c r="F563" s="0" t="n">
        <v>37</v>
      </c>
      <c r="G563" s="0" t="str">
        <f aca="false">IF(D563=E563,"-",IF(D563&gt;E563,B563,C563))</f>
        <v>Ecuador</v>
      </c>
      <c r="H563" s="0" t="str">
        <f aca="false">IF(D563=E563,"-",IF(D563&lt;E563,B563,C563))</f>
        <v>Peru</v>
      </c>
    </row>
    <row r="564" customFormat="false" ht="13.8" hidden="false" customHeight="false" outlineLevel="0" collapsed="false">
      <c r="A564" s="11" t="n">
        <v>34893</v>
      </c>
      <c r="B564" s="0" t="s">
        <v>16</v>
      </c>
      <c r="C564" s="0" t="s">
        <v>12</v>
      </c>
      <c r="D564" s="0" t="n">
        <v>1</v>
      </c>
      <c r="E564" s="0" t="n">
        <v>1</v>
      </c>
      <c r="F564" s="0" t="n">
        <v>37</v>
      </c>
      <c r="G564" s="0" t="str">
        <f aca="false">IF(D564=E564,"-",IF(D564&gt;E564,B564,C564))</f>
        <v>-</v>
      </c>
      <c r="H564" s="0" t="str">
        <f aca="false">IF(D564=E564,"-",IF(D564&lt;E564,B564,C564))</f>
        <v>-</v>
      </c>
    </row>
    <row r="565" customFormat="false" ht="13.8" hidden="false" customHeight="false" outlineLevel="0" collapsed="false">
      <c r="A565" s="11" t="n">
        <v>34893</v>
      </c>
      <c r="B565" s="0" t="s">
        <v>6</v>
      </c>
      <c r="C565" s="0" t="s">
        <v>4</v>
      </c>
      <c r="D565" s="0" t="n">
        <v>0</v>
      </c>
      <c r="E565" s="0" t="n">
        <v>3</v>
      </c>
      <c r="F565" s="0" t="n">
        <v>37</v>
      </c>
      <c r="G565" s="0" t="str">
        <f aca="false">IF(D565=E565,"-",IF(D565&gt;E565,B565,C565))</f>
        <v>Brazil</v>
      </c>
      <c r="H565" s="0" t="str">
        <f aca="false">IF(D565=E565,"-",IF(D565&lt;E565,B565,C565))</f>
        <v>Colombia</v>
      </c>
    </row>
    <row r="566" customFormat="false" ht="13.8" hidden="false" customHeight="false" outlineLevel="0" collapsed="false">
      <c r="A566" s="11" t="n">
        <v>34894</v>
      </c>
      <c r="B566" s="0" t="s">
        <v>2</v>
      </c>
      <c r="C566" s="0" t="s">
        <v>15</v>
      </c>
      <c r="D566" s="0" t="n">
        <v>0</v>
      </c>
      <c r="E566" s="0" t="n">
        <v>3</v>
      </c>
      <c r="F566" s="0" t="n">
        <v>37</v>
      </c>
      <c r="G566" s="0" t="str">
        <f aca="false">IF(D566=E566,"-",IF(D566&gt;E566,B566,C566))</f>
        <v>U.S.A.</v>
      </c>
      <c r="H566" s="0" t="str">
        <f aca="false">IF(D566=E566,"-",IF(D566&lt;E566,B566,C566))</f>
        <v>Argentina</v>
      </c>
    </row>
    <row r="567" customFormat="false" ht="13.8" hidden="false" customHeight="false" outlineLevel="0" collapsed="false">
      <c r="A567" s="11" t="n">
        <v>34894</v>
      </c>
      <c r="B567" s="0" t="s">
        <v>3</v>
      </c>
      <c r="C567" s="0" t="s">
        <v>5</v>
      </c>
      <c r="D567" s="0" t="n">
        <v>2</v>
      </c>
      <c r="E567" s="0" t="n">
        <v>2</v>
      </c>
      <c r="F567" s="0" t="n">
        <v>37</v>
      </c>
      <c r="G567" s="0" t="str">
        <f aca="false">IF(D567=E567,"-",IF(D567&gt;E567,B567,C567))</f>
        <v>-</v>
      </c>
      <c r="H567" s="0" t="str">
        <f aca="false">IF(D567=E567,"-",IF(D567&lt;E567,B567,C567))</f>
        <v>-</v>
      </c>
    </row>
    <row r="568" customFormat="false" ht="13.8" hidden="false" customHeight="false" outlineLevel="0" collapsed="false">
      <c r="A568" s="11" t="n">
        <v>34896</v>
      </c>
      <c r="B568" s="0" t="s">
        <v>6</v>
      </c>
      <c r="C568" s="0" t="s">
        <v>13</v>
      </c>
      <c r="D568" s="0" t="n">
        <v>1</v>
      </c>
      <c r="E568" s="0" t="n">
        <v>1</v>
      </c>
      <c r="F568" s="0" t="n">
        <v>37</v>
      </c>
      <c r="G568" s="0" t="str">
        <f aca="false">IF(D568=E568,"-",IF(D568&gt;E568,B568,C568))</f>
        <v>-</v>
      </c>
      <c r="H568" s="0" t="str">
        <f aca="false">IF(D568=E568,"-",IF(D568&lt;E568,B568,C568))</f>
        <v>-</v>
      </c>
    </row>
    <row r="569" customFormat="false" ht="13.8" hidden="false" customHeight="false" outlineLevel="0" collapsed="false">
      <c r="A569" s="11" t="n">
        <v>34896</v>
      </c>
      <c r="B569" s="0" t="s">
        <v>3</v>
      </c>
      <c r="C569" s="0" t="s">
        <v>16</v>
      </c>
      <c r="D569" s="0" t="n">
        <v>1</v>
      </c>
      <c r="E569" s="0" t="n">
        <v>2</v>
      </c>
      <c r="F569" s="0" t="n">
        <v>37</v>
      </c>
      <c r="G569" s="0" t="str">
        <f aca="false">IF(D569=E569,"-",IF(D569&gt;E569,B569,C569))</f>
        <v>Uruguay</v>
      </c>
      <c r="H569" s="0" t="str">
        <f aca="false">IF(D569=E569,"-",IF(D569&lt;E569,B569,C569))</f>
        <v>Bolivia</v>
      </c>
    </row>
    <row r="570" customFormat="false" ht="13.8" hidden="false" customHeight="false" outlineLevel="0" collapsed="false">
      <c r="A570" s="11" t="n">
        <v>34897</v>
      </c>
      <c r="B570" s="0" t="s">
        <v>12</v>
      </c>
      <c r="C570" s="0" t="s">
        <v>17</v>
      </c>
      <c r="D570" s="0" t="n">
        <v>0</v>
      </c>
      <c r="E570" s="0" t="n">
        <v>0</v>
      </c>
      <c r="F570" s="0" t="n">
        <v>37</v>
      </c>
      <c r="G570" s="0" t="str">
        <f aca="false">IF(D570=E570,"-",IF(D570&gt;E570,B570,C570))</f>
        <v>-</v>
      </c>
      <c r="H570" s="0" t="str">
        <f aca="false">IF(D570=E570,"-",IF(D570&lt;E570,B570,C570))</f>
        <v>-</v>
      </c>
    </row>
    <row r="571" customFormat="false" ht="13.8" hidden="false" customHeight="false" outlineLevel="0" collapsed="false">
      <c r="A571" s="11" t="n">
        <v>34897</v>
      </c>
      <c r="B571" s="0" t="s">
        <v>2</v>
      </c>
      <c r="C571" s="0" t="s">
        <v>4</v>
      </c>
      <c r="D571" s="0" t="n">
        <v>2</v>
      </c>
      <c r="E571" s="0" t="n">
        <v>2</v>
      </c>
      <c r="F571" s="0" t="n">
        <v>37</v>
      </c>
      <c r="G571" s="0" t="str">
        <f aca="false">IF(D571=E571,"-",IF(D571&gt;E571,B571,C571))</f>
        <v>-</v>
      </c>
      <c r="H571" s="0" t="str">
        <f aca="false">IF(D571=E571,"-",IF(D571&lt;E571,B571,C571))</f>
        <v>-</v>
      </c>
    </row>
    <row r="572" customFormat="false" ht="13.8" hidden="false" customHeight="false" outlineLevel="0" collapsed="false">
      <c r="A572" s="11" t="n">
        <v>34899</v>
      </c>
      <c r="B572" s="0" t="s">
        <v>6</v>
      </c>
      <c r="C572" s="0" t="s">
        <v>16</v>
      </c>
      <c r="D572" s="0" t="n">
        <v>0</v>
      </c>
      <c r="E572" s="0" t="n">
        <v>2</v>
      </c>
      <c r="F572" s="0" t="n">
        <v>37</v>
      </c>
      <c r="G572" s="0" t="str">
        <f aca="false">IF(D572=E572,"-",IF(D572&gt;E572,B572,C572))</f>
        <v>Uruguay</v>
      </c>
      <c r="H572" s="0" t="str">
        <f aca="false">IF(D572=E572,"-",IF(D572&lt;E572,B572,C572))</f>
        <v>Colombia</v>
      </c>
    </row>
    <row r="573" customFormat="false" ht="13.8" hidden="false" customHeight="false" outlineLevel="0" collapsed="false">
      <c r="A573" s="11" t="n">
        <v>34900</v>
      </c>
      <c r="B573" s="0" t="s">
        <v>4</v>
      </c>
      <c r="C573" s="0" t="s">
        <v>17</v>
      </c>
      <c r="D573" s="0" t="n">
        <v>1</v>
      </c>
      <c r="E573" s="0" t="n">
        <v>0</v>
      </c>
      <c r="F573" s="0" t="n">
        <v>37</v>
      </c>
      <c r="G573" s="0" t="str">
        <f aca="false">IF(D573=E573,"-",IF(D573&gt;E573,B573,C573))</f>
        <v>Brazil</v>
      </c>
      <c r="H573" s="0" t="str">
        <f aca="false">IF(D573=E573,"-",IF(D573&lt;E573,B573,C573))</f>
        <v>USA</v>
      </c>
    </row>
    <row r="574" customFormat="false" ht="13.8" hidden="false" customHeight="false" outlineLevel="0" collapsed="false">
      <c r="A574" s="11" t="n">
        <v>34902</v>
      </c>
      <c r="B574" s="0" t="s">
        <v>6</v>
      </c>
      <c r="C574" s="0" t="s">
        <v>15</v>
      </c>
      <c r="D574" s="0" t="n">
        <v>4</v>
      </c>
      <c r="E574" s="0" t="n">
        <v>1</v>
      </c>
      <c r="F574" s="0" t="n">
        <v>37</v>
      </c>
      <c r="G574" s="0" t="str">
        <f aca="false">IF(D574=E574,"-",IF(D574&gt;E574,B574,C574))</f>
        <v>Colombia</v>
      </c>
      <c r="H574" s="0" t="str">
        <f aca="false">IF(D574=E574,"-",IF(D574&lt;E574,B574,C574))</f>
        <v>U.S.A.</v>
      </c>
    </row>
    <row r="575" customFormat="false" ht="13.8" hidden="false" customHeight="false" outlineLevel="0" collapsed="false">
      <c r="A575" s="11" t="n">
        <v>34903</v>
      </c>
      <c r="B575" s="0" t="s">
        <v>16</v>
      </c>
      <c r="C575" s="0" t="s">
        <v>4</v>
      </c>
      <c r="D575" s="0" t="n">
        <v>1</v>
      </c>
      <c r="E575" s="0" t="n">
        <v>1</v>
      </c>
      <c r="F575" s="0" t="n">
        <v>37</v>
      </c>
      <c r="G575" s="0" t="str">
        <f aca="false">IF(D575=E575,"-",IF(D575&gt;E575,B575,C575))</f>
        <v>-</v>
      </c>
      <c r="H575" s="0" t="str">
        <f aca="false">IF(D575=E575,"-",IF(D575&lt;E575,B575,C575))</f>
        <v>-</v>
      </c>
    </row>
    <row r="576" customFormat="false" ht="13.8" hidden="false" customHeight="false" outlineLevel="0" collapsed="false">
      <c r="A576" s="11" t="n">
        <v>35592</v>
      </c>
      <c r="B576" s="0" t="s">
        <v>5</v>
      </c>
      <c r="C576" s="0" t="s">
        <v>13</v>
      </c>
      <c r="D576" s="0" t="n">
        <v>0</v>
      </c>
      <c r="E576" s="0" t="n">
        <v>1</v>
      </c>
      <c r="F576" s="0" t="n">
        <v>38</v>
      </c>
      <c r="G576" s="0" t="str">
        <f aca="false">IF(D576=E576,"-",IF(D576&gt;E576,B576,C576))</f>
        <v>Paraguay</v>
      </c>
      <c r="H576" s="0" t="str">
        <f aca="false">IF(D576=E576,"-",IF(D576&lt;E576,B576,C576))</f>
        <v>Chile</v>
      </c>
    </row>
    <row r="577" customFormat="false" ht="13.8" hidden="false" customHeight="false" outlineLevel="0" collapsed="false">
      <c r="A577" s="11" t="n">
        <v>35592</v>
      </c>
      <c r="B577" s="0" t="s">
        <v>2</v>
      </c>
      <c r="C577" s="0" t="s">
        <v>8</v>
      </c>
      <c r="D577" s="0" t="n">
        <v>0</v>
      </c>
      <c r="E577" s="0" t="n">
        <v>0</v>
      </c>
      <c r="F577" s="0" t="n">
        <v>38</v>
      </c>
      <c r="G577" s="0" t="str">
        <f aca="false">IF(D577=E577,"-",IF(D577&gt;E577,B577,C577))</f>
        <v>-</v>
      </c>
      <c r="H577" s="0" t="str">
        <f aca="false">IF(D577=E577,"-",IF(D577&lt;E577,B577,C577))</f>
        <v>-</v>
      </c>
    </row>
    <row r="578" customFormat="false" ht="13.8" hidden="false" customHeight="false" outlineLevel="0" collapsed="false">
      <c r="A578" s="11" t="n">
        <v>35593</v>
      </c>
      <c r="B578" s="0" t="s">
        <v>3</v>
      </c>
      <c r="C578" s="0" t="s">
        <v>18</v>
      </c>
      <c r="D578" s="0" t="n">
        <v>1</v>
      </c>
      <c r="E578" s="0" t="n">
        <v>0</v>
      </c>
      <c r="F578" s="0" t="n">
        <v>38</v>
      </c>
      <c r="G578" s="0" t="str">
        <f aca="false">IF(D578=E578,"-",IF(D578&gt;E578,B578,C578))</f>
        <v>Bolivia</v>
      </c>
      <c r="H578" s="0" t="str">
        <f aca="false">IF(D578=E578,"-",IF(D578&lt;E578,B578,C578))</f>
        <v>Venezuela</v>
      </c>
    </row>
    <row r="579" customFormat="false" ht="13.8" hidden="false" customHeight="false" outlineLevel="0" collapsed="false">
      <c r="A579" s="11" t="n">
        <v>35593</v>
      </c>
      <c r="B579" s="0" t="s">
        <v>14</v>
      </c>
      <c r="C579" s="0" t="s">
        <v>16</v>
      </c>
      <c r="D579" s="0" t="n">
        <v>1</v>
      </c>
      <c r="E579" s="0" t="n">
        <v>0</v>
      </c>
      <c r="F579" s="0" t="n">
        <v>38</v>
      </c>
      <c r="G579" s="0" t="str">
        <f aca="false">IF(D579=E579,"-",IF(D579&gt;E579,B579,C579))</f>
        <v>Peru</v>
      </c>
      <c r="H579" s="0" t="str">
        <f aca="false">IF(D579=E579,"-",IF(D579&lt;E579,B579,C579))</f>
        <v>Uruguay</v>
      </c>
    </row>
    <row r="580" customFormat="false" ht="13.8" hidden="false" customHeight="false" outlineLevel="0" collapsed="false">
      <c r="A580" s="11" t="n">
        <v>35594</v>
      </c>
      <c r="B580" s="0" t="s">
        <v>6</v>
      </c>
      <c r="C580" s="0" t="s">
        <v>12</v>
      </c>
      <c r="D580" s="0" t="n">
        <v>1</v>
      </c>
      <c r="E580" s="0" t="n">
        <v>2</v>
      </c>
      <c r="F580" s="0" t="n">
        <v>38</v>
      </c>
      <c r="G580" s="0" t="str">
        <f aca="false">IF(D580=E580,"-",IF(D580&gt;E580,B580,C580))</f>
        <v>México</v>
      </c>
      <c r="H580" s="0" t="str">
        <f aca="false">IF(D580=E580,"-",IF(D580&lt;E580,B580,C580))</f>
        <v>Colombia</v>
      </c>
    </row>
    <row r="581" customFormat="false" ht="13.8" hidden="false" customHeight="false" outlineLevel="0" collapsed="false">
      <c r="A581" s="11" t="n">
        <v>35594</v>
      </c>
      <c r="B581" s="0" t="s">
        <v>4</v>
      </c>
      <c r="C581" s="0" t="s">
        <v>7</v>
      </c>
      <c r="D581" s="0" t="n">
        <v>5</v>
      </c>
      <c r="E581" s="0" t="n">
        <v>0</v>
      </c>
      <c r="F581" s="0" t="n">
        <v>38</v>
      </c>
      <c r="G581" s="0" t="str">
        <f aca="false">IF(D581=E581,"-",IF(D581&gt;E581,B581,C581))</f>
        <v>Brazil</v>
      </c>
      <c r="H581" s="0" t="str">
        <f aca="false">IF(D581=E581,"-",IF(D581&lt;E581,B581,C581))</f>
        <v>Costa Rica</v>
      </c>
    </row>
    <row r="582" customFormat="false" ht="13.8" hidden="false" customHeight="false" outlineLevel="0" collapsed="false">
      <c r="A582" s="11" t="n">
        <v>35595</v>
      </c>
      <c r="B582" s="0" t="s">
        <v>2</v>
      </c>
      <c r="C582" s="0" t="s">
        <v>5</v>
      </c>
      <c r="D582" s="0" t="n">
        <v>2</v>
      </c>
      <c r="E582" s="0" t="n">
        <v>0</v>
      </c>
      <c r="F582" s="0" t="n">
        <v>38</v>
      </c>
      <c r="G582" s="0" t="str">
        <f aca="false">IF(D582=E582,"-",IF(D582&gt;E582,B582,C582))</f>
        <v>Argentina</v>
      </c>
      <c r="H582" s="0" t="str">
        <f aca="false">IF(D582=E582,"-",IF(D582&lt;E582,B582,C582))</f>
        <v>Chile</v>
      </c>
    </row>
    <row r="583" customFormat="false" ht="13.8" hidden="false" customHeight="false" outlineLevel="0" collapsed="false">
      <c r="A583" s="11" t="n">
        <v>35595</v>
      </c>
      <c r="B583" s="0" t="s">
        <v>8</v>
      </c>
      <c r="C583" s="0" t="s">
        <v>13</v>
      </c>
      <c r="D583" s="0" t="n">
        <v>2</v>
      </c>
      <c r="E583" s="0" t="n">
        <v>0</v>
      </c>
      <c r="F583" s="0" t="n">
        <v>38</v>
      </c>
      <c r="G583" s="0" t="str">
        <f aca="false">IF(D583=E583,"-",IF(D583&gt;E583,B583,C583))</f>
        <v>Ecuador</v>
      </c>
      <c r="H583" s="0" t="str">
        <f aca="false">IF(D583=E583,"-",IF(D583&lt;E583,B583,C583))</f>
        <v>Paraguay</v>
      </c>
    </row>
    <row r="584" customFormat="false" ht="13.8" hidden="false" customHeight="false" outlineLevel="0" collapsed="false">
      <c r="A584" s="11" t="n">
        <v>35596</v>
      </c>
      <c r="B584" s="0" t="s">
        <v>3</v>
      </c>
      <c r="C584" s="0" t="s">
        <v>14</v>
      </c>
      <c r="D584" s="0" t="n">
        <v>2</v>
      </c>
      <c r="E584" s="0" t="n">
        <v>0</v>
      </c>
      <c r="F584" s="0" t="n">
        <v>38</v>
      </c>
      <c r="G584" s="0" t="str">
        <f aca="false">IF(D584=E584,"-",IF(D584&gt;E584,B584,C584))</f>
        <v>Bolivia</v>
      </c>
      <c r="H584" s="0" t="str">
        <f aca="false">IF(D584=E584,"-",IF(D584&lt;E584,B584,C584))</f>
        <v>Peru</v>
      </c>
    </row>
    <row r="585" customFormat="false" ht="13.8" hidden="false" customHeight="false" outlineLevel="0" collapsed="false">
      <c r="A585" s="11" t="n">
        <v>35596</v>
      </c>
      <c r="B585" s="0" t="s">
        <v>16</v>
      </c>
      <c r="C585" s="0" t="s">
        <v>18</v>
      </c>
      <c r="D585" s="0" t="n">
        <v>2</v>
      </c>
      <c r="E585" s="0" t="n">
        <v>0</v>
      </c>
      <c r="F585" s="0" t="n">
        <v>38</v>
      </c>
      <c r="G585" s="0" t="str">
        <f aca="false">IF(D585=E585,"-",IF(D585&gt;E585,B585,C585))</f>
        <v>Uruguay</v>
      </c>
      <c r="H585" s="0" t="str">
        <f aca="false">IF(D585=E585,"-",IF(D585&lt;E585,B585,C585))</f>
        <v>Venezuela</v>
      </c>
    </row>
    <row r="586" customFormat="false" ht="13.8" hidden="false" customHeight="false" outlineLevel="0" collapsed="false">
      <c r="A586" s="11" t="n">
        <v>35597</v>
      </c>
      <c r="B586" s="0" t="s">
        <v>4</v>
      </c>
      <c r="C586" s="0" t="s">
        <v>12</v>
      </c>
      <c r="D586" s="0" t="n">
        <v>3</v>
      </c>
      <c r="E586" s="0" t="n">
        <v>2</v>
      </c>
      <c r="F586" s="0" t="n">
        <v>38</v>
      </c>
      <c r="G586" s="0" t="str">
        <f aca="false">IF(D586=E586,"-",IF(D586&gt;E586,B586,C586))</f>
        <v>Brazil</v>
      </c>
      <c r="H586" s="0" t="str">
        <f aca="false">IF(D586=E586,"-",IF(D586&lt;E586,B586,C586))</f>
        <v>México</v>
      </c>
    </row>
    <row r="587" customFormat="false" ht="13.8" hidden="false" customHeight="false" outlineLevel="0" collapsed="false">
      <c r="A587" s="11" t="n">
        <v>35597</v>
      </c>
      <c r="B587" s="0" t="s">
        <v>6</v>
      </c>
      <c r="C587" s="0" t="s">
        <v>7</v>
      </c>
      <c r="D587" s="0" t="n">
        <v>4</v>
      </c>
      <c r="E587" s="0" t="n">
        <v>1</v>
      </c>
      <c r="F587" s="0" t="n">
        <v>38</v>
      </c>
      <c r="G587" s="0" t="str">
        <f aca="false">IF(D587=E587,"-",IF(D587&gt;E587,B587,C587))</f>
        <v>Colombia</v>
      </c>
      <c r="H587" s="0" t="str">
        <f aca="false">IF(D587=E587,"-",IF(D587&lt;E587,B587,C587))</f>
        <v>Costa Rica</v>
      </c>
    </row>
    <row r="588" customFormat="false" ht="13.8" hidden="false" customHeight="false" outlineLevel="0" collapsed="false">
      <c r="A588" s="11" t="n">
        <v>35598</v>
      </c>
      <c r="B588" s="0" t="s">
        <v>2</v>
      </c>
      <c r="C588" s="0" t="s">
        <v>13</v>
      </c>
      <c r="D588" s="0" t="n">
        <v>1</v>
      </c>
      <c r="E588" s="0" t="n">
        <v>1</v>
      </c>
      <c r="F588" s="0" t="n">
        <v>38</v>
      </c>
      <c r="G588" s="0" t="str">
        <f aca="false">IF(D588=E588,"-",IF(D588&gt;E588,B588,C588))</f>
        <v>-</v>
      </c>
      <c r="H588" s="0" t="str">
        <f aca="false">IF(D588=E588,"-",IF(D588&lt;E588,B588,C588))</f>
        <v>-</v>
      </c>
    </row>
    <row r="589" customFormat="false" ht="13.8" hidden="false" customHeight="false" outlineLevel="0" collapsed="false">
      <c r="A589" s="11" t="n">
        <v>35598</v>
      </c>
      <c r="B589" s="0" t="s">
        <v>5</v>
      </c>
      <c r="C589" s="0" t="s">
        <v>8</v>
      </c>
      <c r="D589" s="0" t="n">
        <v>1</v>
      </c>
      <c r="E589" s="0" t="n">
        <v>2</v>
      </c>
      <c r="F589" s="0" t="n">
        <v>38</v>
      </c>
      <c r="G589" s="0" t="str">
        <f aca="false">IF(D589=E589,"-",IF(D589&gt;E589,B589,C589))</f>
        <v>Ecuador</v>
      </c>
      <c r="H589" s="0" t="str">
        <f aca="false">IF(D589=E589,"-",IF(D589&lt;E589,B589,C589))</f>
        <v>Chile</v>
      </c>
    </row>
    <row r="590" customFormat="false" ht="13.8" hidden="false" customHeight="false" outlineLevel="0" collapsed="false">
      <c r="A590" s="11" t="n">
        <v>35599</v>
      </c>
      <c r="B590" s="0" t="s">
        <v>14</v>
      </c>
      <c r="C590" s="0" t="s">
        <v>18</v>
      </c>
      <c r="D590" s="0" t="n">
        <v>2</v>
      </c>
      <c r="E590" s="0" t="n">
        <v>0</v>
      </c>
      <c r="F590" s="0" t="n">
        <v>38</v>
      </c>
      <c r="G590" s="0" t="str">
        <f aca="false">IF(D590=E590,"-",IF(D590&gt;E590,B590,C590))</f>
        <v>Peru</v>
      </c>
      <c r="H590" s="0" t="str">
        <f aca="false">IF(D590=E590,"-",IF(D590&lt;E590,B590,C590))</f>
        <v>Venezuela</v>
      </c>
    </row>
    <row r="591" customFormat="false" ht="13.8" hidden="false" customHeight="false" outlineLevel="0" collapsed="false">
      <c r="A591" s="11" t="n">
        <v>35599</v>
      </c>
      <c r="B591" s="0" t="s">
        <v>3</v>
      </c>
      <c r="C591" s="0" t="s">
        <v>16</v>
      </c>
      <c r="D591" s="0" t="n">
        <v>1</v>
      </c>
      <c r="E591" s="0" t="n">
        <v>0</v>
      </c>
      <c r="F591" s="0" t="n">
        <v>38</v>
      </c>
      <c r="G591" s="0" t="str">
        <f aca="false">IF(D591=E591,"-",IF(D591&gt;E591,B591,C591))</f>
        <v>Bolivia</v>
      </c>
      <c r="H591" s="0" t="str">
        <f aca="false">IF(D591=E591,"-",IF(D591&lt;E591,B591,C591))</f>
        <v>Uruguay</v>
      </c>
    </row>
    <row r="592" customFormat="false" ht="13.8" hidden="false" customHeight="false" outlineLevel="0" collapsed="false">
      <c r="A592" s="11" t="n">
        <v>35600</v>
      </c>
      <c r="B592" s="0" t="s">
        <v>12</v>
      </c>
      <c r="C592" s="0" t="s">
        <v>7</v>
      </c>
      <c r="D592" s="0" t="n">
        <v>1</v>
      </c>
      <c r="E592" s="0" t="n">
        <v>1</v>
      </c>
      <c r="F592" s="0" t="n">
        <v>38</v>
      </c>
      <c r="G592" s="0" t="str">
        <f aca="false">IF(D592=E592,"-",IF(D592&gt;E592,B592,C592))</f>
        <v>-</v>
      </c>
      <c r="H592" s="0" t="str">
        <f aca="false">IF(D592=E592,"-",IF(D592&lt;E592,B592,C592))</f>
        <v>-</v>
      </c>
    </row>
    <row r="593" customFormat="false" ht="13.8" hidden="false" customHeight="false" outlineLevel="0" collapsed="false">
      <c r="A593" s="11" t="n">
        <v>35600</v>
      </c>
      <c r="B593" s="0" t="s">
        <v>6</v>
      </c>
      <c r="C593" s="0" t="s">
        <v>4</v>
      </c>
      <c r="D593" s="0" t="n">
        <v>0</v>
      </c>
      <c r="E593" s="0" t="n">
        <v>2</v>
      </c>
      <c r="F593" s="0" t="n">
        <v>38</v>
      </c>
      <c r="G593" s="0" t="str">
        <f aca="false">IF(D593=E593,"-",IF(D593&gt;E593,B593,C593))</f>
        <v>Brazil</v>
      </c>
      <c r="H593" s="0" t="str">
        <f aca="false">IF(D593=E593,"-",IF(D593&lt;E593,B593,C593))</f>
        <v>Colombia</v>
      </c>
    </row>
    <row r="594" customFormat="false" ht="13.8" hidden="false" customHeight="false" outlineLevel="0" collapsed="false">
      <c r="A594" s="11" t="n">
        <v>35602</v>
      </c>
      <c r="B594" s="0" t="s">
        <v>3</v>
      </c>
      <c r="C594" s="0" t="s">
        <v>6</v>
      </c>
      <c r="D594" s="0" t="n">
        <v>2</v>
      </c>
      <c r="E594" s="0" t="n">
        <v>1</v>
      </c>
      <c r="F594" s="0" t="n">
        <v>38</v>
      </c>
      <c r="G594" s="0" t="str">
        <f aca="false">IF(D594=E594,"-",IF(D594&gt;E594,B594,C594))</f>
        <v>Bolivia</v>
      </c>
      <c r="H594" s="0" t="str">
        <f aca="false">IF(D594=E594,"-",IF(D594&lt;E594,B594,C594))</f>
        <v>Colombia</v>
      </c>
    </row>
    <row r="595" customFormat="false" ht="13.8" hidden="false" customHeight="false" outlineLevel="0" collapsed="false">
      <c r="A595" s="11" t="n">
        <v>35602</v>
      </c>
      <c r="B595" s="0" t="s">
        <v>2</v>
      </c>
      <c r="C595" s="0" t="s">
        <v>14</v>
      </c>
      <c r="D595" s="0" t="n">
        <v>1</v>
      </c>
      <c r="E595" s="0" t="n">
        <v>2</v>
      </c>
      <c r="F595" s="0" t="n">
        <v>38</v>
      </c>
      <c r="G595" s="0" t="str">
        <f aca="false">IF(D595=E595,"-",IF(D595&gt;E595,B595,C595))</f>
        <v>Peru</v>
      </c>
      <c r="H595" s="0" t="str">
        <f aca="false">IF(D595=E595,"-",IF(D595&lt;E595,B595,C595))</f>
        <v>Argentina</v>
      </c>
    </row>
    <row r="596" customFormat="false" ht="13.8" hidden="false" customHeight="false" outlineLevel="0" collapsed="false">
      <c r="A596" s="11" t="n">
        <v>35603</v>
      </c>
      <c r="B596" s="0" t="s">
        <v>8</v>
      </c>
      <c r="C596" s="0" t="s">
        <v>12</v>
      </c>
      <c r="D596" s="0" t="n">
        <v>1</v>
      </c>
      <c r="E596" s="0" t="n">
        <v>1</v>
      </c>
      <c r="F596" s="0" t="n">
        <v>38</v>
      </c>
      <c r="G596" s="0" t="str">
        <f aca="false">IF(D596=E596,"-",IF(D596&gt;E596,B596,C596))</f>
        <v>-</v>
      </c>
      <c r="H596" s="0" t="str">
        <f aca="false">IF(D596=E596,"-",IF(D596&lt;E596,B596,C596))</f>
        <v>-</v>
      </c>
    </row>
    <row r="597" customFormat="false" ht="13.8" hidden="false" customHeight="false" outlineLevel="0" collapsed="false">
      <c r="A597" s="11" t="n">
        <v>35603</v>
      </c>
      <c r="B597" s="0" t="s">
        <v>13</v>
      </c>
      <c r="C597" s="0" t="s">
        <v>4</v>
      </c>
      <c r="D597" s="0" t="n">
        <v>0</v>
      </c>
      <c r="E597" s="0" t="n">
        <v>2</v>
      </c>
      <c r="F597" s="0" t="n">
        <v>38</v>
      </c>
      <c r="G597" s="0" t="str">
        <f aca="false">IF(D597=E597,"-",IF(D597&gt;E597,B597,C597))</f>
        <v>Brazil</v>
      </c>
      <c r="H597" s="0" t="str">
        <f aca="false">IF(D597=E597,"-",IF(D597&lt;E597,B597,C597))</f>
        <v>Paraguay</v>
      </c>
    </row>
    <row r="598" customFormat="false" ht="13.8" hidden="false" customHeight="false" outlineLevel="0" collapsed="false">
      <c r="A598" s="11" t="n">
        <v>35606</v>
      </c>
      <c r="B598" s="0" t="s">
        <v>3</v>
      </c>
      <c r="C598" s="0" t="s">
        <v>12</v>
      </c>
      <c r="D598" s="0" t="n">
        <v>3</v>
      </c>
      <c r="E598" s="0" t="n">
        <v>1</v>
      </c>
      <c r="F598" s="0" t="n">
        <v>38</v>
      </c>
      <c r="G598" s="0" t="str">
        <f aca="false">IF(D598=E598,"-",IF(D598&gt;E598,B598,C598))</f>
        <v>Bolivia</v>
      </c>
      <c r="H598" s="0" t="str">
        <f aca="false">IF(D598=E598,"-",IF(D598&lt;E598,B598,C598))</f>
        <v>México</v>
      </c>
    </row>
    <row r="599" customFormat="false" ht="13.8" hidden="false" customHeight="false" outlineLevel="0" collapsed="false">
      <c r="A599" s="11" t="n">
        <v>35607</v>
      </c>
      <c r="B599" s="0" t="s">
        <v>14</v>
      </c>
      <c r="C599" s="0" t="s">
        <v>4</v>
      </c>
      <c r="D599" s="0" t="n">
        <v>0</v>
      </c>
      <c r="E599" s="0" t="n">
        <v>7</v>
      </c>
      <c r="F599" s="0" t="n">
        <v>38</v>
      </c>
      <c r="G599" s="0" t="str">
        <f aca="false">IF(D599=E599,"-",IF(D599&gt;E599,B599,C599))</f>
        <v>Brazil</v>
      </c>
      <c r="H599" s="0" t="str">
        <f aca="false">IF(D599=E599,"-",IF(D599&lt;E599,B599,C599))</f>
        <v>Peru</v>
      </c>
    </row>
    <row r="600" customFormat="false" ht="13.8" hidden="false" customHeight="false" outlineLevel="0" collapsed="false">
      <c r="A600" s="11" t="n">
        <v>35609</v>
      </c>
      <c r="B600" s="0" t="s">
        <v>14</v>
      </c>
      <c r="C600" s="0" t="s">
        <v>12</v>
      </c>
      <c r="D600" s="0" t="n">
        <v>0</v>
      </c>
      <c r="E600" s="0" t="n">
        <v>1</v>
      </c>
      <c r="F600" s="0" t="n">
        <v>38</v>
      </c>
      <c r="G600" s="0" t="str">
        <f aca="false">IF(D600=E600,"-",IF(D600&gt;E600,B600,C600))</f>
        <v>México</v>
      </c>
      <c r="H600" s="0" t="str">
        <f aca="false">IF(D600=E600,"-",IF(D600&lt;E600,B600,C600))</f>
        <v>Peru</v>
      </c>
    </row>
    <row r="601" customFormat="false" ht="13.8" hidden="false" customHeight="false" outlineLevel="0" collapsed="false">
      <c r="A601" s="11" t="n">
        <v>35610</v>
      </c>
      <c r="B601" s="0" t="s">
        <v>3</v>
      </c>
      <c r="C601" s="0" t="s">
        <v>4</v>
      </c>
      <c r="D601" s="0" t="n">
        <v>1</v>
      </c>
      <c r="E601" s="0" t="n">
        <v>3</v>
      </c>
      <c r="F601" s="0" t="n">
        <v>38</v>
      </c>
      <c r="G601" s="0" t="str">
        <f aca="false">IF(D601=E601,"-",IF(D601&gt;E601,B601,C601))</f>
        <v>Brazil</v>
      </c>
      <c r="H601" s="0" t="str">
        <f aca="false">IF(D601=E601,"-",IF(D601&lt;E601,B601,C601))</f>
        <v>Bolivia</v>
      </c>
    </row>
    <row r="602" customFormat="false" ht="13.8" hidden="false" customHeight="false" outlineLevel="0" collapsed="false">
      <c r="A602" s="11" t="n">
        <v>36340</v>
      </c>
      <c r="B602" s="0" t="s">
        <v>3</v>
      </c>
      <c r="C602" s="0" t="s">
        <v>13</v>
      </c>
      <c r="D602" s="0" t="n">
        <v>0</v>
      </c>
      <c r="E602" s="0" t="n">
        <v>0</v>
      </c>
      <c r="F602" s="0" t="n">
        <v>39</v>
      </c>
      <c r="G602" s="0" t="str">
        <f aca="false">IF(D602=E602,"-",IF(D602&gt;E602,B602,C602))</f>
        <v>-</v>
      </c>
      <c r="H602" s="0" t="str">
        <f aca="false">IF(D602=E602,"-",IF(D602&lt;E602,B602,C602))</f>
        <v>-</v>
      </c>
    </row>
    <row r="603" customFormat="false" ht="13.8" hidden="false" customHeight="false" outlineLevel="0" collapsed="false">
      <c r="A603" s="11" t="n">
        <v>36340</v>
      </c>
      <c r="B603" s="0" t="s">
        <v>14</v>
      </c>
      <c r="C603" s="0" t="s">
        <v>11</v>
      </c>
      <c r="D603" s="0" t="n">
        <v>3</v>
      </c>
      <c r="E603" s="0" t="n">
        <v>2</v>
      </c>
      <c r="F603" s="0" t="n">
        <v>39</v>
      </c>
      <c r="G603" s="0" t="str">
        <f aca="false">IF(D603=E603,"-",IF(D603&gt;E603,B603,C603))</f>
        <v>Peru</v>
      </c>
      <c r="H603" s="0" t="str">
        <f aca="false">IF(D603=E603,"-",IF(D603&lt;E603,B603,C603))</f>
        <v>Japan</v>
      </c>
    </row>
    <row r="604" customFormat="false" ht="13.8" hidden="false" customHeight="false" outlineLevel="0" collapsed="false">
      <c r="A604" s="11" t="n">
        <v>36341</v>
      </c>
      <c r="B604" s="0" t="s">
        <v>5</v>
      </c>
      <c r="C604" s="0" t="s">
        <v>12</v>
      </c>
      <c r="D604" s="0" t="n">
        <v>0</v>
      </c>
      <c r="E604" s="0" t="n">
        <v>1</v>
      </c>
      <c r="F604" s="0" t="n">
        <v>39</v>
      </c>
      <c r="G604" s="0" t="str">
        <f aca="false">IF(D604=E604,"-",IF(D604&gt;E604,B604,C604))</f>
        <v>México</v>
      </c>
      <c r="H604" s="0" t="str">
        <f aca="false">IF(D604=E604,"-",IF(D604&lt;E604,B604,C604))</f>
        <v>Chile</v>
      </c>
    </row>
    <row r="605" customFormat="false" ht="13.8" hidden="false" customHeight="false" outlineLevel="0" collapsed="false">
      <c r="A605" s="11" t="n">
        <v>36341</v>
      </c>
      <c r="B605" s="0" t="s">
        <v>18</v>
      </c>
      <c r="C605" s="0" t="s">
        <v>4</v>
      </c>
      <c r="D605" s="0" t="n">
        <v>0</v>
      </c>
      <c r="E605" s="0" t="n">
        <v>7</v>
      </c>
      <c r="F605" s="0" t="n">
        <v>39</v>
      </c>
      <c r="G605" s="0" t="str">
        <f aca="false">IF(D605=E605,"-",IF(D605&gt;E605,B605,C605))</f>
        <v>Brazil</v>
      </c>
      <c r="H605" s="0" t="str">
        <f aca="false">IF(D605=E605,"-",IF(D605&lt;E605,B605,C605))</f>
        <v>Venezuela</v>
      </c>
    </row>
    <row r="606" customFormat="false" ht="13.8" hidden="false" customHeight="false" outlineLevel="0" collapsed="false">
      <c r="A606" s="11" t="n">
        <v>36342</v>
      </c>
      <c r="B606" s="0" t="s">
        <v>2</v>
      </c>
      <c r="C606" s="0" t="s">
        <v>8</v>
      </c>
      <c r="D606" s="0" t="n">
        <v>3</v>
      </c>
      <c r="E606" s="0" t="n">
        <v>1</v>
      </c>
      <c r="F606" s="0" t="n">
        <v>39</v>
      </c>
      <c r="G606" s="0" t="str">
        <f aca="false">IF(D606=E606,"-",IF(D606&gt;E606,B606,C606))</f>
        <v>Argentina</v>
      </c>
      <c r="H606" s="0" t="str">
        <f aca="false">IF(D606=E606,"-",IF(D606&lt;E606,B606,C606))</f>
        <v>Ecuador</v>
      </c>
    </row>
    <row r="607" customFormat="false" ht="13.8" hidden="false" customHeight="false" outlineLevel="0" collapsed="false">
      <c r="A607" s="11" t="n">
        <v>36342</v>
      </c>
      <c r="B607" s="0" t="s">
        <v>6</v>
      </c>
      <c r="C607" s="0" t="s">
        <v>16</v>
      </c>
      <c r="D607" s="0" t="n">
        <v>1</v>
      </c>
      <c r="E607" s="0" t="n">
        <v>0</v>
      </c>
      <c r="F607" s="0" t="n">
        <v>39</v>
      </c>
      <c r="G607" s="0" t="str">
        <f aca="false">IF(D607=E607,"-",IF(D607&gt;E607,B607,C607))</f>
        <v>Colombia</v>
      </c>
      <c r="H607" s="0" t="str">
        <f aca="false">IF(D607=E607,"-",IF(D607&lt;E607,B607,C607))</f>
        <v>Uruguay</v>
      </c>
    </row>
    <row r="608" customFormat="false" ht="13.8" hidden="false" customHeight="false" outlineLevel="0" collapsed="false">
      <c r="A608" s="11" t="n">
        <v>36343</v>
      </c>
      <c r="B608" s="0" t="s">
        <v>3</v>
      </c>
      <c r="C608" s="0" t="s">
        <v>14</v>
      </c>
      <c r="D608" s="0" t="n">
        <v>0</v>
      </c>
      <c r="E608" s="0" t="n">
        <v>1</v>
      </c>
      <c r="F608" s="0" t="n">
        <v>39</v>
      </c>
      <c r="G608" s="0" t="str">
        <f aca="false">IF(D608=E608,"-",IF(D608&gt;E608,B608,C608))</f>
        <v>Peru</v>
      </c>
      <c r="H608" s="0" t="str">
        <f aca="false">IF(D608=E608,"-",IF(D608&lt;E608,B608,C608))</f>
        <v>Bolivia</v>
      </c>
    </row>
    <row r="609" customFormat="false" ht="13.8" hidden="false" customHeight="false" outlineLevel="0" collapsed="false">
      <c r="A609" s="11" t="n">
        <v>36343</v>
      </c>
      <c r="B609" s="0" t="s">
        <v>13</v>
      </c>
      <c r="C609" s="0" t="s">
        <v>11</v>
      </c>
      <c r="D609" s="0" t="n">
        <v>4</v>
      </c>
      <c r="E609" s="0" t="n">
        <v>0</v>
      </c>
      <c r="F609" s="0" t="n">
        <v>39</v>
      </c>
      <c r="G609" s="0" t="str">
        <f aca="false">IF(D609=E609,"-",IF(D609&gt;E609,B609,C609))</f>
        <v>Paraguay</v>
      </c>
      <c r="H609" s="0" t="str">
        <f aca="false">IF(D609=E609,"-",IF(D609&lt;E609,B609,C609))</f>
        <v>Japan</v>
      </c>
    </row>
    <row r="610" customFormat="false" ht="13.8" hidden="false" customHeight="false" outlineLevel="0" collapsed="false">
      <c r="A610" s="11" t="n">
        <v>36344</v>
      </c>
      <c r="B610" s="0" t="s">
        <v>4</v>
      </c>
      <c r="C610" s="0" t="s">
        <v>12</v>
      </c>
      <c r="D610" s="0" t="n">
        <v>2</v>
      </c>
      <c r="E610" s="0" t="n">
        <v>1</v>
      </c>
      <c r="F610" s="0" t="n">
        <v>39</v>
      </c>
      <c r="G610" s="0" t="str">
        <f aca="false">IF(D610=E610,"-",IF(D610&gt;E610,B610,C610))</f>
        <v>Brazil</v>
      </c>
      <c r="H610" s="0" t="str">
        <f aca="false">IF(D610=E610,"-",IF(D610&lt;E610,B610,C610))</f>
        <v>México</v>
      </c>
    </row>
    <row r="611" customFormat="false" ht="13.8" hidden="false" customHeight="false" outlineLevel="0" collapsed="false">
      <c r="A611" s="11" t="n">
        <v>36344</v>
      </c>
      <c r="B611" s="0" t="s">
        <v>5</v>
      </c>
      <c r="C611" s="0" t="s">
        <v>18</v>
      </c>
      <c r="D611" s="0" t="n">
        <v>3</v>
      </c>
      <c r="E611" s="0" t="n">
        <v>0</v>
      </c>
      <c r="F611" s="0" t="n">
        <v>39</v>
      </c>
      <c r="G611" s="0" t="str">
        <f aca="false">IF(D611=E611,"-",IF(D611&gt;E611,B611,C611))</f>
        <v>Chile</v>
      </c>
      <c r="H611" s="0" t="str">
        <f aca="false">IF(D611=E611,"-",IF(D611&lt;E611,B611,C611))</f>
        <v>Venezuela</v>
      </c>
    </row>
    <row r="612" customFormat="false" ht="13.8" hidden="false" customHeight="false" outlineLevel="0" collapsed="false">
      <c r="A612" s="11" t="n">
        <v>36345</v>
      </c>
      <c r="B612" s="0" t="s">
        <v>8</v>
      </c>
      <c r="C612" s="0" t="s">
        <v>16</v>
      </c>
      <c r="D612" s="0" t="n">
        <v>1</v>
      </c>
      <c r="E612" s="0" t="n">
        <v>2</v>
      </c>
      <c r="F612" s="0" t="n">
        <v>39</v>
      </c>
      <c r="G612" s="0" t="str">
        <f aca="false">IF(D612=E612,"-",IF(D612&gt;E612,B612,C612))</f>
        <v>Uruguay</v>
      </c>
      <c r="H612" s="0" t="str">
        <f aca="false">IF(D612=E612,"-",IF(D612&lt;E612,B612,C612))</f>
        <v>Ecuador</v>
      </c>
    </row>
    <row r="613" customFormat="false" ht="13.8" hidden="false" customHeight="false" outlineLevel="0" collapsed="false">
      <c r="A613" s="11" t="n">
        <v>36345</v>
      </c>
      <c r="B613" s="0" t="s">
        <v>2</v>
      </c>
      <c r="C613" s="0" t="s">
        <v>6</v>
      </c>
      <c r="D613" s="0" t="n">
        <v>0</v>
      </c>
      <c r="E613" s="0" t="n">
        <v>3</v>
      </c>
      <c r="F613" s="0" t="n">
        <v>39</v>
      </c>
      <c r="G613" s="0" t="str">
        <f aca="false">IF(D613=E613,"-",IF(D613&gt;E613,B613,C613))</f>
        <v>Colombia</v>
      </c>
      <c r="H613" s="0" t="str">
        <f aca="false">IF(D613=E613,"-",IF(D613&lt;E613,B613,C613))</f>
        <v>Argentina</v>
      </c>
    </row>
    <row r="614" customFormat="false" ht="13.8" hidden="false" customHeight="false" outlineLevel="0" collapsed="false">
      <c r="A614" s="11" t="n">
        <v>36346</v>
      </c>
      <c r="B614" s="0" t="s">
        <v>13</v>
      </c>
      <c r="C614" s="0" t="s">
        <v>14</v>
      </c>
      <c r="D614" s="0" t="n">
        <v>1</v>
      </c>
      <c r="E614" s="0" t="n">
        <v>0</v>
      </c>
      <c r="F614" s="0" t="n">
        <v>39</v>
      </c>
      <c r="G614" s="0" t="str">
        <f aca="false">IF(D614=E614,"-",IF(D614&gt;E614,B614,C614))</f>
        <v>Paraguay</v>
      </c>
      <c r="H614" s="0" t="str">
        <f aca="false">IF(D614=E614,"-",IF(D614&lt;E614,B614,C614))</f>
        <v>Peru</v>
      </c>
    </row>
    <row r="615" customFormat="false" ht="13.8" hidden="false" customHeight="false" outlineLevel="0" collapsed="false">
      <c r="A615" s="11" t="n">
        <v>36346</v>
      </c>
      <c r="B615" s="0" t="s">
        <v>3</v>
      </c>
      <c r="C615" s="0" t="s">
        <v>11</v>
      </c>
      <c r="D615" s="0" t="n">
        <v>1</v>
      </c>
      <c r="E615" s="0" t="n">
        <v>1</v>
      </c>
      <c r="F615" s="0" t="n">
        <v>39</v>
      </c>
      <c r="G615" s="0" t="str">
        <f aca="false">IF(D615=E615,"-",IF(D615&gt;E615,B615,C615))</f>
        <v>-</v>
      </c>
      <c r="H615" s="0" t="str">
        <f aca="false">IF(D615=E615,"-",IF(D615&lt;E615,B615,C615))</f>
        <v>-</v>
      </c>
    </row>
    <row r="616" customFormat="false" ht="13.8" hidden="false" customHeight="false" outlineLevel="0" collapsed="false">
      <c r="A616" s="11" t="n">
        <v>36347</v>
      </c>
      <c r="B616" s="0" t="s">
        <v>18</v>
      </c>
      <c r="C616" s="0" t="s">
        <v>12</v>
      </c>
      <c r="D616" s="0" t="n">
        <v>1</v>
      </c>
      <c r="E616" s="0" t="n">
        <v>3</v>
      </c>
      <c r="F616" s="0" t="n">
        <v>39</v>
      </c>
      <c r="G616" s="0" t="str">
        <f aca="false">IF(D616=E616,"-",IF(D616&gt;E616,B616,C616))</f>
        <v>México</v>
      </c>
      <c r="H616" s="0" t="str">
        <f aca="false">IF(D616=E616,"-",IF(D616&lt;E616,B616,C616))</f>
        <v>Venezuela</v>
      </c>
    </row>
    <row r="617" customFormat="false" ht="13.8" hidden="false" customHeight="false" outlineLevel="0" collapsed="false">
      <c r="A617" s="13" t="n">
        <v>36347</v>
      </c>
      <c r="B617" s="14" t="s">
        <v>5</v>
      </c>
      <c r="C617" s="14" t="s">
        <v>4</v>
      </c>
      <c r="D617" s="14" t="n">
        <v>0</v>
      </c>
      <c r="E617" s="14" t="n">
        <v>1</v>
      </c>
      <c r="F617" s="14" t="n">
        <v>39</v>
      </c>
      <c r="G617" s="14" t="str">
        <f aca="false">IF(D617=E617,"-",IF(D617&gt;E617,B617,C617))</f>
        <v>Brazil</v>
      </c>
      <c r="H617" s="14" t="str">
        <f aca="false">IF(D617=E617,"-",IF(D617&lt;E617,B617,C617))</f>
        <v>Chile</v>
      </c>
    </row>
    <row r="618" customFormat="false" ht="13.8" hidden="false" customHeight="false" outlineLevel="0" collapsed="false">
      <c r="A618" s="11" t="n">
        <v>36348</v>
      </c>
      <c r="B618" s="0" t="s">
        <v>6</v>
      </c>
      <c r="C618" s="0" t="s">
        <v>8</v>
      </c>
      <c r="D618" s="0" t="n">
        <v>2</v>
      </c>
      <c r="E618" s="0" t="n">
        <v>1</v>
      </c>
      <c r="F618" s="0" t="n">
        <v>39</v>
      </c>
      <c r="G618" s="0" t="str">
        <f aca="false">IF(D618=E618,"-",IF(D618&gt;E618,B618,C618))</f>
        <v>Colombia</v>
      </c>
      <c r="H618" s="0" t="str">
        <f aca="false">IF(D618=E618,"-",IF(D618&lt;E618,B618,C618))</f>
        <v>Ecuador</v>
      </c>
    </row>
    <row r="619" customFormat="false" ht="13.8" hidden="false" customHeight="false" outlineLevel="0" collapsed="false">
      <c r="A619" s="11" t="n">
        <v>36348</v>
      </c>
      <c r="B619" s="0" t="s">
        <v>2</v>
      </c>
      <c r="C619" s="0" t="s">
        <v>16</v>
      </c>
      <c r="D619" s="0" t="n">
        <v>2</v>
      </c>
      <c r="E619" s="0" t="n">
        <v>0</v>
      </c>
      <c r="F619" s="0" t="n">
        <v>39</v>
      </c>
      <c r="G619" s="0" t="str">
        <f aca="false">IF(D619=E619,"-",IF(D619&gt;E619,B619,C619))</f>
        <v>Argentina</v>
      </c>
      <c r="H619" s="0" t="str">
        <f aca="false">IF(D619=E619,"-",IF(D619&lt;E619,B619,C619))</f>
        <v>Uruguay</v>
      </c>
    </row>
    <row r="620" customFormat="false" ht="13.8" hidden="false" customHeight="false" outlineLevel="0" collapsed="false">
      <c r="A620" s="11" t="n">
        <v>36351</v>
      </c>
      <c r="B620" s="0" t="s">
        <v>14</v>
      </c>
      <c r="C620" s="0" t="s">
        <v>12</v>
      </c>
      <c r="D620" s="0" t="n">
        <v>3</v>
      </c>
      <c r="E620" s="0" t="n">
        <v>3</v>
      </c>
      <c r="F620" s="0" t="n">
        <v>39</v>
      </c>
      <c r="G620" s="0" t="str">
        <f aca="false">IF(D620=E620,"-",IF(D620&gt;E620,B620,C620))</f>
        <v>-</v>
      </c>
      <c r="H620" s="0" t="str">
        <f aca="false">IF(D620=E620,"-",IF(D620&lt;E620,B620,C620))</f>
        <v>-</v>
      </c>
    </row>
    <row r="621" customFormat="false" ht="13.8" hidden="false" customHeight="false" outlineLevel="0" collapsed="false">
      <c r="A621" s="11" t="n">
        <v>36351</v>
      </c>
      <c r="B621" s="0" t="s">
        <v>13</v>
      </c>
      <c r="C621" s="0" t="s">
        <v>16</v>
      </c>
      <c r="D621" s="0" t="n">
        <v>1</v>
      </c>
      <c r="E621" s="0" t="n">
        <v>1</v>
      </c>
      <c r="F621" s="0" t="n">
        <v>39</v>
      </c>
      <c r="G621" s="0" t="str">
        <f aca="false">IF(D621=E621,"-",IF(D621&gt;E621,B621,C621))</f>
        <v>-</v>
      </c>
      <c r="H621" s="0" t="str">
        <f aca="false">IF(D621=E621,"-",IF(D621&lt;E621,B621,C621))</f>
        <v>-</v>
      </c>
    </row>
    <row r="622" customFormat="false" ht="13.8" hidden="false" customHeight="false" outlineLevel="0" collapsed="false">
      <c r="A622" s="11" t="n">
        <v>36352</v>
      </c>
      <c r="B622" s="0" t="s">
        <v>5</v>
      </c>
      <c r="C622" s="0" t="s">
        <v>6</v>
      </c>
      <c r="D622" s="0" t="n">
        <v>3</v>
      </c>
      <c r="E622" s="0" t="n">
        <v>2</v>
      </c>
      <c r="F622" s="0" t="n">
        <v>39</v>
      </c>
      <c r="G622" s="0" t="str">
        <f aca="false">IF(D622=E622,"-",IF(D622&gt;E622,B622,C622))</f>
        <v>Chile</v>
      </c>
      <c r="H622" s="0" t="str">
        <f aca="false">IF(D622=E622,"-",IF(D622&lt;E622,B622,C622))</f>
        <v>Colombia</v>
      </c>
    </row>
    <row r="623" customFormat="false" ht="13.8" hidden="false" customHeight="false" outlineLevel="0" collapsed="false">
      <c r="A623" s="11" t="n">
        <v>36352</v>
      </c>
      <c r="B623" s="0" t="s">
        <v>2</v>
      </c>
      <c r="C623" s="0" t="s">
        <v>4</v>
      </c>
      <c r="D623" s="0" t="n">
        <v>1</v>
      </c>
      <c r="E623" s="0" t="n">
        <v>2</v>
      </c>
      <c r="F623" s="0" t="n">
        <v>39</v>
      </c>
      <c r="G623" s="0" t="str">
        <f aca="false">IF(D623=E623,"-",IF(D623&gt;E623,B623,C623))</f>
        <v>Brazil</v>
      </c>
      <c r="H623" s="0" t="str">
        <f aca="false">IF(D623=E623,"-",IF(D623&lt;E623,B623,C623))</f>
        <v>Argentina</v>
      </c>
    </row>
    <row r="624" customFormat="false" ht="13.8" hidden="false" customHeight="false" outlineLevel="0" collapsed="false">
      <c r="A624" s="11" t="n">
        <v>36354</v>
      </c>
      <c r="B624" s="0" t="s">
        <v>5</v>
      </c>
      <c r="C624" s="0" t="s">
        <v>16</v>
      </c>
      <c r="D624" s="0" t="n">
        <v>1</v>
      </c>
      <c r="E624" s="0" t="n">
        <v>1</v>
      </c>
      <c r="F624" s="0" t="n">
        <v>39</v>
      </c>
      <c r="G624" s="0" t="str">
        <f aca="false">IF(D624=E624,"-",IF(D624&gt;E624,B624,C624))</f>
        <v>-</v>
      </c>
      <c r="H624" s="0" t="str">
        <f aca="false">IF(D624=E624,"-",IF(D624&lt;E624,B624,C624))</f>
        <v>-</v>
      </c>
    </row>
    <row r="625" customFormat="false" ht="13.8" hidden="false" customHeight="false" outlineLevel="0" collapsed="false">
      <c r="A625" s="11" t="n">
        <v>36355</v>
      </c>
      <c r="B625" s="0" t="s">
        <v>4</v>
      </c>
      <c r="C625" s="0" t="s">
        <v>12</v>
      </c>
      <c r="D625" s="0" t="n">
        <v>2</v>
      </c>
      <c r="E625" s="0" t="n">
        <v>0</v>
      </c>
      <c r="F625" s="0" t="n">
        <v>39</v>
      </c>
      <c r="G625" s="0" t="str">
        <f aca="false">IF(D625=E625,"-",IF(D625&gt;E625,B625,C625))</f>
        <v>Brazil</v>
      </c>
      <c r="H625" s="0" t="str">
        <f aca="false">IF(D625=E625,"-",IF(D625&lt;E625,B625,C625))</f>
        <v>México</v>
      </c>
    </row>
    <row r="626" customFormat="false" ht="13.8" hidden="false" customHeight="false" outlineLevel="0" collapsed="false">
      <c r="A626" s="11" t="n">
        <v>36358</v>
      </c>
      <c r="B626" s="0" t="s">
        <v>5</v>
      </c>
      <c r="C626" s="0" t="s">
        <v>12</v>
      </c>
      <c r="D626" s="0" t="n">
        <v>1</v>
      </c>
      <c r="E626" s="0" t="n">
        <v>2</v>
      </c>
      <c r="F626" s="0" t="n">
        <v>39</v>
      </c>
      <c r="G626" s="0" t="str">
        <f aca="false">IF(D626=E626,"-",IF(D626&gt;E626,B626,C626))</f>
        <v>México</v>
      </c>
      <c r="H626" s="0" t="str">
        <f aca="false">IF(D626=E626,"-",IF(D626&lt;E626,B626,C626))</f>
        <v>Chile</v>
      </c>
    </row>
    <row r="627" customFormat="false" ht="13.8" hidden="false" customHeight="false" outlineLevel="0" collapsed="false">
      <c r="A627" s="11" t="n">
        <v>36359</v>
      </c>
      <c r="B627" s="0" t="s">
        <v>16</v>
      </c>
      <c r="C627" s="0" t="s">
        <v>4</v>
      </c>
      <c r="D627" s="0" t="n">
        <v>0</v>
      </c>
      <c r="E627" s="0" t="n">
        <v>3</v>
      </c>
      <c r="F627" s="0" t="n">
        <v>39</v>
      </c>
      <c r="G627" s="0" t="str">
        <f aca="false">IF(D627=E627,"-",IF(D627&gt;E627,B627,C627))</f>
        <v>Brazil</v>
      </c>
      <c r="H627" s="0" t="str">
        <f aca="false">IF(D627=E627,"-",IF(D627&lt;E627,B627,C627))</f>
        <v>Uruguay</v>
      </c>
    </row>
    <row r="628" customFormat="false" ht="13.8" hidden="false" customHeight="false" outlineLevel="0" collapsed="false">
      <c r="A628" s="11" t="n">
        <v>37083</v>
      </c>
      <c r="B628" s="0" t="s">
        <v>6</v>
      </c>
      <c r="C628" s="0" t="s">
        <v>18</v>
      </c>
      <c r="D628" s="0" t="n">
        <v>2</v>
      </c>
      <c r="E628" s="0" t="n">
        <v>0</v>
      </c>
      <c r="F628" s="0" t="n">
        <v>40</v>
      </c>
      <c r="G628" s="0" t="str">
        <f aca="false">IF(D628=E628,"-",IF(D628&gt;E628,B628,C628))</f>
        <v>Colombia</v>
      </c>
      <c r="H628" s="0" t="str">
        <f aca="false">IF(D628=E628,"-",IF(D628&lt;E628,B628,C628))</f>
        <v>Venezuela</v>
      </c>
    </row>
    <row r="629" customFormat="false" ht="13.8" hidden="false" customHeight="false" outlineLevel="0" collapsed="false">
      <c r="A629" s="11" t="n">
        <v>37083</v>
      </c>
      <c r="B629" s="0" t="s">
        <v>5</v>
      </c>
      <c r="C629" s="0" t="s">
        <v>8</v>
      </c>
      <c r="D629" s="0" t="n">
        <v>4</v>
      </c>
      <c r="E629" s="0" t="n">
        <v>1</v>
      </c>
      <c r="F629" s="0" t="n">
        <v>40</v>
      </c>
      <c r="G629" s="0" t="str">
        <f aca="false">IF(D629=E629,"-",IF(D629&gt;E629,B629,C629))</f>
        <v>Chile</v>
      </c>
      <c r="H629" s="0" t="str">
        <f aca="false">IF(D629=E629,"-",IF(D629&lt;E629,B629,C629))</f>
        <v>Ecuador</v>
      </c>
    </row>
    <row r="630" customFormat="false" ht="13.8" hidden="false" customHeight="false" outlineLevel="0" collapsed="false">
      <c r="A630" s="11" t="n">
        <v>37084</v>
      </c>
      <c r="B630" s="0" t="s">
        <v>4</v>
      </c>
      <c r="C630" s="0" t="s">
        <v>12</v>
      </c>
      <c r="D630" s="0" t="n">
        <v>0</v>
      </c>
      <c r="E630" s="0" t="n">
        <v>1</v>
      </c>
      <c r="F630" s="0" t="n">
        <v>40</v>
      </c>
      <c r="G630" s="0" t="str">
        <f aca="false">IF(D630=E630,"-",IF(D630&gt;E630,B630,C630))</f>
        <v>México</v>
      </c>
      <c r="H630" s="0" t="str">
        <f aca="false">IF(D630=E630,"-",IF(D630&lt;E630,B630,C630))</f>
        <v>Brazil</v>
      </c>
    </row>
    <row r="631" customFormat="false" ht="13.8" hidden="false" customHeight="false" outlineLevel="0" collapsed="false">
      <c r="A631" s="11" t="n">
        <v>37084</v>
      </c>
      <c r="B631" s="0" t="s">
        <v>13</v>
      </c>
      <c r="C631" s="0" t="s">
        <v>14</v>
      </c>
      <c r="D631" s="0" t="n">
        <v>3</v>
      </c>
      <c r="E631" s="0" t="n">
        <v>3</v>
      </c>
      <c r="F631" s="0" t="n">
        <v>40</v>
      </c>
      <c r="G631" s="0" t="str">
        <f aca="false">IF(D631=E631,"-",IF(D631&gt;E631,B631,C631))</f>
        <v>-</v>
      </c>
      <c r="H631" s="0" t="str">
        <f aca="false">IF(D631=E631,"-",IF(D631&lt;E631,B631,C631))</f>
        <v>-</v>
      </c>
    </row>
    <row r="632" customFormat="false" ht="13.8" hidden="false" customHeight="false" outlineLevel="0" collapsed="false">
      <c r="A632" s="11" t="n">
        <v>37085</v>
      </c>
      <c r="B632" s="0" t="s">
        <v>7</v>
      </c>
      <c r="C632" s="0" t="s">
        <v>9</v>
      </c>
      <c r="D632" s="0" t="n">
        <v>1</v>
      </c>
      <c r="E632" s="0" t="n">
        <v>0</v>
      </c>
      <c r="F632" s="0" t="n">
        <v>40</v>
      </c>
      <c r="G632" s="0" t="str">
        <f aca="false">IF(D632=E632,"-",IF(D632&gt;E632,B632,C632))</f>
        <v>Costa Rica</v>
      </c>
      <c r="H632" s="0" t="str">
        <f aca="false">IF(D632=E632,"-",IF(D632&lt;E632,B632,C632))</f>
        <v>Honduras</v>
      </c>
    </row>
    <row r="633" customFormat="false" ht="13.8" hidden="false" customHeight="false" outlineLevel="0" collapsed="false">
      <c r="A633" s="11" t="n">
        <v>37085</v>
      </c>
      <c r="B633" s="0" t="s">
        <v>3</v>
      </c>
      <c r="C633" s="0" t="s">
        <v>16</v>
      </c>
      <c r="D633" s="0" t="n">
        <v>0</v>
      </c>
      <c r="E633" s="0" t="n">
        <v>1</v>
      </c>
      <c r="F633" s="0" t="n">
        <v>40</v>
      </c>
      <c r="G633" s="0" t="str">
        <f aca="false">IF(D633=E633,"-",IF(D633&gt;E633,B633,C633))</f>
        <v>Uruguay</v>
      </c>
      <c r="H633" s="0" t="str">
        <f aca="false">IF(D633=E633,"-",IF(D633&lt;E633,B633,C633))</f>
        <v>Bolivia</v>
      </c>
    </row>
    <row r="634" customFormat="false" ht="13.8" hidden="false" customHeight="false" outlineLevel="0" collapsed="false">
      <c r="A634" s="11" t="n">
        <v>37086</v>
      </c>
      <c r="B634" s="0" t="s">
        <v>5</v>
      </c>
      <c r="C634" s="0" t="s">
        <v>18</v>
      </c>
      <c r="D634" s="0" t="n">
        <v>1</v>
      </c>
      <c r="E634" s="0" t="n">
        <v>0</v>
      </c>
      <c r="F634" s="0" t="n">
        <v>40</v>
      </c>
      <c r="G634" s="0" t="str">
        <f aca="false">IF(D634=E634,"-",IF(D634&gt;E634,B634,C634))</f>
        <v>Chile</v>
      </c>
      <c r="H634" s="0" t="str">
        <f aca="false">IF(D634=E634,"-",IF(D634&lt;E634,B634,C634))</f>
        <v>Venezuela</v>
      </c>
    </row>
    <row r="635" customFormat="false" ht="13.8" hidden="false" customHeight="false" outlineLevel="0" collapsed="false">
      <c r="A635" s="11" t="n">
        <v>37086</v>
      </c>
      <c r="B635" s="0" t="s">
        <v>6</v>
      </c>
      <c r="C635" s="0" t="s">
        <v>8</v>
      </c>
      <c r="D635" s="0" t="n">
        <v>1</v>
      </c>
      <c r="E635" s="0" t="n">
        <v>0</v>
      </c>
      <c r="F635" s="0" t="n">
        <v>40</v>
      </c>
      <c r="G635" s="0" t="str">
        <f aca="false">IF(D635=E635,"-",IF(D635&gt;E635,B635,C635))</f>
        <v>Colombia</v>
      </c>
      <c r="H635" s="0" t="str">
        <f aca="false">IF(D635=E635,"-",IF(D635&lt;E635,B635,C635))</f>
        <v>Ecuador</v>
      </c>
    </row>
    <row r="636" customFormat="false" ht="13.8" hidden="false" customHeight="false" outlineLevel="0" collapsed="false">
      <c r="A636" s="11" t="n">
        <v>37087</v>
      </c>
      <c r="B636" s="0" t="s">
        <v>13</v>
      </c>
      <c r="C636" s="0" t="s">
        <v>12</v>
      </c>
      <c r="D636" s="0" t="n">
        <v>0</v>
      </c>
      <c r="E636" s="0" t="n">
        <v>0</v>
      </c>
      <c r="F636" s="0" t="n">
        <v>40</v>
      </c>
      <c r="G636" s="0" t="str">
        <f aca="false">IF(D636=E636,"-",IF(D636&gt;E636,B636,C636))</f>
        <v>-</v>
      </c>
      <c r="H636" s="0" t="str">
        <f aca="false">IF(D636=E636,"-",IF(D636&lt;E636,B636,C636))</f>
        <v>-</v>
      </c>
    </row>
    <row r="637" customFormat="false" ht="13.8" hidden="false" customHeight="false" outlineLevel="0" collapsed="false">
      <c r="A637" s="11" t="n">
        <v>37087</v>
      </c>
      <c r="B637" s="0" t="s">
        <v>14</v>
      </c>
      <c r="C637" s="0" t="s">
        <v>4</v>
      </c>
      <c r="D637" s="0" t="n">
        <v>0</v>
      </c>
      <c r="E637" s="0" t="n">
        <v>2</v>
      </c>
      <c r="F637" s="0" t="n">
        <v>40</v>
      </c>
      <c r="G637" s="0" t="str">
        <f aca="false">IF(D637=E637,"-",IF(D637&gt;E637,B637,C637))</f>
        <v>Brazil</v>
      </c>
      <c r="H637" s="0" t="str">
        <f aca="false">IF(D637=E637,"-",IF(D637&lt;E637,B637,C637))</f>
        <v>Peru</v>
      </c>
    </row>
    <row r="638" customFormat="false" ht="13.8" hidden="false" customHeight="false" outlineLevel="0" collapsed="false">
      <c r="A638" s="11" t="n">
        <v>37088</v>
      </c>
      <c r="B638" s="0" t="s">
        <v>16</v>
      </c>
      <c r="C638" s="0" t="s">
        <v>7</v>
      </c>
      <c r="D638" s="0" t="n">
        <v>1</v>
      </c>
      <c r="E638" s="0" t="n">
        <v>1</v>
      </c>
      <c r="F638" s="0" t="n">
        <v>40</v>
      </c>
      <c r="G638" s="0" t="str">
        <f aca="false">IF(D638=E638,"-",IF(D638&gt;E638,B638,C638))</f>
        <v>-</v>
      </c>
      <c r="H638" s="0" t="str">
        <f aca="false">IF(D638=E638,"-",IF(D638&lt;E638,B638,C638))</f>
        <v>-</v>
      </c>
    </row>
    <row r="639" customFormat="false" ht="13.8" hidden="false" customHeight="false" outlineLevel="0" collapsed="false">
      <c r="A639" s="11" t="n">
        <v>37088</v>
      </c>
      <c r="B639" s="0" t="s">
        <v>3</v>
      </c>
      <c r="C639" s="0" t="s">
        <v>9</v>
      </c>
      <c r="D639" s="0" t="n">
        <v>0</v>
      </c>
      <c r="E639" s="0" t="n">
        <v>2</v>
      </c>
      <c r="F639" s="0" t="n">
        <v>40</v>
      </c>
      <c r="G639" s="0" t="str">
        <f aca="false">IF(D639=E639,"-",IF(D639&gt;E639,B639,C639))</f>
        <v>Honduras</v>
      </c>
      <c r="H639" s="0" t="str">
        <f aca="false">IF(D639=E639,"-",IF(D639&lt;E639,B639,C639))</f>
        <v>Bolivia</v>
      </c>
    </row>
    <row r="640" customFormat="false" ht="13.8" hidden="false" customHeight="false" outlineLevel="0" collapsed="false">
      <c r="A640" s="11" t="n">
        <v>37089</v>
      </c>
      <c r="B640" s="0" t="s">
        <v>5</v>
      </c>
      <c r="C640" s="0" t="s">
        <v>6</v>
      </c>
      <c r="D640" s="0" t="n">
        <v>0</v>
      </c>
      <c r="E640" s="0" t="n">
        <v>2</v>
      </c>
      <c r="F640" s="0" t="n">
        <v>40</v>
      </c>
      <c r="G640" s="0" t="str">
        <f aca="false">IF(D640=E640,"-",IF(D640&gt;E640,B640,C640))</f>
        <v>Colombia</v>
      </c>
      <c r="H640" s="0" t="str">
        <f aca="false">IF(D640=E640,"-",IF(D640&lt;E640,B640,C640))</f>
        <v>Chile</v>
      </c>
    </row>
    <row r="641" customFormat="false" ht="13.8" hidden="false" customHeight="false" outlineLevel="0" collapsed="false">
      <c r="A641" s="11" t="n">
        <v>37089</v>
      </c>
      <c r="B641" s="0" t="s">
        <v>8</v>
      </c>
      <c r="C641" s="0" t="s">
        <v>18</v>
      </c>
      <c r="D641" s="0" t="n">
        <v>4</v>
      </c>
      <c r="E641" s="0" t="n">
        <v>0</v>
      </c>
      <c r="F641" s="0" t="n">
        <v>40</v>
      </c>
      <c r="G641" s="0" t="str">
        <f aca="false">IF(D641=E641,"-",IF(D641&gt;E641,B641,C641))</f>
        <v>Ecuador</v>
      </c>
      <c r="H641" s="0" t="str">
        <f aca="false">IF(D641=E641,"-",IF(D641&lt;E641,B641,C641))</f>
        <v>Venezuela</v>
      </c>
    </row>
    <row r="642" customFormat="false" ht="13.8" hidden="false" customHeight="false" outlineLevel="0" collapsed="false">
      <c r="A642" s="11" t="n">
        <v>37090</v>
      </c>
      <c r="B642" s="0" t="s">
        <v>13</v>
      </c>
      <c r="C642" s="0" t="s">
        <v>4</v>
      </c>
      <c r="D642" s="0" t="n">
        <v>1</v>
      </c>
      <c r="E642" s="0" t="n">
        <v>3</v>
      </c>
      <c r="F642" s="0" t="n">
        <v>40</v>
      </c>
      <c r="G642" s="0" t="str">
        <f aca="false">IF(D642=E642,"-",IF(D642&gt;E642,B642,C642))</f>
        <v>Brazil</v>
      </c>
      <c r="H642" s="0" t="str">
        <f aca="false">IF(D642=E642,"-",IF(D642&lt;E642,B642,C642))</f>
        <v>Paraguay</v>
      </c>
    </row>
    <row r="643" customFormat="false" ht="13.8" hidden="false" customHeight="false" outlineLevel="0" collapsed="false">
      <c r="A643" s="11" t="n">
        <v>37090</v>
      </c>
      <c r="B643" s="0" t="s">
        <v>14</v>
      </c>
      <c r="C643" s="0" t="s">
        <v>12</v>
      </c>
      <c r="D643" s="0" t="n">
        <v>1</v>
      </c>
      <c r="E643" s="0" t="n">
        <v>0</v>
      </c>
      <c r="F643" s="0" t="n">
        <v>40</v>
      </c>
      <c r="G643" s="0" t="str">
        <f aca="false">IF(D643=E643,"-",IF(D643&gt;E643,B643,C643))</f>
        <v>Peru</v>
      </c>
      <c r="H643" s="0" t="str">
        <f aca="false">IF(D643=E643,"-",IF(D643&lt;E643,B643,C643))</f>
        <v>México</v>
      </c>
    </row>
    <row r="644" customFormat="false" ht="13.8" hidden="false" customHeight="false" outlineLevel="0" collapsed="false">
      <c r="A644" s="11" t="n">
        <v>37091</v>
      </c>
      <c r="B644" s="0" t="s">
        <v>16</v>
      </c>
      <c r="C644" s="0" t="s">
        <v>9</v>
      </c>
      <c r="D644" s="0" t="n">
        <v>0</v>
      </c>
      <c r="E644" s="0" t="n">
        <v>1</v>
      </c>
      <c r="F644" s="0" t="n">
        <v>40</v>
      </c>
      <c r="G644" s="0" t="str">
        <f aca="false">IF(D644=E644,"-",IF(D644&gt;E644,B644,C644))</f>
        <v>Honduras</v>
      </c>
      <c r="H644" s="0" t="str">
        <f aca="false">IF(D644=E644,"-",IF(D644&lt;E644,B644,C644))</f>
        <v>Uruguay</v>
      </c>
    </row>
    <row r="645" customFormat="false" ht="13.8" hidden="false" customHeight="false" outlineLevel="0" collapsed="false">
      <c r="A645" s="11" t="n">
        <v>37091</v>
      </c>
      <c r="B645" s="0" t="s">
        <v>3</v>
      </c>
      <c r="C645" s="0" t="s">
        <v>7</v>
      </c>
      <c r="D645" s="0" t="n">
        <v>0</v>
      </c>
      <c r="E645" s="0" t="n">
        <v>4</v>
      </c>
      <c r="F645" s="0" t="n">
        <v>40</v>
      </c>
      <c r="G645" s="0" t="str">
        <f aca="false">IF(D645=E645,"-",IF(D645&gt;E645,B645,C645))</f>
        <v>Costa Rica</v>
      </c>
      <c r="H645" s="0" t="str">
        <f aca="false">IF(D645=E645,"-",IF(D645&lt;E645,B645,C645))</f>
        <v>Bolivia</v>
      </c>
    </row>
    <row r="646" customFormat="false" ht="13.8" hidden="false" customHeight="false" outlineLevel="0" collapsed="false">
      <c r="A646" s="11" t="n">
        <v>37094</v>
      </c>
      <c r="B646" s="0" t="s">
        <v>5</v>
      </c>
      <c r="C646" s="0" t="s">
        <v>12</v>
      </c>
      <c r="D646" s="0" t="n">
        <v>0</v>
      </c>
      <c r="E646" s="0" t="n">
        <v>2</v>
      </c>
      <c r="F646" s="0" t="n">
        <v>40</v>
      </c>
      <c r="G646" s="0" t="str">
        <f aca="false">IF(D646=E646,"-",IF(D646&gt;E646,B646,C646))</f>
        <v>México</v>
      </c>
      <c r="H646" s="0" t="str">
        <f aca="false">IF(D646=E646,"-",IF(D646&lt;E646,B646,C646))</f>
        <v>Chile</v>
      </c>
    </row>
    <row r="647" customFormat="false" ht="13.8" hidden="false" customHeight="false" outlineLevel="0" collapsed="false">
      <c r="A647" s="11" t="n">
        <v>37094</v>
      </c>
      <c r="B647" s="0" t="s">
        <v>16</v>
      </c>
      <c r="C647" s="0" t="s">
        <v>7</v>
      </c>
      <c r="D647" s="0" t="n">
        <v>2</v>
      </c>
      <c r="E647" s="0" t="n">
        <v>1</v>
      </c>
      <c r="F647" s="0" t="n">
        <v>40</v>
      </c>
      <c r="G647" s="0" t="str">
        <f aca="false">IF(D647=E647,"-",IF(D647&gt;E647,B647,C647))</f>
        <v>Uruguay</v>
      </c>
      <c r="H647" s="0" t="str">
        <f aca="false">IF(D647=E647,"-",IF(D647&lt;E647,B647,C647))</f>
        <v>Costa Rica</v>
      </c>
    </row>
    <row r="648" customFormat="false" ht="13.8" hidden="false" customHeight="false" outlineLevel="0" collapsed="false">
      <c r="A648" s="11" t="n">
        <v>37095</v>
      </c>
      <c r="B648" s="0" t="s">
        <v>6</v>
      </c>
      <c r="C648" s="0" t="s">
        <v>14</v>
      </c>
      <c r="D648" s="0" t="n">
        <v>3</v>
      </c>
      <c r="E648" s="0" t="n">
        <v>0</v>
      </c>
      <c r="F648" s="0" t="n">
        <v>40</v>
      </c>
      <c r="G648" s="0" t="str">
        <f aca="false">IF(D648=E648,"-",IF(D648&gt;E648,B648,C648))</f>
        <v>Colombia</v>
      </c>
      <c r="H648" s="0" t="str">
        <f aca="false">IF(D648=E648,"-",IF(D648&lt;E648,B648,C648))</f>
        <v>Peru</v>
      </c>
    </row>
    <row r="649" customFormat="false" ht="13.8" hidden="false" customHeight="false" outlineLevel="0" collapsed="false">
      <c r="A649" s="11" t="n">
        <v>37095</v>
      </c>
      <c r="B649" s="0" t="s">
        <v>4</v>
      </c>
      <c r="C649" s="0" t="s">
        <v>9</v>
      </c>
      <c r="D649" s="0" t="n">
        <v>0</v>
      </c>
      <c r="E649" s="0" t="n">
        <v>2</v>
      </c>
      <c r="F649" s="0" t="n">
        <v>40</v>
      </c>
      <c r="G649" s="0" t="str">
        <f aca="false">IF(D649=E649,"-",IF(D649&gt;E649,B649,C649))</f>
        <v>Honduras</v>
      </c>
      <c r="H649" s="0" t="str">
        <f aca="false">IF(D649=E649,"-",IF(D649&lt;E649,B649,C649))</f>
        <v>Brazil</v>
      </c>
    </row>
    <row r="650" customFormat="false" ht="13.8" hidden="false" customHeight="false" outlineLevel="0" collapsed="false">
      <c r="A650" s="11" t="n">
        <v>37097</v>
      </c>
      <c r="B650" s="0" t="s">
        <v>16</v>
      </c>
      <c r="C650" s="0" t="s">
        <v>12</v>
      </c>
      <c r="D650" s="0" t="n">
        <v>1</v>
      </c>
      <c r="E650" s="0" t="n">
        <v>2</v>
      </c>
      <c r="F650" s="0" t="n">
        <v>40</v>
      </c>
      <c r="G650" s="0" t="str">
        <f aca="false">IF(D650=E650,"-",IF(D650&gt;E650,B650,C650))</f>
        <v>México</v>
      </c>
      <c r="H650" s="0" t="str">
        <f aca="false">IF(D650=E650,"-",IF(D650&lt;E650,B650,C650))</f>
        <v>Uruguay</v>
      </c>
    </row>
    <row r="651" customFormat="false" ht="13.8" hidden="false" customHeight="false" outlineLevel="0" collapsed="false">
      <c r="A651" s="11" t="n">
        <v>37098</v>
      </c>
      <c r="B651" s="0" t="s">
        <v>6</v>
      </c>
      <c r="C651" s="0" t="s">
        <v>9</v>
      </c>
      <c r="D651" s="0" t="n">
        <v>2</v>
      </c>
      <c r="E651" s="0" t="n">
        <v>0</v>
      </c>
      <c r="F651" s="0" t="n">
        <v>40</v>
      </c>
      <c r="G651" s="0" t="str">
        <f aca="false">IF(D651=E651,"-",IF(D651&gt;E651,B651,C651))</f>
        <v>Colombia</v>
      </c>
      <c r="H651" s="0" t="str">
        <f aca="false">IF(D651=E651,"-",IF(D651&lt;E651,B651,C651))</f>
        <v>Honduras</v>
      </c>
    </row>
    <row r="652" customFormat="false" ht="13.8" hidden="false" customHeight="false" outlineLevel="0" collapsed="false">
      <c r="A652" s="11" t="n">
        <v>37101</v>
      </c>
      <c r="B652" s="0" t="s">
        <v>6</v>
      </c>
      <c r="C652" s="0" t="s">
        <v>12</v>
      </c>
      <c r="D652" s="0" t="n">
        <v>1</v>
      </c>
      <c r="E652" s="0" t="n">
        <v>0</v>
      </c>
      <c r="F652" s="0" t="n">
        <v>40</v>
      </c>
      <c r="G652" s="0" t="str">
        <f aca="false">IF(D652=E652,"-",IF(D652&gt;E652,B652,C652))</f>
        <v>Colombia</v>
      </c>
      <c r="H652" s="0" t="str">
        <f aca="false">IF(D652=E652,"-",IF(D652&lt;E652,B652,C652))</f>
        <v>México</v>
      </c>
    </row>
    <row r="653" customFormat="false" ht="13.8" hidden="false" customHeight="false" outlineLevel="0" collapsed="false">
      <c r="A653" s="11" t="n">
        <v>37101</v>
      </c>
      <c r="B653" s="0" t="s">
        <v>16</v>
      </c>
      <c r="C653" s="0" t="s">
        <v>9</v>
      </c>
      <c r="D653" s="0" t="n">
        <v>2</v>
      </c>
      <c r="E653" s="0" t="n">
        <v>2</v>
      </c>
      <c r="F653" s="0" t="n">
        <v>40</v>
      </c>
      <c r="G653" s="0" t="str">
        <f aca="false">IF(D653=E653,"-",IF(D653&gt;E653,B653,C653))</f>
        <v>-</v>
      </c>
      <c r="H653" s="0" t="str">
        <f aca="false">IF(D653=E653,"-",IF(D653&lt;E653,B653,C653))</f>
        <v>-</v>
      </c>
    </row>
    <row r="654" customFormat="false" ht="13.8" hidden="false" customHeight="false" outlineLevel="0" collapsed="false">
      <c r="A654" s="11" t="n">
        <v>38174</v>
      </c>
      <c r="B654" s="0" t="s">
        <v>6</v>
      </c>
      <c r="C654" s="0" t="s">
        <v>18</v>
      </c>
      <c r="D654" s="0" t="n">
        <v>1</v>
      </c>
      <c r="E654" s="0" t="n">
        <v>0</v>
      </c>
      <c r="F654" s="0" t="n">
        <v>41</v>
      </c>
      <c r="G654" s="0" t="str">
        <f aca="false">IF(D654=E654,"-",IF(D654&gt;E654,B654,C654))</f>
        <v>Colombia</v>
      </c>
      <c r="H654" s="0" t="str">
        <f aca="false">IF(D654=E654,"-",IF(D654&lt;E654,B654,C654))</f>
        <v>Venezuela</v>
      </c>
    </row>
    <row r="655" customFormat="false" ht="13.8" hidden="false" customHeight="false" outlineLevel="0" collapsed="false">
      <c r="A655" s="11" t="n">
        <v>38174</v>
      </c>
      <c r="B655" s="0" t="s">
        <v>3</v>
      </c>
      <c r="C655" s="0" t="s">
        <v>14</v>
      </c>
      <c r="D655" s="0" t="n">
        <v>2</v>
      </c>
      <c r="E655" s="0" t="n">
        <v>2</v>
      </c>
      <c r="F655" s="0" t="n">
        <v>41</v>
      </c>
      <c r="G655" s="0" t="str">
        <f aca="false">IF(D655=E655,"-",IF(D655&gt;E655,B655,C655))</f>
        <v>-</v>
      </c>
      <c r="H655" s="0" t="str">
        <f aca="false">IF(D655=E655,"-",IF(D655&lt;E655,B655,C655))</f>
        <v>-</v>
      </c>
    </row>
    <row r="656" customFormat="false" ht="13.8" hidden="false" customHeight="false" outlineLevel="0" collapsed="false">
      <c r="A656" s="11" t="n">
        <v>38175</v>
      </c>
      <c r="B656" s="0" t="s">
        <v>2</v>
      </c>
      <c r="C656" s="0" t="s">
        <v>8</v>
      </c>
      <c r="D656" s="0" t="n">
        <v>6</v>
      </c>
      <c r="E656" s="0" t="n">
        <v>1</v>
      </c>
      <c r="F656" s="0" t="n">
        <v>41</v>
      </c>
      <c r="G656" s="0" t="str">
        <f aca="false">IF(D656=E656,"-",IF(D656&gt;E656,B656,C656))</f>
        <v>Argentina</v>
      </c>
      <c r="H656" s="0" t="str">
        <f aca="false">IF(D656=E656,"-",IF(D656&lt;E656,B656,C656))</f>
        <v>Ecuador</v>
      </c>
    </row>
    <row r="657" customFormat="false" ht="13.8" hidden="false" customHeight="false" outlineLevel="0" collapsed="false">
      <c r="A657" s="11" t="n">
        <v>38175</v>
      </c>
      <c r="B657" s="0" t="s">
        <v>16</v>
      </c>
      <c r="C657" s="0" t="s">
        <v>12</v>
      </c>
      <c r="D657" s="0" t="n">
        <v>2</v>
      </c>
      <c r="E657" s="0" t="n">
        <v>2</v>
      </c>
      <c r="F657" s="0" t="n">
        <v>41</v>
      </c>
      <c r="G657" s="0" t="str">
        <f aca="false">IF(D657=E657,"-",IF(D657&gt;E657,B657,C657))</f>
        <v>-</v>
      </c>
      <c r="H657" s="0" t="str">
        <f aca="false">IF(D657=E657,"-",IF(D657&lt;E657,B657,C657))</f>
        <v>-</v>
      </c>
    </row>
    <row r="658" customFormat="false" ht="13.8" hidden="false" customHeight="false" outlineLevel="0" collapsed="false">
      <c r="A658" s="13" t="n">
        <v>38176</v>
      </c>
      <c r="B658" s="14" t="s">
        <v>5</v>
      </c>
      <c r="C658" s="14" t="s">
        <v>4</v>
      </c>
      <c r="D658" s="14" t="n">
        <v>0</v>
      </c>
      <c r="E658" s="14" t="n">
        <v>1</v>
      </c>
      <c r="F658" s="14" t="n">
        <v>41</v>
      </c>
      <c r="G658" s="14" t="str">
        <f aca="false">IF(D658=E658,"-",IF(D658&gt;E658,B658,C658))</f>
        <v>Brazil</v>
      </c>
      <c r="H658" s="14" t="str">
        <f aca="false">IF(D658=E658,"-",IF(D658&lt;E658,B658,C658))</f>
        <v>Chile</v>
      </c>
    </row>
    <row r="659" customFormat="false" ht="13.8" hidden="false" customHeight="false" outlineLevel="0" collapsed="false">
      <c r="A659" s="11" t="n">
        <v>38176</v>
      </c>
      <c r="B659" s="0" t="s">
        <v>13</v>
      </c>
      <c r="C659" s="0" t="s">
        <v>7</v>
      </c>
      <c r="D659" s="0" t="n">
        <v>1</v>
      </c>
      <c r="E659" s="0" t="n">
        <v>0</v>
      </c>
      <c r="F659" s="0" t="n">
        <v>41</v>
      </c>
      <c r="G659" s="0" t="str">
        <f aca="false">IF(D659=E659,"-",IF(D659&gt;E659,B659,C659))</f>
        <v>Paraguay</v>
      </c>
      <c r="H659" s="0" t="str">
        <f aca="false">IF(D659=E659,"-",IF(D659&lt;E659,B659,C659))</f>
        <v>Costa Rica</v>
      </c>
    </row>
    <row r="660" customFormat="false" ht="13.8" hidden="false" customHeight="false" outlineLevel="0" collapsed="false">
      <c r="A660" s="11" t="n">
        <v>38177</v>
      </c>
      <c r="B660" s="0" t="s">
        <v>14</v>
      </c>
      <c r="C660" s="0" t="s">
        <v>18</v>
      </c>
      <c r="D660" s="0" t="n">
        <v>3</v>
      </c>
      <c r="E660" s="0" t="n">
        <v>1</v>
      </c>
      <c r="F660" s="0" t="n">
        <v>41</v>
      </c>
      <c r="G660" s="0" t="str">
        <f aca="false">IF(D660=E660,"-",IF(D660&gt;E660,B660,C660))</f>
        <v>Peru</v>
      </c>
      <c r="H660" s="0" t="str">
        <f aca="false">IF(D660=E660,"-",IF(D660&lt;E660,B660,C660))</f>
        <v>Venezuela</v>
      </c>
    </row>
    <row r="661" customFormat="false" ht="13.8" hidden="false" customHeight="false" outlineLevel="0" collapsed="false">
      <c r="A661" s="11" t="n">
        <v>38177</v>
      </c>
      <c r="B661" s="0" t="s">
        <v>3</v>
      </c>
      <c r="C661" s="0" t="s">
        <v>6</v>
      </c>
      <c r="D661" s="0" t="n">
        <v>0</v>
      </c>
      <c r="E661" s="0" t="n">
        <v>1</v>
      </c>
      <c r="F661" s="0" t="n">
        <v>41</v>
      </c>
      <c r="G661" s="0" t="str">
        <f aca="false">IF(D661=E661,"-",IF(D661&gt;E661,B661,C661))</f>
        <v>Colombia</v>
      </c>
      <c r="H661" s="0" t="str">
        <f aca="false">IF(D661=E661,"-",IF(D661&lt;E661,B661,C661))</f>
        <v>Bolivia</v>
      </c>
    </row>
    <row r="662" customFormat="false" ht="13.8" hidden="false" customHeight="false" outlineLevel="0" collapsed="false">
      <c r="A662" s="11" t="n">
        <v>38178</v>
      </c>
      <c r="B662" s="0" t="s">
        <v>2</v>
      </c>
      <c r="C662" s="0" t="s">
        <v>12</v>
      </c>
      <c r="D662" s="0" t="n">
        <v>0</v>
      </c>
      <c r="E662" s="0" t="n">
        <v>1</v>
      </c>
      <c r="F662" s="0" t="n">
        <v>41</v>
      </c>
      <c r="G662" s="0" t="str">
        <f aca="false">IF(D662=E662,"-",IF(D662&gt;E662,B662,C662))</f>
        <v>México</v>
      </c>
      <c r="H662" s="0" t="str">
        <f aca="false">IF(D662=E662,"-",IF(D662&lt;E662,B662,C662))</f>
        <v>Argentina</v>
      </c>
    </row>
    <row r="663" customFormat="false" ht="13.8" hidden="false" customHeight="false" outlineLevel="0" collapsed="false">
      <c r="A663" s="11" t="n">
        <v>38178</v>
      </c>
      <c r="B663" s="0" t="s">
        <v>8</v>
      </c>
      <c r="C663" s="0" t="s">
        <v>16</v>
      </c>
      <c r="D663" s="0" t="n">
        <v>1</v>
      </c>
      <c r="E663" s="0" t="n">
        <v>2</v>
      </c>
      <c r="F663" s="0" t="n">
        <v>41</v>
      </c>
      <c r="G663" s="0" t="str">
        <f aca="false">IF(D663=E663,"-",IF(D663&gt;E663,B663,C663))</f>
        <v>Uruguay</v>
      </c>
      <c r="H663" s="0" t="str">
        <f aca="false">IF(D663=E663,"-",IF(D663&lt;E663,B663,C663))</f>
        <v>Ecuador</v>
      </c>
    </row>
    <row r="664" customFormat="false" ht="13.8" hidden="false" customHeight="false" outlineLevel="0" collapsed="false">
      <c r="A664" s="11" t="n">
        <v>38179</v>
      </c>
      <c r="B664" s="0" t="s">
        <v>4</v>
      </c>
      <c r="C664" s="0" t="s">
        <v>7</v>
      </c>
      <c r="D664" s="0" t="n">
        <v>4</v>
      </c>
      <c r="E664" s="0" t="n">
        <v>1</v>
      </c>
      <c r="F664" s="0" t="n">
        <v>41</v>
      </c>
      <c r="G664" s="0" t="str">
        <f aca="false">IF(D664=E664,"-",IF(D664&gt;E664,B664,C664))</f>
        <v>Brazil</v>
      </c>
      <c r="H664" s="0" t="str">
        <f aca="false">IF(D664=E664,"-",IF(D664&lt;E664,B664,C664))</f>
        <v>Costa Rica</v>
      </c>
    </row>
    <row r="665" customFormat="false" ht="13.8" hidden="false" customHeight="false" outlineLevel="0" collapsed="false">
      <c r="A665" s="11" t="n">
        <v>38179</v>
      </c>
      <c r="B665" s="0" t="s">
        <v>5</v>
      </c>
      <c r="C665" s="0" t="s">
        <v>13</v>
      </c>
      <c r="D665" s="0" t="n">
        <v>1</v>
      </c>
      <c r="E665" s="0" t="n">
        <v>1</v>
      </c>
      <c r="F665" s="0" t="n">
        <v>41</v>
      </c>
      <c r="G665" s="0" t="str">
        <f aca="false">IF(D665=E665,"-",IF(D665&gt;E665,B665,C665))</f>
        <v>-</v>
      </c>
      <c r="H665" s="0" t="str">
        <f aca="false">IF(D665=E665,"-",IF(D665&lt;E665,B665,C665))</f>
        <v>-</v>
      </c>
    </row>
    <row r="666" customFormat="false" ht="13.8" hidden="false" customHeight="false" outlineLevel="0" collapsed="false">
      <c r="A666" s="11" t="n">
        <v>38180</v>
      </c>
      <c r="B666" s="0" t="s">
        <v>3</v>
      </c>
      <c r="C666" s="0" t="s">
        <v>18</v>
      </c>
      <c r="D666" s="0" t="n">
        <v>1</v>
      </c>
      <c r="E666" s="0" t="n">
        <v>1</v>
      </c>
      <c r="F666" s="0" t="n">
        <v>41</v>
      </c>
      <c r="G666" s="0" t="str">
        <f aca="false">IF(D666=E666,"-",IF(D666&gt;E666,B666,C666))</f>
        <v>-</v>
      </c>
      <c r="H666" s="0" t="str">
        <f aca="false">IF(D666=E666,"-",IF(D666&lt;E666,B666,C666))</f>
        <v>-</v>
      </c>
    </row>
    <row r="667" customFormat="false" ht="13.8" hidden="false" customHeight="false" outlineLevel="0" collapsed="false">
      <c r="A667" s="11" t="n">
        <v>38180</v>
      </c>
      <c r="B667" s="0" t="s">
        <v>6</v>
      </c>
      <c r="C667" s="0" t="s">
        <v>14</v>
      </c>
      <c r="D667" s="0" t="n">
        <v>2</v>
      </c>
      <c r="E667" s="0" t="n">
        <v>2</v>
      </c>
      <c r="F667" s="0" t="n">
        <v>41</v>
      </c>
      <c r="G667" s="0" t="str">
        <f aca="false">IF(D667=E667,"-",IF(D667&gt;E667,B667,C667))</f>
        <v>-</v>
      </c>
      <c r="H667" s="0" t="str">
        <f aca="false">IF(D667=E667,"-",IF(D667&lt;E667,B667,C667))</f>
        <v>-</v>
      </c>
    </row>
    <row r="668" customFormat="false" ht="13.8" hidden="false" customHeight="false" outlineLevel="0" collapsed="false">
      <c r="A668" s="11" t="n">
        <v>38181</v>
      </c>
      <c r="B668" s="0" t="s">
        <v>2</v>
      </c>
      <c r="C668" s="0" t="s">
        <v>16</v>
      </c>
      <c r="D668" s="0" t="n">
        <v>4</v>
      </c>
      <c r="E668" s="0" t="n">
        <v>2</v>
      </c>
      <c r="F668" s="0" t="n">
        <v>41</v>
      </c>
      <c r="G668" s="0" t="str">
        <f aca="false">IF(D668=E668,"-",IF(D668&gt;E668,B668,C668))</f>
        <v>Argentina</v>
      </c>
      <c r="H668" s="0" t="str">
        <f aca="false">IF(D668=E668,"-",IF(D668&lt;E668,B668,C668))</f>
        <v>Uruguay</v>
      </c>
    </row>
    <row r="669" customFormat="false" ht="13.8" hidden="false" customHeight="false" outlineLevel="0" collapsed="false">
      <c r="A669" s="11" t="n">
        <v>38181</v>
      </c>
      <c r="B669" s="0" t="s">
        <v>8</v>
      </c>
      <c r="C669" s="0" t="s">
        <v>12</v>
      </c>
      <c r="D669" s="0" t="n">
        <v>1</v>
      </c>
      <c r="E669" s="0" t="n">
        <v>2</v>
      </c>
      <c r="F669" s="0" t="n">
        <v>41</v>
      </c>
      <c r="G669" s="0" t="str">
        <f aca="false">IF(D669=E669,"-",IF(D669&gt;E669,B669,C669))</f>
        <v>México</v>
      </c>
      <c r="H669" s="0" t="str">
        <f aca="false">IF(D669=E669,"-",IF(D669&lt;E669,B669,C669))</f>
        <v>Ecuador</v>
      </c>
    </row>
    <row r="670" customFormat="false" ht="13.8" hidden="false" customHeight="false" outlineLevel="0" collapsed="false">
      <c r="A670" s="11" t="n">
        <v>38182</v>
      </c>
      <c r="B670" s="0" t="s">
        <v>13</v>
      </c>
      <c r="C670" s="0" t="s">
        <v>4</v>
      </c>
      <c r="D670" s="0" t="n">
        <v>2</v>
      </c>
      <c r="E670" s="0" t="n">
        <v>1</v>
      </c>
      <c r="F670" s="0" t="n">
        <v>41</v>
      </c>
      <c r="G670" s="0" t="str">
        <f aca="false">IF(D670=E670,"-",IF(D670&gt;E670,B670,C670))</f>
        <v>Paraguay</v>
      </c>
      <c r="H670" s="0" t="str">
        <f aca="false">IF(D670=E670,"-",IF(D670&lt;E670,B670,C670))</f>
        <v>Brazil</v>
      </c>
    </row>
    <row r="671" customFormat="false" ht="13.8" hidden="false" customHeight="false" outlineLevel="0" collapsed="false">
      <c r="A671" s="11" t="n">
        <v>38182</v>
      </c>
      <c r="B671" s="0" t="s">
        <v>5</v>
      </c>
      <c r="C671" s="0" t="s">
        <v>7</v>
      </c>
      <c r="D671" s="0" t="n">
        <v>1</v>
      </c>
      <c r="E671" s="0" t="n">
        <v>2</v>
      </c>
      <c r="F671" s="0" t="n">
        <v>41</v>
      </c>
      <c r="G671" s="0" t="str">
        <f aca="false">IF(D671=E671,"-",IF(D671&gt;E671,B671,C671))</f>
        <v>Costa Rica</v>
      </c>
      <c r="H671" s="0" t="str">
        <f aca="false">IF(D671=E671,"-",IF(D671&lt;E671,B671,C671))</f>
        <v>Chile</v>
      </c>
    </row>
    <row r="672" customFormat="false" ht="13.8" hidden="false" customHeight="false" outlineLevel="0" collapsed="false">
      <c r="A672" s="11" t="n">
        <v>38185</v>
      </c>
      <c r="B672" s="0" t="s">
        <v>2</v>
      </c>
      <c r="C672" s="0" t="s">
        <v>14</v>
      </c>
      <c r="D672" s="0" t="n">
        <v>1</v>
      </c>
      <c r="E672" s="0" t="n">
        <v>0</v>
      </c>
      <c r="F672" s="0" t="n">
        <v>41</v>
      </c>
      <c r="G672" s="0" t="str">
        <f aca="false">IF(D672=E672,"-",IF(D672&gt;E672,B672,C672))</f>
        <v>Argentina</v>
      </c>
      <c r="H672" s="0" t="str">
        <f aca="false">IF(D672=E672,"-",IF(D672&lt;E672,B672,C672))</f>
        <v>Peru</v>
      </c>
    </row>
    <row r="673" customFormat="false" ht="13.8" hidden="false" customHeight="false" outlineLevel="0" collapsed="false">
      <c r="A673" s="11" t="n">
        <v>38185</v>
      </c>
      <c r="B673" s="0" t="s">
        <v>6</v>
      </c>
      <c r="C673" s="0" t="s">
        <v>7</v>
      </c>
      <c r="D673" s="0" t="n">
        <v>2</v>
      </c>
      <c r="E673" s="0" t="n">
        <v>0</v>
      </c>
      <c r="F673" s="0" t="n">
        <v>41</v>
      </c>
      <c r="G673" s="0" t="str">
        <f aca="false">IF(D673=E673,"-",IF(D673&gt;E673,B673,C673))</f>
        <v>Colombia</v>
      </c>
      <c r="H673" s="0" t="str">
        <f aca="false">IF(D673=E673,"-",IF(D673&lt;E673,B673,C673))</f>
        <v>Costa Rica</v>
      </c>
    </row>
    <row r="674" customFormat="false" ht="13.8" hidden="false" customHeight="false" outlineLevel="0" collapsed="false">
      <c r="A674" s="11" t="n">
        <v>38186</v>
      </c>
      <c r="B674" s="0" t="s">
        <v>13</v>
      </c>
      <c r="C674" s="0" t="s">
        <v>16</v>
      </c>
      <c r="D674" s="0" t="n">
        <v>1</v>
      </c>
      <c r="E674" s="0" t="n">
        <v>3</v>
      </c>
      <c r="F674" s="0" t="n">
        <v>41</v>
      </c>
      <c r="G674" s="0" t="str">
        <f aca="false">IF(D674=E674,"-",IF(D674&gt;E674,B674,C674))</f>
        <v>Uruguay</v>
      </c>
      <c r="H674" s="0" t="str">
        <f aca="false">IF(D674=E674,"-",IF(D674&lt;E674,B674,C674))</f>
        <v>Paraguay</v>
      </c>
    </row>
    <row r="675" customFormat="false" ht="13.8" hidden="false" customHeight="false" outlineLevel="0" collapsed="false">
      <c r="A675" s="11" t="n">
        <v>38186</v>
      </c>
      <c r="B675" s="0" t="s">
        <v>4</v>
      </c>
      <c r="C675" s="0" t="s">
        <v>12</v>
      </c>
      <c r="D675" s="0" t="n">
        <v>4</v>
      </c>
      <c r="E675" s="0" t="n">
        <v>0</v>
      </c>
      <c r="F675" s="0" t="n">
        <v>41</v>
      </c>
      <c r="G675" s="0" t="str">
        <f aca="false">IF(D675=E675,"-",IF(D675&gt;E675,B675,C675))</f>
        <v>Brazil</v>
      </c>
      <c r="H675" s="0" t="str">
        <f aca="false">IF(D675=E675,"-",IF(D675&lt;E675,B675,C675))</f>
        <v>México</v>
      </c>
    </row>
    <row r="676" customFormat="false" ht="13.8" hidden="false" customHeight="false" outlineLevel="0" collapsed="false">
      <c r="A676" s="11" t="n">
        <v>38188</v>
      </c>
      <c r="B676" s="0" t="s">
        <v>2</v>
      </c>
      <c r="C676" s="0" t="s">
        <v>6</v>
      </c>
      <c r="D676" s="0" t="n">
        <v>3</v>
      </c>
      <c r="E676" s="0" t="n">
        <v>0</v>
      </c>
      <c r="F676" s="0" t="n">
        <v>41</v>
      </c>
      <c r="G676" s="0" t="str">
        <f aca="false">IF(D676=E676,"-",IF(D676&gt;E676,B676,C676))</f>
        <v>Argentina</v>
      </c>
      <c r="H676" s="0" t="str">
        <f aca="false">IF(D676=E676,"-",IF(D676&lt;E676,B676,C676))</f>
        <v>Colombia</v>
      </c>
    </row>
    <row r="677" customFormat="false" ht="13.8" hidden="false" customHeight="false" outlineLevel="0" collapsed="false">
      <c r="A677" s="11" t="n">
        <v>38189</v>
      </c>
      <c r="B677" s="0" t="s">
        <v>16</v>
      </c>
      <c r="C677" s="0" t="s">
        <v>4</v>
      </c>
      <c r="D677" s="0" t="n">
        <v>1</v>
      </c>
      <c r="E677" s="0" t="n">
        <v>1</v>
      </c>
      <c r="F677" s="0" t="n">
        <v>41</v>
      </c>
      <c r="G677" s="0" t="str">
        <f aca="false">IF(D677=E677,"-",IF(D677&gt;E677,B677,C677))</f>
        <v>-</v>
      </c>
      <c r="H677" s="0" t="str">
        <f aca="false">IF(D677=E677,"-",IF(D677&lt;E677,B677,C677))</f>
        <v>-</v>
      </c>
    </row>
    <row r="678" customFormat="false" ht="13.8" hidden="false" customHeight="false" outlineLevel="0" collapsed="false">
      <c r="A678" s="11" t="n">
        <v>38192</v>
      </c>
      <c r="B678" s="0" t="s">
        <v>6</v>
      </c>
      <c r="C678" s="0" t="s">
        <v>16</v>
      </c>
      <c r="D678" s="0" t="n">
        <v>1</v>
      </c>
      <c r="E678" s="0" t="n">
        <v>2</v>
      </c>
      <c r="F678" s="0" t="n">
        <v>41</v>
      </c>
      <c r="G678" s="0" t="str">
        <f aca="false">IF(D678=E678,"-",IF(D678&gt;E678,B678,C678))</f>
        <v>Uruguay</v>
      </c>
      <c r="H678" s="0" t="str">
        <f aca="false">IF(D678=E678,"-",IF(D678&lt;E678,B678,C678))</f>
        <v>Colombia</v>
      </c>
    </row>
    <row r="679" customFormat="false" ht="13.8" hidden="false" customHeight="false" outlineLevel="0" collapsed="false">
      <c r="A679" s="11" t="n">
        <v>38193</v>
      </c>
      <c r="B679" s="0" t="s">
        <v>2</v>
      </c>
      <c r="C679" s="0" t="s">
        <v>4</v>
      </c>
      <c r="D679" s="0" t="n">
        <v>2</v>
      </c>
      <c r="E679" s="0" t="n">
        <v>2</v>
      </c>
      <c r="F679" s="0" t="n">
        <v>41</v>
      </c>
      <c r="G679" s="0" t="str">
        <f aca="false">IF(D679=E679,"-",IF(D679&gt;E679,B679,C679))</f>
        <v>-</v>
      </c>
      <c r="H679" s="0" t="str">
        <f aca="false">IF(D679=E679,"-",IF(D679&lt;E679,B679,C679))</f>
        <v>-</v>
      </c>
    </row>
    <row r="680" customFormat="false" ht="13.8" hidden="false" customHeight="false" outlineLevel="0" collapsed="false">
      <c r="A680" s="11" t="n">
        <v>39259</v>
      </c>
      <c r="B680" s="0" t="s">
        <v>3</v>
      </c>
      <c r="C680" s="0" t="s">
        <v>18</v>
      </c>
      <c r="D680" s="0" t="n">
        <v>2</v>
      </c>
      <c r="E680" s="0" t="n">
        <v>2</v>
      </c>
      <c r="F680" s="0" t="n">
        <v>42</v>
      </c>
      <c r="G680" s="0" t="str">
        <f aca="false">IF(D680=E680,"-",IF(D680&gt;E680,B680,C680))</f>
        <v>-</v>
      </c>
      <c r="H680" s="0" t="str">
        <f aca="false">IF(D680=E680,"-",IF(D680&lt;E680,B680,C680))</f>
        <v>-</v>
      </c>
    </row>
    <row r="681" customFormat="false" ht="13.8" hidden="false" customHeight="false" outlineLevel="0" collapsed="false">
      <c r="A681" s="11" t="n">
        <v>39259</v>
      </c>
      <c r="B681" s="0" t="s">
        <v>14</v>
      </c>
      <c r="C681" s="0" t="s">
        <v>16</v>
      </c>
      <c r="D681" s="0" t="n">
        <v>3</v>
      </c>
      <c r="E681" s="0" t="n">
        <v>0</v>
      </c>
      <c r="F681" s="0" t="n">
        <v>42</v>
      </c>
      <c r="G681" s="0" t="str">
        <f aca="false">IF(D681=E681,"-",IF(D681&gt;E681,B681,C681))</f>
        <v>Peru</v>
      </c>
      <c r="H681" s="0" t="str">
        <f aca="false">IF(D681=E681,"-",IF(D681&lt;E681,B681,C681))</f>
        <v>Uruguay</v>
      </c>
    </row>
    <row r="682" customFormat="false" ht="13.8" hidden="false" customHeight="false" outlineLevel="0" collapsed="false">
      <c r="A682" s="11" t="n">
        <v>39260</v>
      </c>
      <c r="B682" s="0" t="s">
        <v>4</v>
      </c>
      <c r="C682" s="0" t="s">
        <v>12</v>
      </c>
      <c r="D682" s="0" t="n">
        <v>0</v>
      </c>
      <c r="E682" s="0" t="n">
        <v>2</v>
      </c>
      <c r="F682" s="0" t="n">
        <v>42</v>
      </c>
      <c r="G682" s="0" t="str">
        <f aca="false">IF(D682=E682,"-",IF(D682&gt;E682,B682,C682))</f>
        <v>México</v>
      </c>
      <c r="H682" s="0" t="str">
        <f aca="false">IF(D682=E682,"-",IF(D682&lt;E682,B682,C682))</f>
        <v>Brazil</v>
      </c>
    </row>
    <row r="683" customFormat="false" ht="13.8" hidden="false" customHeight="false" outlineLevel="0" collapsed="false">
      <c r="A683" s="11" t="n">
        <v>39260</v>
      </c>
      <c r="B683" s="0" t="s">
        <v>5</v>
      </c>
      <c r="C683" s="0" t="s">
        <v>8</v>
      </c>
      <c r="D683" s="0" t="n">
        <v>3</v>
      </c>
      <c r="E683" s="0" t="n">
        <v>2</v>
      </c>
      <c r="F683" s="0" t="n">
        <v>42</v>
      </c>
      <c r="G683" s="0" t="str">
        <f aca="false">IF(D683=E683,"-",IF(D683&gt;E683,B683,C683))</f>
        <v>Chile</v>
      </c>
      <c r="H683" s="0" t="str">
        <f aca="false">IF(D683=E683,"-",IF(D683&lt;E683,B683,C683))</f>
        <v>Ecuador</v>
      </c>
    </row>
    <row r="684" customFormat="false" ht="13.8" hidden="false" customHeight="false" outlineLevel="0" collapsed="false">
      <c r="A684" s="11" t="n">
        <v>39261</v>
      </c>
      <c r="B684" s="0" t="s">
        <v>2</v>
      </c>
      <c r="C684" s="0" t="s">
        <v>15</v>
      </c>
      <c r="D684" s="0" t="n">
        <v>4</v>
      </c>
      <c r="E684" s="0" t="n">
        <v>1</v>
      </c>
      <c r="F684" s="0" t="n">
        <v>42</v>
      </c>
      <c r="G684" s="0" t="str">
        <f aca="false">IF(D684=E684,"-",IF(D684&gt;E684,B684,C684))</f>
        <v>Argentina</v>
      </c>
      <c r="H684" s="0" t="str">
        <f aca="false">IF(D684=E684,"-",IF(D684&lt;E684,B684,C684))</f>
        <v>U.S.A.</v>
      </c>
    </row>
    <row r="685" customFormat="false" ht="13.8" hidden="false" customHeight="false" outlineLevel="0" collapsed="false">
      <c r="A685" s="11" t="n">
        <v>39261</v>
      </c>
      <c r="B685" s="0" t="s">
        <v>6</v>
      </c>
      <c r="C685" s="0" t="s">
        <v>13</v>
      </c>
      <c r="D685" s="0" t="n">
        <v>0</v>
      </c>
      <c r="E685" s="0" t="n">
        <v>5</v>
      </c>
      <c r="F685" s="0" t="n">
        <v>42</v>
      </c>
      <c r="G685" s="0" t="str">
        <f aca="false">IF(D685=E685,"-",IF(D685&gt;E685,B685,C685))</f>
        <v>Paraguay</v>
      </c>
      <c r="H685" s="0" t="str">
        <f aca="false">IF(D685=E685,"-",IF(D685&lt;E685,B685,C685))</f>
        <v>Colombia</v>
      </c>
    </row>
    <row r="686" customFormat="false" ht="13.8" hidden="false" customHeight="false" outlineLevel="0" collapsed="false">
      <c r="A686" s="11" t="n">
        <v>39263</v>
      </c>
      <c r="B686" s="0" t="s">
        <v>14</v>
      </c>
      <c r="C686" s="0" t="s">
        <v>18</v>
      </c>
      <c r="D686" s="0" t="n">
        <v>0</v>
      </c>
      <c r="E686" s="0" t="n">
        <v>2</v>
      </c>
      <c r="F686" s="0" t="n">
        <v>42</v>
      </c>
      <c r="G686" s="0" t="str">
        <f aca="false">IF(D686=E686,"-",IF(D686&gt;E686,B686,C686))</f>
        <v>Venezuela</v>
      </c>
      <c r="H686" s="0" t="str">
        <f aca="false">IF(D686=E686,"-",IF(D686&lt;E686,B686,C686))</f>
        <v>Peru</v>
      </c>
    </row>
    <row r="687" customFormat="false" ht="13.8" hidden="false" customHeight="false" outlineLevel="0" collapsed="false">
      <c r="A687" s="11" t="n">
        <v>39263</v>
      </c>
      <c r="B687" s="0" t="s">
        <v>3</v>
      </c>
      <c r="C687" s="0" t="s">
        <v>16</v>
      </c>
      <c r="D687" s="0" t="n">
        <v>0</v>
      </c>
      <c r="E687" s="0" t="n">
        <v>1</v>
      </c>
      <c r="F687" s="0" t="n">
        <v>42</v>
      </c>
      <c r="G687" s="0" t="str">
        <f aca="false">IF(D687=E687,"-",IF(D687&gt;E687,B687,C687))</f>
        <v>Uruguay</v>
      </c>
      <c r="H687" s="0" t="str">
        <f aca="false">IF(D687=E687,"-",IF(D687&lt;E687,B687,C687))</f>
        <v>Bolivia</v>
      </c>
    </row>
    <row r="688" customFormat="false" ht="13.8" hidden="false" customHeight="false" outlineLevel="0" collapsed="false">
      <c r="A688" s="11" t="n">
        <v>39264</v>
      </c>
      <c r="B688" s="0" t="s">
        <v>8</v>
      </c>
      <c r="C688" s="0" t="s">
        <v>12</v>
      </c>
      <c r="D688" s="0" t="n">
        <v>1</v>
      </c>
      <c r="E688" s="0" t="n">
        <v>2</v>
      </c>
      <c r="F688" s="0" t="n">
        <v>42</v>
      </c>
      <c r="G688" s="0" t="str">
        <f aca="false">IF(D688=E688,"-",IF(D688&gt;E688,B688,C688))</f>
        <v>México</v>
      </c>
      <c r="H688" s="0" t="str">
        <f aca="false">IF(D688=E688,"-",IF(D688&lt;E688,B688,C688))</f>
        <v>Ecuador</v>
      </c>
    </row>
    <row r="689" customFormat="false" ht="13.8" hidden="false" customHeight="false" outlineLevel="0" collapsed="false">
      <c r="A689" s="13" t="n">
        <v>39264</v>
      </c>
      <c r="B689" s="14" t="s">
        <v>5</v>
      </c>
      <c r="C689" s="14" t="s">
        <v>4</v>
      </c>
      <c r="D689" s="14" t="n">
        <v>0</v>
      </c>
      <c r="E689" s="14" t="n">
        <v>3</v>
      </c>
      <c r="F689" s="14" t="n">
        <v>42</v>
      </c>
      <c r="G689" s="14" t="str">
        <f aca="false">IF(D689=E689,"-",IF(D689&gt;E689,B689,C689))</f>
        <v>Brazil</v>
      </c>
      <c r="H689" s="14" t="str">
        <f aca="false">IF(D689=E689,"-",IF(D689&lt;E689,B689,C689))</f>
        <v>Chile</v>
      </c>
    </row>
    <row r="690" customFormat="false" ht="13.8" hidden="false" customHeight="false" outlineLevel="0" collapsed="false">
      <c r="A690" s="11" t="n">
        <v>39265</v>
      </c>
      <c r="B690" s="0" t="s">
        <v>2</v>
      </c>
      <c r="C690" s="0" t="s">
        <v>6</v>
      </c>
      <c r="D690" s="0" t="n">
        <v>4</v>
      </c>
      <c r="E690" s="0" t="n">
        <v>2</v>
      </c>
      <c r="F690" s="0" t="n">
        <v>42</v>
      </c>
      <c r="G690" s="0" t="str">
        <f aca="false">IF(D690=E690,"-",IF(D690&gt;E690,B690,C690))</f>
        <v>Argentina</v>
      </c>
      <c r="H690" s="0" t="str">
        <f aca="false">IF(D690=E690,"-",IF(D690&lt;E690,B690,C690))</f>
        <v>Colombia</v>
      </c>
    </row>
    <row r="691" customFormat="false" ht="13.8" hidden="false" customHeight="false" outlineLevel="0" collapsed="false">
      <c r="A691" s="11" t="n">
        <v>39265</v>
      </c>
      <c r="B691" s="0" t="s">
        <v>13</v>
      </c>
      <c r="C691" s="0" t="s">
        <v>17</v>
      </c>
      <c r="D691" s="0" t="n">
        <v>3</v>
      </c>
      <c r="E691" s="0" t="n">
        <v>1</v>
      </c>
      <c r="F691" s="0" t="n">
        <v>42</v>
      </c>
      <c r="G691" s="0" t="str">
        <f aca="false">IF(D691=E691,"-",IF(D691&gt;E691,B691,C691))</f>
        <v>Paraguay</v>
      </c>
      <c r="H691" s="0" t="str">
        <f aca="false">IF(D691=E691,"-",IF(D691&lt;E691,B691,C691))</f>
        <v>USA</v>
      </c>
    </row>
    <row r="692" customFormat="false" ht="13.8" hidden="false" customHeight="false" outlineLevel="0" collapsed="false">
      <c r="A692" s="11" t="n">
        <v>39266</v>
      </c>
      <c r="B692" s="0" t="s">
        <v>16</v>
      </c>
      <c r="C692" s="0" t="s">
        <v>18</v>
      </c>
      <c r="D692" s="0" t="n">
        <v>0</v>
      </c>
      <c r="E692" s="0" t="n">
        <v>0</v>
      </c>
      <c r="F692" s="0" t="n">
        <v>42</v>
      </c>
      <c r="G692" s="0" t="str">
        <f aca="false">IF(D692=E692,"-",IF(D692&gt;E692,B692,C692))</f>
        <v>-</v>
      </c>
      <c r="H692" s="0" t="str">
        <f aca="false">IF(D692=E692,"-",IF(D692&lt;E692,B692,C692))</f>
        <v>-</v>
      </c>
    </row>
    <row r="693" customFormat="false" ht="13.8" hidden="false" customHeight="false" outlineLevel="0" collapsed="false">
      <c r="A693" s="11" t="n">
        <v>39266</v>
      </c>
      <c r="B693" s="0" t="s">
        <v>3</v>
      </c>
      <c r="C693" s="0" t="s">
        <v>14</v>
      </c>
      <c r="D693" s="0" t="n">
        <v>2</v>
      </c>
      <c r="E693" s="0" t="n">
        <v>2</v>
      </c>
      <c r="F693" s="0" t="n">
        <v>42</v>
      </c>
      <c r="G693" s="0" t="str">
        <f aca="false">IF(D693=E693,"-",IF(D693&gt;E693,B693,C693))</f>
        <v>-</v>
      </c>
      <c r="H693" s="0" t="str">
        <f aca="false">IF(D693=E693,"-",IF(D693&lt;E693,B693,C693))</f>
        <v>-</v>
      </c>
    </row>
    <row r="694" customFormat="false" ht="13.8" hidden="false" customHeight="false" outlineLevel="0" collapsed="false">
      <c r="A694" s="11" t="n">
        <v>39267</v>
      </c>
      <c r="B694" s="0" t="s">
        <v>8</v>
      </c>
      <c r="C694" s="0" t="s">
        <v>4</v>
      </c>
      <c r="D694" s="0" t="n">
        <v>0</v>
      </c>
      <c r="E694" s="0" t="n">
        <v>1</v>
      </c>
      <c r="F694" s="0" t="n">
        <v>42</v>
      </c>
      <c r="G694" s="0" t="str">
        <f aca="false">IF(D694=E694,"-",IF(D694&gt;E694,B694,C694))</f>
        <v>Brazil</v>
      </c>
      <c r="H694" s="0" t="str">
        <f aca="false">IF(D694=E694,"-",IF(D694&lt;E694,B694,C694))</f>
        <v>Ecuador</v>
      </c>
    </row>
    <row r="695" customFormat="false" ht="13.8" hidden="false" customHeight="false" outlineLevel="0" collapsed="false">
      <c r="A695" s="11" t="n">
        <v>39267</v>
      </c>
      <c r="B695" s="0" t="s">
        <v>5</v>
      </c>
      <c r="C695" s="0" t="s">
        <v>12</v>
      </c>
      <c r="D695" s="0" t="n">
        <v>0</v>
      </c>
      <c r="E695" s="0" t="n">
        <v>0</v>
      </c>
      <c r="F695" s="0" t="n">
        <v>42</v>
      </c>
      <c r="G695" s="0" t="str">
        <f aca="false">IF(D695=E695,"-",IF(D695&gt;E695,B695,C695))</f>
        <v>-</v>
      </c>
      <c r="H695" s="0" t="str">
        <f aca="false">IF(D695=E695,"-",IF(D695&lt;E695,B695,C695))</f>
        <v>-</v>
      </c>
    </row>
    <row r="696" customFormat="false" ht="13.8" hidden="false" customHeight="false" outlineLevel="0" collapsed="false">
      <c r="A696" s="11" t="n">
        <v>39268</v>
      </c>
      <c r="B696" s="0" t="s">
        <v>2</v>
      </c>
      <c r="C696" s="0" t="s">
        <v>13</v>
      </c>
      <c r="D696" s="0" t="n">
        <v>1</v>
      </c>
      <c r="E696" s="0" t="n">
        <v>0</v>
      </c>
      <c r="F696" s="0" t="n">
        <v>42</v>
      </c>
      <c r="G696" s="0" t="str">
        <f aca="false">IF(D696=E696,"-",IF(D696&gt;E696,B696,C696))</f>
        <v>Argentina</v>
      </c>
      <c r="H696" s="0" t="str">
        <f aca="false">IF(D696=E696,"-",IF(D696&lt;E696,B696,C696))</f>
        <v>Paraguay</v>
      </c>
    </row>
    <row r="697" customFormat="false" ht="13.8" hidden="false" customHeight="false" outlineLevel="0" collapsed="false">
      <c r="A697" s="11" t="n">
        <v>39268</v>
      </c>
      <c r="B697" s="0" t="s">
        <v>6</v>
      </c>
      <c r="C697" s="0" t="s">
        <v>15</v>
      </c>
      <c r="D697" s="0" t="n">
        <v>1</v>
      </c>
      <c r="E697" s="0" t="n">
        <v>0</v>
      </c>
      <c r="F697" s="0" t="n">
        <v>42</v>
      </c>
      <c r="G697" s="0" t="str">
        <f aca="false">IF(D697=E697,"-",IF(D697&gt;E697,B697,C697))</f>
        <v>Colombia</v>
      </c>
      <c r="H697" s="0" t="str">
        <f aca="false">IF(D697=E697,"-",IF(D697&lt;E697,B697,C697))</f>
        <v>U.S.A.</v>
      </c>
    </row>
    <row r="698" customFormat="false" ht="13.8" hidden="false" customHeight="false" outlineLevel="0" collapsed="false">
      <c r="A698" s="13" t="n">
        <v>39270</v>
      </c>
      <c r="B698" s="14" t="s">
        <v>5</v>
      </c>
      <c r="C698" s="14" t="s">
        <v>4</v>
      </c>
      <c r="D698" s="14" t="n">
        <v>1</v>
      </c>
      <c r="E698" s="14" t="n">
        <v>6</v>
      </c>
      <c r="F698" s="14" t="n">
        <v>42</v>
      </c>
      <c r="G698" s="14" t="str">
        <f aca="false">IF(D698=E698,"-",IF(D698&gt;E698,B698,C698))</f>
        <v>Brazil</v>
      </c>
      <c r="H698" s="14" t="str">
        <f aca="false">IF(D698=E698,"-",IF(D698&lt;E698,B698,C698))</f>
        <v>Chile</v>
      </c>
    </row>
    <row r="699" customFormat="false" ht="15" hidden="false" customHeight="false" outlineLevel="0" collapsed="false">
      <c r="A699" s="11" t="n">
        <v>39270</v>
      </c>
      <c r="B699" s="0" t="s">
        <v>16</v>
      </c>
      <c r="C699" s="0" t="s">
        <v>18</v>
      </c>
      <c r="D699" s="0" t="n">
        <v>4</v>
      </c>
      <c r="E699" s="0" t="n">
        <v>1</v>
      </c>
      <c r="F699" s="0" t="n">
        <v>42</v>
      </c>
      <c r="G699" s="0" t="str">
        <f aca="false">IF(D699=E699,"-",IF(D699&gt;E699,B699,C699))</f>
        <v>Uruguay</v>
      </c>
      <c r="H699" s="0" t="str">
        <f aca="false">IF(D699=E699,"-",IF(D699&lt;E699,B699,C699))</f>
        <v>Venezuela</v>
      </c>
    </row>
    <row r="700" customFormat="false" ht="15" hidden="false" customHeight="false" outlineLevel="0" collapsed="false">
      <c r="A700" s="11" t="n">
        <v>39271</v>
      </c>
      <c r="B700" s="0" t="s">
        <v>2</v>
      </c>
      <c r="C700" s="0" t="s">
        <v>14</v>
      </c>
      <c r="D700" s="0" t="n">
        <v>4</v>
      </c>
      <c r="E700" s="0" t="n">
        <v>0</v>
      </c>
      <c r="F700" s="0" t="n">
        <v>42</v>
      </c>
      <c r="G700" s="0" t="str">
        <f aca="false">IF(D700=E700,"-",IF(D700&gt;E700,B700,C700))</f>
        <v>Argentina</v>
      </c>
      <c r="H700" s="0" t="str">
        <f aca="false">IF(D700=E700,"-",IF(D700&lt;E700,B700,C700))</f>
        <v>Peru</v>
      </c>
    </row>
    <row r="701" customFormat="false" ht="15" hidden="false" customHeight="false" outlineLevel="0" collapsed="false">
      <c r="A701" s="11" t="n">
        <v>39271</v>
      </c>
      <c r="B701" s="0" t="s">
        <v>13</v>
      </c>
      <c r="C701" s="0" t="s">
        <v>12</v>
      </c>
      <c r="D701" s="0" t="n">
        <v>0</v>
      </c>
      <c r="E701" s="0" t="n">
        <v>6</v>
      </c>
      <c r="F701" s="0" t="n">
        <v>42</v>
      </c>
      <c r="G701" s="0" t="str">
        <f aca="false">IF(D701=E701,"-",IF(D701&gt;E701,B701,C701))</f>
        <v>México</v>
      </c>
      <c r="H701" s="0" t="str">
        <f aca="false">IF(D701=E701,"-",IF(D701&lt;E701,B701,C701))</f>
        <v>Paraguay</v>
      </c>
    </row>
    <row r="702" customFormat="false" ht="15" hidden="false" customHeight="false" outlineLevel="0" collapsed="false">
      <c r="A702" s="11" t="n">
        <v>39273</v>
      </c>
      <c r="B702" s="0" t="s">
        <v>16</v>
      </c>
      <c r="C702" s="0" t="s">
        <v>4</v>
      </c>
      <c r="D702" s="0" t="n">
        <v>2</v>
      </c>
      <c r="E702" s="0" t="n">
        <v>2</v>
      </c>
      <c r="F702" s="0" t="n">
        <v>42</v>
      </c>
      <c r="G702" s="0" t="str">
        <f aca="false">IF(D702=E702,"-",IF(D702&gt;E702,B702,C702))</f>
        <v>-</v>
      </c>
      <c r="H702" s="0" t="str">
        <f aca="false">IF(D702=E702,"-",IF(D702&lt;E702,B702,C702))</f>
        <v>-</v>
      </c>
    </row>
    <row r="703" customFormat="false" ht="15" hidden="false" customHeight="false" outlineLevel="0" collapsed="false">
      <c r="A703" s="11" t="n">
        <v>39274</v>
      </c>
      <c r="B703" s="0" t="s">
        <v>2</v>
      </c>
      <c r="C703" s="0" t="s">
        <v>12</v>
      </c>
      <c r="D703" s="0" t="n">
        <v>3</v>
      </c>
      <c r="E703" s="0" t="n">
        <v>0</v>
      </c>
      <c r="F703" s="0" t="n">
        <v>42</v>
      </c>
      <c r="G703" s="0" t="str">
        <f aca="false">IF(D703=E703,"-",IF(D703&gt;E703,B703,C703))</f>
        <v>Argentina</v>
      </c>
      <c r="H703" s="0" t="str">
        <f aca="false">IF(D703=E703,"-",IF(D703&lt;E703,B703,C703))</f>
        <v>México</v>
      </c>
    </row>
    <row r="704" customFormat="false" ht="15" hidden="false" customHeight="false" outlineLevel="0" collapsed="false">
      <c r="A704" s="11" t="n">
        <v>39277</v>
      </c>
      <c r="B704" s="0" t="s">
        <v>16</v>
      </c>
      <c r="C704" s="0" t="s">
        <v>12</v>
      </c>
      <c r="D704" s="0" t="n">
        <v>1</v>
      </c>
      <c r="E704" s="0" t="n">
        <v>3</v>
      </c>
      <c r="F704" s="0" t="n">
        <v>42</v>
      </c>
      <c r="G704" s="0" t="str">
        <f aca="false">IF(D704=E704,"-",IF(D704&gt;E704,B704,C704))</f>
        <v>México</v>
      </c>
      <c r="H704" s="0" t="str">
        <f aca="false">IF(D704=E704,"-",IF(D704&lt;E704,B704,C704))</f>
        <v>Uruguay</v>
      </c>
    </row>
    <row r="705" customFormat="false" ht="15" hidden="false" customHeight="false" outlineLevel="0" collapsed="false">
      <c r="A705" s="11" t="n">
        <v>39278</v>
      </c>
      <c r="B705" s="0" t="s">
        <v>2</v>
      </c>
      <c r="C705" s="0" t="s">
        <v>4</v>
      </c>
      <c r="D705" s="0" t="n">
        <v>0</v>
      </c>
      <c r="E705" s="0" t="n">
        <v>3</v>
      </c>
      <c r="F705" s="0" t="n">
        <v>42</v>
      </c>
      <c r="G705" s="0" t="str">
        <f aca="false">IF(D705=E705,"-",IF(D705&gt;E705,B705,C705))</f>
        <v>Brazil</v>
      </c>
      <c r="H705" s="0" t="str">
        <f aca="false">IF(D705=E705,"-",IF(D705&lt;E705,B705,C705))</f>
        <v>Argentina</v>
      </c>
    </row>
    <row r="706" customFormat="false" ht="15" hidden="false" customHeight="false" outlineLevel="0" collapsed="false">
      <c r="A706" s="11" t="n">
        <v>40725</v>
      </c>
      <c r="B706" s="0" t="s">
        <v>2</v>
      </c>
      <c r="C706" s="0" t="s">
        <v>3</v>
      </c>
      <c r="D706" s="0" t="n">
        <v>1</v>
      </c>
      <c r="E706" s="0" t="n">
        <v>1</v>
      </c>
      <c r="F706" s="0" t="n">
        <v>43</v>
      </c>
      <c r="G706" s="0" t="str">
        <f aca="false">IF(D706=E706,"-",IF(D706&gt;E706,B706,C706))</f>
        <v>-</v>
      </c>
      <c r="H706" s="0" t="str">
        <f aca="false">IF(D706=E706,"-",IF(D706&lt;E706,B706,C706))</f>
        <v>-</v>
      </c>
    </row>
    <row r="707" customFormat="false" ht="15" hidden="false" customHeight="false" outlineLevel="0" collapsed="false">
      <c r="A707" s="11" t="n">
        <v>40726</v>
      </c>
      <c r="B707" s="0" t="s">
        <v>6</v>
      </c>
      <c r="C707" s="0" t="s">
        <v>7</v>
      </c>
      <c r="D707" s="0" t="n">
        <v>1</v>
      </c>
      <c r="E707" s="0" t="n">
        <v>0</v>
      </c>
      <c r="F707" s="0" t="n">
        <v>43</v>
      </c>
      <c r="G707" s="0" t="str">
        <f aca="false">IF(D707=E707,"-",IF(D707&gt;E707,B707,C707))</f>
        <v>Colombia</v>
      </c>
      <c r="H707" s="0" t="str">
        <f aca="false">IF(D707=E707,"-",IF(D707&lt;E707,B707,C707))</f>
        <v>Costa Rica</v>
      </c>
    </row>
    <row r="708" customFormat="false" ht="15" hidden="false" customHeight="false" outlineLevel="0" collapsed="false">
      <c r="A708" s="11" t="n">
        <v>40727</v>
      </c>
      <c r="B708" s="0" t="s">
        <v>18</v>
      </c>
      <c r="C708" s="0" t="s">
        <v>4</v>
      </c>
      <c r="D708" s="0" t="n">
        <v>0</v>
      </c>
      <c r="E708" s="0" t="n">
        <v>0</v>
      </c>
      <c r="F708" s="0" t="n">
        <v>43</v>
      </c>
      <c r="G708" s="0" t="str">
        <f aca="false">IF(D708=E708,"-",IF(D708&gt;E708,B708,C708))</f>
        <v>-</v>
      </c>
      <c r="H708" s="0" t="str">
        <f aca="false">IF(D708=E708,"-",IF(D708&lt;E708,B708,C708))</f>
        <v>-</v>
      </c>
    </row>
    <row r="709" customFormat="false" ht="15" hidden="false" customHeight="false" outlineLevel="0" collapsed="false">
      <c r="A709" s="11" t="n">
        <v>40727</v>
      </c>
      <c r="B709" s="0" t="s">
        <v>8</v>
      </c>
      <c r="C709" s="0" t="s">
        <v>13</v>
      </c>
      <c r="D709" s="0" t="n">
        <v>0</v>
      </c>
      <c r="E709" s="0" t="n">
        <v>0</v>
      </c>
      <c r="F709" s="0" t="n">
        <v>43</v>
      </c>
      <c r="G709" s="0" t="str">
        <f aca="false">IF(D709=E709,"-",IF(D709&gt;E709,B709,C709))</f>
        <v>-</v>
      </c>
      <c r="H709" s="0" t="str">
        <f aca="false">IF(D709=E709,"-",IF(D709&lt;E709,B709,C709))</f>
        <v>-</v>
      </c>
    </row>
    <row r="710" customFormat="false" ht="15" hidden="false" customHeight="false" outlineLevel="0" collapsed="false">
      <c r="A710" s="11" t="n">
        <v>40728</v>
      </c>
      <c r="B710" s="0" t="s">
        <v>5</v>
      </c>
      <c r="C710" s="0" t="s">
        <v>12</v>
      </c>
      <c r="D710" s="0" t="n">
        <v>2</v>
      </c>
      <c r="E710" s="0" t="n">
        <v>1</v>
      </c>
      <c r="F710" s="0" t="n">
        <v>43</v>
      </c>
      <c r="G710" s="0" t="str">
        <f aca="false">IF(D710=E710,"-",IF(D710&gt;E710,B710,C710))</f>
        <v>Chile</v>
      </c>
      <c r="H710" s="0" t="str">
        <f aca="false">IF(D710=E710,"-",IF(D710&lt;E710,B710,C710))</f>
        <v>México</v>
      </c>
    </row>
    <row r="711" customFormat="false" ht="15" hidden="false" customHeight="false" outlineLevel="0" collapsed="false">
      <c r="A711" s="11" t="n">
        <v>40728</v>
      </c>
      <c r="B711" s="0" t="s">
        <v>14</v>
      </c>
      <c r="C711" s="0" t="s">
        <v>16</v>
      </c>
      <c r="D711" s="0" t="n">
        <v>1</v>
      </c>
      <c r="E711" s="0" t="n">
        <v>1</v>
      </c>
      <c r="F711" s="0" t="n">
        <v>43</v>
      </c>
      <c r="G711" s="0" t="str">
        <f aca="false">IF(D711=E711,"-",IF(D711&gt;E711,B711,C711))</f>
        <v>-</v>
      </c>
      <c r="H711" s="0" t="str">
        <f aca="false">IF(D711=E711,"-",IF(D711&lt;E711,B711,C711))</f>
        <v>-</v>
      </c>
    </row>
    <row r="712" customFormat="false" ht="15" hidden="false" customHeight="false" outlineLevel="0" collapsed="false">
      <c r="A712" s="11" t="n">
        <v>40730</v>
      </c>
      <c r="B712" s="0" t="s">
        <v>2</v>
      </c>
      <c r="C712" s="0" t="s">
        <v>6</v>
      </c>
      <c r="D712" s="0" t="n">
        <v>0</v>
      </c>
      <c r="E712" s="0" t="n">
        <v>0</v>
      </c>
      <c r="F712" s="0" t="n">
        <v>43</v>
      </c>
      <c r="G712" s="0" t="str">
        <f aca="false">IF(D712=E712,"-",IF(D712&gt;E712,B712,C712))</f>
        <v>-</v>
      </c>
      <c r="H712" s="0" t="str">
        <f aca="false">IF(D712=E712,"-",IF(D712&lt;E712,B712,C712))</f>
        <v>-</v>
      </c>
    </row>
    <row r="713" customFormat="false" ht="15" hidden="false" customHeight="false" outlineLevel="0" collapsed="false">
      <c r="A713" s="11" t="n">
        <v>40731</v>
      </c>
      <c r="B713" s="0" t="s">
        <v>3</v>
      </c>
      <c r="C713" s="0" t="s">
        <v>7</v>
      </c>
      <c r="D713" s="0" t="n">
        <v>0</v>
      </c>
      <c r="E713" s="0" t="n">
        <v>2</v>
      </c>
      <c r="F713" s="0" t="n">
        <v>43</v>
      </c>
      <c r="G713" s="0" t="str">
        <f aca="false">IF(D713=E713,"-",IF(D713&gt;E713,B713,C713))</f>
        <v>Costa Rica</v>
      </c>
      <c r="H713" s="0" t="str">
        <f aca="false">IF(D713=E713,"-",IF(D713&lt;E713,B713,C713))</f>
        <v>Bolivia</v>
      </c>
    </row>
    <row r="714" customFormat="false" ht="15" hidden="false" customHeight="false" outlineLevel="0" collapsed="false">
      <c r="A714" s="11" t="n">
        <v>40732</v>
      </c>
      <c r="B714" s="0" t="s">
        <v>5</v>
      </c>
      <c r="C714" s="0" t="s">
        <v>16</v>
      </c>
      <c r="D714" s="0" t="n">
        <v>1</v>
      </c>
      <c r="E714" s="0" t="n">
        <v>1</v>
      </c>
      <c r="F714" s="0" t="n">
        <v>43</v>
      </c>
      <c r="G714" s="0" t="str">
        <f aca="false">IF(D714=E714,"-",IF(D714&gt;E714,B714,C714))</f>
        <v>-</v>
      </c>
      <c r="H714" s="0" t="str">
        <f aca="false">IF(D714=E714,"-",IF(D714&lt;E714,B714,C714))</f>
        <v>-</v>
      </c>
    </row>
    <row r="715" customFormat="false" ht="15" hidden="false" customHeight="false" outlineLevel="0" collapsed="false">
      <c r="A715" s="11" t="n">
        <v>40732</v>
      </c>
      <c r="B715" s="0" t="s">
        <v>14</v>
      </c>
      <c r="C715" s="0" t="s">
        <v>12</v>
      </c>
      <c r="D715" s="0" t="n">
        <v>1</v>
      </c>
      <c r="E715" s="0" t="n">
        <v>0</v>
      </c>
      <c r="F715" s="0" t="n">
        <v>43</v>
      </c>
      <c r="G715" s="0" t="str">
        <f aca="false">IF(D715=E715,"-",IF(D715&gt;E715,B715,C715))</f>
        <v>Peru</v>
      </c>
      <c r="H715" s="0" t="str">
        <f aca="false">IF(D715=E715,"-",IF(D715&lt;E715,B715,C715))</f>
        <v>México</v>
      </c>
    </row>
    <row r="716" customFormat="false" ht="15" hidden="false" customHeight="false" outlineLevel="0" collapsed="false">
      <c r="A716" s="11" t="n">
        <v>40733</v>
      </c>
      <c r="B716" s="0" t="s">
        <v>8</v>
      </c>
      <c r="C716" s="0" t="s">
        <v>18</v>
      </c>
      <c r="D716" s="0" t="n">
        <v>0</v>
      </c>
      <c r="E716" s="0" t="n">
        <v>1</v>
      </c>
      <c r="F716" s="0" t="n">
        <v>43</v>
      </c>
      <c r="G716" s="0" t="str">
        <f aca="false">IF(D716=E716,"-",IF(D716&gt;E716,B716,C716))</f>
        <v>Venezuela</v>
      </c>
      <c r="H716" s="0" t="str">
        <f aca="false">IF(D716=E716,"-",IF(D716&lt;E716,B716,C716))</f>
        <v>Ecuador</v>
      </c>
    </row>
    <row r="717" customFormat="false" ht="15" hidden="false" customHeight="false" outlineLevel="0" collapsed="false">
      <c r="A717" s="11" t="n">
        <v>40733</v>
      </c>
      <c r="B717" s="0" t="s">
        <v>13</v>
      </c>
      <c r="C717" s="0" t="s">
        <v>4</v>
      </c>
      <c r="D717" s="0" t="n">
        <v>2</v>
      </c>
      <c r="E717" s="0" t="n">
        <v>2</v>
      </c>
      <c r="F717" s="0" t="n">
        <v>43</v>
      </c>
      <c r="G717" s="0" t="str">
        <f aca="false">IF(D717=E717,"-",IF(D717&gt;E717,B717,C717))</f>
        <v>-</v>
      </c>
      <c r="H717" s="0" t="str">
        <f aca="false">IF(D717=E717,"-",IF(D717&lt;E717,B717,C717))</f>
        <v>-</v>
      </c>
    </row>
    <row r="718" customFormat="false" ht="15" hidden="false" customHeight="false" outlineLevel="0" collapsed="false">
      <c r="A718" s="11" t="n">
        <v>40734</v>
      </c>
      <c r="B718" s="0" t="s">
        <v>3</v>
      </c>
      <c r="C718" s="0" t="s">
        <v>6</v>
      </c>
      <c r="D718" s="0" t="n">
        <v>0</v>
      </c>
      <c r="E718" s="0" t="n">
        <v>2</v>
      </c>
      <c r="F718" s="0" t="n">
        <v>43</v>
      </c>
      <c r="G718" s="0" t="str">
        <f aca="false">IF(D718=E718,"-",IF(D718&gt;E718,B718,C718))</f>
        <v>Colombia</v>
      </c>
      <c r="H718" s="0" t="str">
        <f aca="false">IF(D718=E718,"-",IF(D718&lt;E718,B718,C718))</f>
        <v>Bolivia</v>
      </c>
    </row>
    <row r="719" customFormat="false" ht="15" hidden="false" customHeight="false" outlineLevel="0" collapsed="false">
      <c r="A719" s="11" t="n">
        <v>40735</v>
      </c>
      <c r="B719" s="0" t="s">
        <v>2</v>
      </c>
      <c r="C719" s="0" t="s">
        <v>7</v>
      </c>
      <c r="D719" s="0" t="n">
        <v>3</v>
      </c>
      <c r="E719" s="0" t="n">
        <v>0</v>
      </c>
      <c r="F719" s="0" t="n">
        <v>43</v>
      </c>
      <c r="G719" s="0" t="str">
        <f aca="false">IF(D719=E719,"-",IF(D719&gt;E719,B719,C719))</f>
        <v>Argentina</v>
      </c>
      <c r="H719" s="0" t="str">
        <f aca="false">IF(D719=E719,"-",IF(D719&lt;E719,B719,C719))</f>
        <v>Costa Rica</v>
      </c>
    </row>
    <row r="720" customFormat="false" ht="15" hidden="false" customHeight="false" outlineLevel="0" collapsed="false">
      <c r="A720" s="11" t="n">
        <v>40736</v>
      </c>
      <c r="B720" s="0" t="s">
        <v>5</v>
      </c>
      <c r="C720" s="0" t="s">
        <v>14</v>
      </c>
      <c r="D720" s="0" t="n">
        <v>1</v>
      </c>
      <c r="E720" s="0" t="n">
        <v>0</v>
      </c>
      <c r="F720" s="0" t="n">
        <v>43</v>
      </c>
      <c r="G720" s="0" t="str">
        <f aca="false">IF(D720=E720,"-",IF(D720&gt;E720,B720,C720))</f>
        <v>Chile</v>
      </c>
      <c r="H720" s="0" t="str">
        <f aca="false">IF(D720=E720,"-",IF(D720&lt;E720,B720,C720))</f>
        <v>Peru</v>
      </c>
    </row>
    <row r="721" customFormat="false" ht="15" hidden="false" customHeight="false" outlineLevel="0" collapsed="false">
      <c r="A721" s="11" t="n">
        <v>40736</v>
      </c>
      <c r="B721" s="0" t="s">
        <v>16</v>
      </c>
      <c r="C721" s="0" t="s">
        <v>12</v>
      </c>
      <c r="D721" s="0" t="n">
        <v>1</v>
      </c>
      <c r="E721" s="0" t="n">
        <v>0</v>
      </c>
      <c r="F721" s="0" t="n">
        <v>43</v>
      </c>
      <c r="G721" s="0" t="str">
        <f aca="false">IF(D721=E721,"-",IF(D721&gt;E721,B721,C721))</f>
        <v>Uruguay</v>
      </c>
      <c r="H721" s="0" t="str">
        <f aca="false">IF(D721=E721,"-",IF(D721&lt;E721,B721,C721))</f>
        <v>México</v>
      </c>
    </row>
    <row r="722" customFormat="false" ht="15" hidden="false" customHeight="false" outlineLevel="0" collapsed="false">
      <c r="A722" s="11" t="n">
        <v>40737</v>
      </c>
      <c r="B722" s="0" t="s">
        <v>13</v>
      </c>
      <c r="C722" s="0" t="s">
        <v>18</v>
      </c>
      <c r="D722" s="0" t="n">
        <v>3</v>
      </c>
      <c r="E722" s="0" t="n">
        <v>3</v>
      </c>
      <c r="F722" s="0" t="n">
        <v>43</v>
      </c>
      <c r="G722" s="0" t="str">
        <f aca="false">IF(D722=E722,"-",IF(D722&gt;E722,B722,C722))</f>
        <v>-</v>
      </c>
      <c r="H722" s="0" t="str">
        <f aca="false">IF(D722=E722,"-",IF(D722&lt;E722,B722,C722))</f>
        <v>-</v>
      </c>
    </row>
    <row r="723" customFormat="false" ht="15" hidden="false" customHeight="false" outlineLevel="0" collapsed="false">
      <c r="A723" s="11" t="n">
        <v>40737</v>
      </c>
      <c r="B723" s="0" t="s">
        <v>8</v>
      </c>
      <c r="C723" s="0" t="s">
        <v>4</v>
      </c>
      <c r="D723" s="0" t="n">
        <v>2</v>
      </c>
      <c r="E723" s="0" t="n">
        <v>4</v>
      </c>
      <c r="F723" s="0" t="n">
        <v>43</v>
      </c>
      <c r="G723" s="0" t="str">
        <f aca="false">IF(D723=E723,"-",IF(D723&gt;E723,B723,C723))</f>
        <v>Brazil</v>
      </c>
      <c r="H723" s="0" t="str">
        <f aca="false">IF(D723=E723,"-",IF(D723&lt;E723,B723,C723))</f>
        <v>Ecuador</v>
      </c>
    </row>
    <row r="724" customFormat="false" ht="15" hidden="false" customHeight="false" outlineLevel="0" collapsed="false">
      <c r="A724" s="11" t="n">
        <v>40740</v>
      </c>
      <c r="B724" s="0" t="s">
        <v>6</v>
      </c>
      <c r="C724" s="0" t="s">
        <v>14</v>
      </c>
      <c r="D724" s="0" t="n">
        <v>0</v>
      </c>
      <c r="E724" s="0" t="n">
        <v>2</v>
      </c>
      <c r="F724" s="0" t="n">
        <v>43</v>
      </c>
      <c r="G724" s="0" t="str">
        <f aca="false">IF(D724=E724,"-",IF(D724&gt;E724,B724,C724))</f>
        <v>Peru</v>
      </c>
      <c r="H724" s="0" t="str">
        <f aca="false">IF(D724=E724,"-",IF(D724&lt;E724,B724,C724))</f>
        <v>Colombia</v>
      </c>
    </row>
    <row r="725" customFormat="false" ht="15" hidden="false" customHeight="false" outlineLevel="0" collapsed="false">
      <c r="A725" s="11" t="n">
        <v>40740</v>
      </c>
      <c r="B725" s="0" t="s">
        <v>2</v>
      </c>
      <c r="C725" s="0" t="s">
        <v>16</v>
      </c>
      <c r="D725" s="0" t="n">
        <v>1</v>
      </c>
      <c r="E725" s="0" t="n">
        <v>1</v>
      </c>
      <c r="F725" s="0" t="n">
        <v>43</v>
      </c>
      <c r="G725" s="0" t="str">
        <f aca="false">IF(D725=E725,"-",IF(D725&gt;E725,B725,C725))</f>
        <v>-</v>
      </c>
      <c r="H725" s="0" t="str">
        <f aca="false">IF(D725=E725,"-",IF(D725&lt;E725,B725,C725))</f>
        <v>-</v>
      </c>
    </row>
    <row r="726" customFormat="false" ht="15" hidden="false" customHeight="false" outlineLevel="0" collapsed="false">
      <c r="A726" s="11" t="n">
        <v>40741</v>
      </c>
      <c r="B726" s="0" t="s">
        <v>13</v>
      </c>
      <c r="C726" s="0" t="s">
        <v>4</v>
      </c>
      <c r="D726" s="0" t="n">
        <v>0</v>
      </c>
      <c r="E726" s="0" t="n">
        <v>0</v>
      </c>
      <c r="F726" s="0" t="n">
        <v>43</v>
      </c>
      <c r="G726" s="0" t="str">
        <f aca="false">IF(D726=E726,"-",IF(D726&gt;E726,B726,C726))</f>
        <v>-</v>
      </c>
      <c r="H726" s="0" t="str">
        <f aca="false">IF(D726=E726,"-",IF(D726&lt;E726,B726,C726))</f>
        <v>-</v>
      </c>
    </row>
    <row r="727" customFormat="false" ht="15" hidden="false" customHeight="false" outlineLevel="0" collapsed="false">
      <c r="A727" s="11" t="n">
        <v>40741</v>
      </c>
      <c r="B727" s="0" t="s">
        <v>5</v>
      </c>
      <c r="C727" s="0" t="s">
        <v>18</v>
      </c>
      <c r="D727" s="0" t="n">
        <v>1</v>
      </c>
      <c r="E727" s="0" t="n">
        <v>2</v>
      </c>
      <c r="F727" s="0" t="n">
        <v>43</v>
      </c>
      <c r="G727" s="0" t="str">
        <f aca="false">IF(D727=E727,"-",IF(D727&gt;E727,B727,C727))</f>
        <v>Venezuela</v>
      </c>
      <c r="H727" s="0" t="str">
        <f aca="false">IF(D727=E727,"-",IF(D727&lt;E727,B727,C727))</f>
        <v>Chile</v>
      </c>
    </row>
    <row r="728" customFormat="false" ht="15" hidden="false" customHeight="false" outlineLevel="0" collapsed="false">
      <c r="A728" s="11" t="n">
        <v>40743</v>
      </c>
      <c r="B728" s="0" t="s">
        <v>14</v>
      </c>
      <c r="C728" s="0" t="s">
        <v>16</v>
      </c>
      <c r="D728" s="0" t="n">
        <v>0</v>
      </c>
      <c r="E728" s="0" t="n">
        <v>2</v>
      </c>
      <c r="F728" s="0" t="n">
        <v>43</v>
      </c>
      <c r="G728" s="0" t="str">
        <f aca="false">IF(D728=E728,"-",IF(D728&gt;E728,B728,C728))</f>
        <v>Uruguay</v>
      </c>
      <c r="H728" s="0" t="str">
        <f aca="false">IF(D728=E728,"-",IF(D728&lt;E728,B728,C728))</f>
        <v>Peru</v>
      </c>
    </row>
    <row r="729" customFormat="false" ht="15" hidden="false" customHeight="false" outlineLevel="0" collapsed="false">
      <c r="A729" s="11" t="n">
        <v>40744</v>
      </c>
      <c r="B729" s="0" t="s">
        <v>13</v>
      </c>
      <c r="C729" s="0" t="s">
        <v>18</v>
      </c>
      <c r="D729" s="0" t="n">
        <v>0</v>
      </c>
      <c r="E729" s="0" t="n">
        <v>0</v>
      </c>
      <c r="F729" s="0" t="n">
        <v>43</v>
      </c>
      <c r="G729" s="0" t="str">
        <f aca="false">IF(D729=E729,"-",IF(D729&gt;E729,B729,C729))</f>
        <v>-</v>
      </c>
      <c r="H729" s="0" t="str">
        <f aca="false">IF(D729=E729,"-",IF(D729&lt;E729,B729,C729))</f>
        <v>-</v>
      </c>
    </row>
    <row r="730" customFormat="false" ht="15" hidden="false" customHeight="false" outlineLevel="0" collapsed="false">
      <c r="A730" s="11" t="n">
        <v>40747</v>
      </c>
      <c r="B730" s="0" t="s">
        <v>14</v>
      </c>
      <c r="C730" s="0" t="s">
        <v>18</v>
      </c>
      <c r="D730" s="0" t="n">
        <v>4</v>
      </c>
      <c r="E730" s="0" t="n">
        <v>1</v>
      </c>
      <c r="F730" s="0" t="n">
        <v>43</v>
      </c>
      <c r="G730" s="0" t="str">
        <f aca="false">IF(D730=E730,"-",IF(D730&gt;E730,B730,C730))</f>
        <v>Peru</v>
      </c>
      <c r="H730" s="0" t="str">
        <f aca="false">IF(D730=E730,"-",IF(D730&lt;E730,B730,C730))</f>
        <v>Venezuela</v>
      </c>
    </row>
    <row r="731" customFormat="false" ht="15" hidden="false" customHeight="false" outlineLevel="0" collapsed="false">
      <c r="A731" s="11" t="n">
        <v>40748</v>
      </c>
      <c r="B731" s="0" t="s">
        <v>13</v>
      </c>
      <c r="C731" s="0" t="s">
        <v>16</v>
      </c>
      <c r="D731" s="0" t="n">
        <v>0</v>
      </c>
      <c r="E731" s="0" t="n">
        <v>3</v>
      </c>
      <c r="F731" s="0" t="n">
        <v>43</v>
      </c>
      <c r="G731" s="0" t="str">
        <f aca="false">IF(D731=E731,"-",IF(D731&gt;E731,B731,C731))</f>
        <v>Uruguay</v>
      </c>
      <c r="H731" s="0" t="str">
        <f aca="false">IF(D731=E731,"-",IF(D731&lt;E731,B731,C731))</f>
        <v>Paraguay</v>
      </c>
    </row>
    <row r="732" customFormat="false" ht="15" hidden="false" customHeight="false" outlineLevel="0" collapsed="false">
      <c r="A732" s="11" t="n">
        <v>42166</v>
      </c>
      <c r="B732" s="0" t="s">
        <v>5</v>
      </c>
      <c r="C732" s="0" t="s">
        <v>8</v>
      </c>
      <c r="D732" s="0" t="n">
        <v>2</v>
      </c>
      <c r="E732" s="0" t="n">
        <v>0</v>
      </c>
      <c r="F732" s="0" t="n">
        <v>44</v>
      </c>
      <c r="G732" s="0" t="str">
        <f aca="false">IF(D732=E732,"-",IF(D732&gt;E732,B732,C732))</f>
        <v>Chile</v>
      </c>
      <c r="H732" s="0" t="str">
        <f aca="false">IF(D732=E732,"-",IF(D732&lt;E732,B732,C732))</f>
        <v>Ecuador</v>
      </c>
    </row>
    <row r="733" customFormat="false" ht="15" hidden="false" customHeight="false" outlineLevel="0" collapsed="false">
      <c r="A733" s="11" t="n">
        <v>42167</v>
      </c>
      <c r="B733" s="0" t="s">
        <v>3</v>
      </c>
      <c r="C733" s="0" t="s">
        <v>12</v>
      </c>
      <c r="D733" s="0" t="n">
        <v>0</v>
      </c>
      <c r="E733" s="0" t="n">
        <v>0</v>
      </c>
      <c r="F733" s="0" t="n">
        <v>44</v>
      </c>
      <c r="G733" s="0" t="str">
        <f aca="false">IF(D733=E733,"-",IF(D733&gt;E733,B733,C733))</f>
        <v>-</v>
      </c>
      <c r="H733" s="0" t="str">
        <f aca="false">IF(D733=E733,"-",IF(D733&lt;E733,B733,C733))</f>
        <v>-</v>
      </c>
    </row>
    <row r="734" customFormat="false" ht="15" hidden="false" customHeight="false" outlineLevel="0" collapsed="false">
      <c r="A734" s="11" t="n">
        <v>42168</v>
      </c>
      <c r="B734" s="0" t="s">
        <v>16</v>
      </c>
      <c r="C734" s="0" t="s">
        <v>10</v>
      </c>
      <c r="D734" s="0" t="n">
        <v>1</v>
      </c>
      <c r="E734" s="0" t="n">
        <v>0</v>
      </c>
      <c r="F734" s="0" t="n">
        <v>44</v>
      </c>
      <c r="G734" s="0" t="str">
        <f aca="false">IF(D734=E734,"-",IF(D734&gt;E734,B734,C734))</f>
        <v>Uruguay</v>
      </c>
      <c r="H734" s="0" t="str">
        <f aca="false">IF(D734=E734,"-",IF(D734&lt;E734,B734,C734))</f>
        <v>Jamaica</v>
      </c>
    </row>
    <row r="735" customFormat="false" ht="15" hidden="false" customHeight="false" outlineLevel="0" collapsed="false">
      <c r="A735" s="11" t="n">
        <v>42168</v>
      </c>
      <c r="B735" s="0" t="s">
        <v>2</v>
      </c>
      <c r="C735" s="0" t="s">
        <v>13</v>
      </c>
      <c r="D735" s="0" t="n">
        <v>2</v>
      </c>
      <c r="E735" s="0" t="n">
        <v>2</v>
      </c>
      <c r="F735" s="0" t="n">
        <v>44</v>
      </c>
      <c r="G735" s="0" t="str">
        <f aca="false">IF(D735=E735,"-",IF(D735&gt;E735,B735,C735))</f>
        <v>-</v>
      </c>
      <c r="H735" s="0" t="str">
        <f aca="false">IF(D735=E735,"-",IF(D735&lt;E735,B735,C735))</f>
        <v>-</v>
      </c>
    </row>
    <row r="736" customFormat="false" ht="15" hidden="false" customHeight="false" outlineLevel="0" collapsed="false">
      <c r="A736" s="11" t="n">
        <v>42169</v>
      </c>
      <c r="B736" s="0" t="s">
        <v>14</v>
      </c>
      <c r="C736" s="0" t="s">
        <v>4</v>
      </c>
      <c r="D736" s="0" t="n">
        <v>1</v>
      </c>
      <c r="E736" s="0" t="n">
        <v>2</v>
      </c>
      <c r="F736" s="0" t="n">
        <v>44</v>
      </c>
      <c r="G736" s="0" t="str">
        <f aca="false">IF(D736=E736,"-",IF(D736&gt;E736,B736,C736))</f>
        <v>Brazil</v>
      </c>
      <c r="H736" s="0" t="str">
        <f aca="false">IF(D736=E736,"-",IF(D736&lt;E736,B736,C736))</f>
        <v>Peru</v>
      </c>
    </row>
    <row r="737" customFormat="false" ht="15" hidden="false" customHeight="false" outlineLevel="0" collapsed="false">
      <c r="A737" s="11" t="n">
        <v>42169</v>
      </c>
      <c r="B737" s="0" t="s">
        <v>6</v>
      </c>
      <c r="C737" s="0" t="s">
        <v>18</v>
      </c>
      <c r="D737" s="0" t="n">
        <v>0</v>
      </c>
      <c r="E737" s="0" t="n">
        <v>1</v>
      </c>
      <c r="F737" s="0" t="n">
        <v>44</v>
      </c>
      <c r="G737" s="0" t="str">
        <f aca="false">IF(D737=E737,"-",IF(D737&gt;E737,B737,C737))</f>
        <v>Venezuela</v>
      </c>
      <c r="H737" s="0" t="str">
        <f aca="false">IF(D737=E737,"-",IF(D737&lt;E737,B737,C737))</f>
        <v>Colombia</v>
      </c>
    </row>
    <row r="738" customFormat="false" ht="15" hidden="false" customHeight="false" outlineLevel="0" collapsed="false">
      <c r="A738" s="11" t="n">
        <v>42170</v>
      </c>
      <c r="B738" s="0" t="s">
        <v>5</v>
      </c>
      <c r="C738" s="0" t="s">
        <v>12</v>
      </c>
      <c r="D738" s="0" t="n">
        <v>3</v>
      </c>
      <c r="E738" s="0" t="n">
        <v>3</v>
      </c>
      <c r="F738" s="0" t="n">
        <v>44</v>
      </c>
      <c r="G738" s="0" t="str">
        <f aca="false">IF(D738=E738,"-",IF(D738&gt;E738,B738,C738))</f>
        <v>-</v>
      </c>
      <c r="H738" s="0" t="str">
        <f aca="false">IF(D738=E738,"-",IF(D738&lt;E738,B738,C738))</f>
        <v>-</v>
      </c>
    </row>
    <row r="739" customFormat="false" ht="15" hidden="false" customHeight="false" outlineLevel="0" collapsed="false">
      <c r="A739" s="11" t="n">
        <v>42170</v>
      </c>
      <c r="B739" s="0" t="s">
        <v>3</v>
      </c>
      <c r="C739" s="0" t="s">
        <v>8</v>
      </c>
      <c r="D739" s="0" t="n">
        <v>3</v>
      </c>
      <c r="E739" s="0" t="n">
        <v>2</v>
      </c>
      <c r="F739" s="0" t="n">
        <v>44</v>
      </c>
      <c r="G739" s="0" t="str">
        <f aca="false">IF(D739=E739,"-",IF(D739&gt;E739,B739,C739))</f>
        <v>Bolivia</v>
      </c>
      <c r="H739" s="0" t="str">
        <f aca="false">IF(D739=E739,"-",IF(D739&lt;E739,B739,C739))</f>
        <v>Ecuador</v>
      </c>
    </row>
    <row r="740" customFormat="false" ht="15" hidden="false" customHeight="false" outlineLevel="0" collapsed="false">
      <c r="A740" s="11" t="n">
        <v>42171</v>
      </c>
      <c r="B740" s="0" t="s">
        <v>2</v>
      </c>
      <c r="C740" s="0" t="s">
        <v>16</v>
      </c>
      <c r="D740" s="0" t="n">
        <v>1</v>
      </c>
      <c r="E740" s="0" t="n">
        <v>0</v>
      </c>
      <c r="F740" s="0" t="n">
        <v>44</v>
      </c>
      <c r="G740" s="0" t="str">
        <f aca="false">IF(D740=E740,"-",IF(D740&gt;E740,B740,C740))</f>
        <v>Argentina</v>
      </c>
      <c r="H740" s="0" t="str">
        <f aca="false">IF(D740=E740,"-",IF(D740&lt;E740,B740,C740))</f>
        <v>Uruguay</v>
      </c>
    </row>
    <row r="741" customFormat="false" ht="15" hidden="false" customHeight="false" outlineLevel="0" collapsed="false">
      <c r="A741" s="11" t="n">
        <v>42171</v>
      </c>
      <c r="B741" s="0" t="s">
        <v>13</v>
      </c>
      <c r="C741" s="0" t="s">
        <v>10</v>
      </c>
      <c r="D741" s="0" t="n">
        <v>1</v>
      </c>
      <c r="E741" s="0" t="n">
        <v>0</v>
      </c>
      <c r="F741" s="0" t="n">
        <v>44</v>
      </c>
      <c r="G741" s="0" t="str">
        <f aca="false">IF(D741=E741,"-",IF(D741&gt;E741,B741,C741))</f>
        <v>Paraguay</v>
      </c>
      <c r="H741" s="0" t="str">
        <f aca="false">IF(D741=E741,"-",IF(D741&lt;E741,B741,C741))</f>
        <v>Jamaica</v>
      </c>
    </row>
    <row r="742" customFormat="false" ht="15" hidden="false" customHeight="false" outlineLevel="0" collapsed="false">
      <c r="A742" s="11" t="n">
        <v>42172</v>
      </c>
      <c r="B742" s="0" t="s">
        <v>6</v>
      </c>
      <c r="C742" s="0" t="s">
        <v>4</v>
      </c>
      <c r="D742" s="0" t="n">
        <v>1</v>
      </c>
      <c r="E742" s="0" t="n">
        <v>0</v>
      </c>
      <c r="F742" s="0" t="n">
        <v>44</v>
      </c>
      <c r="G742" s="0" t="str">
        <f aca="false">IF(D742=E742,"-",IF(D742&gt;E742,B742,C742))</f>
        <v>Colombia</v>
      </c>
      <c r="H742" s="0" t="str">
        <f aca="false">IF(D742=E742,"-",IF(D742&lt;E742,B742,C742))</f>
        <v>Brazil</v>
      </c>
    </row>
    <row r="743" customFormat="false" ht="15" hidden="false" customHeight="false" outlineLevel="0" collapsed="false">
      <c r="A743" s="11" t="n">
        <v>42173</v>
      </c>
      <c r="B743" s="0" t="s">
        <v>14</v>
      </c>
      <c r="C743" s="0" t="s">
        <v>18</v>
      </c>
      <c r="D743" s="0" t="n">
        <v>1</v>
      </c>
      <c r="E743" s="0" t="n">
        <v>0</v>
      </c>
      <c r="F743" s="0" t="n">
        <v>44</v>
      </c>
      <c r="G743" s="0" t="str">
        <f aca="false">IF(D743=E743,"-",IF(D743&gt;E743,B743,C743))</f>
        <v>Peru</v>
      </c>
      <c r="H743" s="0" t="str">
        <f aca="false">IF(D743=E743,"-",IF(D743&lt;E743,B743,C743))</f>
        <v>Venezuela</v>
      </c>
    </row>
    <row r="744" customFormat="false" ht="15" hidden="false" customHeight="false" outlineLevel="0" collapsed="false">
      <c r="A744" s="11" t="n">
        <v>42174</v>
      </c>
      <c r="B744" s="0" t="s">
        <v>3</v>
      </c>
      <c r="C744" s="0" t="s">
        <v>5</v>
      </c>
      <c r="D744" s="0" t="n">
        <v>0</v>
      </c>
      <c r="E744" s="0" t="n">
        <v>5</v>
      </c>
      <c r="F744" s="0" t="n">
        <v>44</v>
      </c>
      <c r="G744" s="0" t="str">
        <f aca="false">IF(D744=E744,"-",IF(D744&gt;E744,B744,C744))</f>
        <v>Chile</v>
      </c>
      <c r="H744" s="0" t="str">
        <f aca="false">IF(D744=E744,"-",IF(D744&lt;E744,B744,C744))</f>
        <v>Bolivia</v>
      </c>
    </row>
    <row r="745" customFormat="false" ht="15" hidden="false" customHeight="false" outlineLevel="0" collapsed="false">
      <c r="A745" s="11" t="n">
        <v>42174</v>
      </c>
      <c r="B745" s="0" t="s">
        <v>8</v>
      </c>
      <c r="C745" s="0" t="s">
        <v>12</v>
      </c>
      <c r="D745" s="0" t="n">
        <v>1</v>
      </c>
      <c r="E745" s="0" t="n">
        <v>2</v>
      </c>
      <c r="F745" s="0" t="n">
        <v>44</v>
      </c>
      <c r="G745" s="0" t="str">
        <f aca="false">IF(D745=E745,"-",IF(D745&gt;E745,B745,C745))</f>
        <v>México</v>
      </c>
      <c r="H745" s="0" t="str">
        <f aca="false">IF(D745=E745,"-",IF(D745&lt;E745,B745,C745))</f>
        <v>Ecuador</v>
      </c>
    </row>
    <row r="746" customFormat="false" ht="15" hidden="false" customHeight="false" outlineLevel="0" collapsed="false">
      <c r="A746" s="11" t="n">
        <v>42175</v>
      </c>
      <c r="B746" s="0" t="s">
        <v>2</v>
      </c>
      <c r="C746" s="0" t="s">
        <v>10</v>
      </c>
      <c r="D746" s="0" t="n">
        <v>1</v>
      </c>
      <c r="E746" s="0" t="n">
        <v>0</v>
      </c>
      <c r="F746" s="0" t="n">
        <v>44</v>
      </c>
      <c r="G746" s="0" t="str">
        <f aca="false">IF(D746=E746,"-",IF(D746&gt;E746,B746,C746))</f>
        <v>Argentina</v>
      </c>
      <c r="H746" s="0" t="str">
        <f aca="false">IF(D746=E746,"-",IF(D746&lt;E746,B746,C746))</f>
        <v>Jamaica</v>
      </c>
    </row>
    <row r="747" customFormat="false" ht="15" hidden="false" customHeight="false" outlineLevel="0" collapsed="false">
      <c r="A747" s="11" t="n">
        <v>42175</v>
      </c>
      <c r="B747" s="0" t="s">
        <v>13</v>
      </c>
      <c r="C747" s="0" t="s">
        <v>16</v>
      </c>
      <c r="D747" s="0" t="n">
        <v>1</v>
      </c>
      <c r="E747" s="0" t="n">
        <v>1</v>
      </c>
      <c r="F747" s="0" t="n">
        <v>44</v>
      </c>
      <c r="G747" s="0" t="str">
        <f aca="false">IF(D747=E747,"-",IF(D747&gt;E747,B747,C747))</f>
        <v>-</v>
      </c>
      <c r="H747" s="0" t="str">
        <f aca="false">IF(D747=E747,"-",IF(D747&lt;E747,B747,C747))</f>
        <v>-</v>
      </c>
    </row>
  </sheetData>
  <autoFilter ref="A1:H747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9" min="5" style="0" width="10.5344129554656"/>
    <col collapsed="false" hidden="false" max="10" min="10" style="0" width="27.8097165991903"/>
    <col collapsed="false" hidden="false" max="1025" min="11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5</v>
      </c>
      <c r="B2" s="0" t="s">
        <v>16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4</v>
      </c>
      <c r="B3" s="0" t="s">
        <v>16</v>
      </c>
      <c r="D3" s="12" t="s">
        <v>2</v>
      </c>
      <c r="E3" s="0" t="n">
        <f aca="false">COUNTIF($A$2:$A$200,D3)</f>
        <v>0</v>
      </c>
      <c r="F3" s="0" t="n">
        <f aca="false">COUNTIF($B$2:$B$200,D3)</f>
        <v>0</v>
      </c>
      <c r="G3" s="0" t="n">
        <f aca="false">E3-F3</f>
        <v>0</v>
      </c>
      <c r="H3" s="0" t="str">
        <f aca="false">IF(G3&gt;0,D3,"")</f>
        <v/>
      </c>
      <c r="I3" s="0" t="str">
        <f aca="false">IF(G3&lt;0,D3,"")</f>
        <v/>
      </c>
    </row>
    <row r="4" customFormat="false" ht="13.8" hidden="false" customHeight="false" outlineLevel="0" collapsed="false">
      <c r="A4" s="0" t="s">
        <v>5</v>
      </c>
      <c r="B4" s="0" t="s">
        <v>4</v>
      </c>
      <c r="D4" s="12" t="s">
        <v>3</v>
      </c>
      <c r="E4" s="0" t="n">
        <f aca="false">COUNTIF($A$2:$A$200,D4)</f>
        <v>10</v>
      </c>
      <c r="F4" s="0" t="n">
        <f aca="false">COUNTIF($B$2:$B$200,D4)</f>
        <v>2</v>
      </c>
      <c r="G4" s="0" t="n">
        <f aca="false">E4-F4</f>
        <v>8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5</v>
      </c>
      <c r="B5" s="0" t="s">
        <v>16</v>
      </c>
      <c r="D5" s="12" t="s">
        <v>4</v>
      </c>
      <c r="E5" s="0" t="n">
        <f aca="false">COUNTIF($A$2:$A$200,D5)</f>
        <v>15</v>
      </c>
      <c r="F5" s="0" t="n">
        <f aca="false">COUNTIF($B$2:$B$200,D5)</f>
        <v>9</v>
      </c>
      <c r="G5" s="0" t="n">
        <f aca="false">E5-F5</f>
        <v>6</v>
      </c>
      <c r="H5" s="0" t="str">
        <f aca="false">IF(G5&gt;0,D5,"")</f>
        <v>Brazil</v>
      </c>
      <c r="I5" s="0" t="str">
        <f aca="false">IF(G5&lt;0,D5,"")</f>
        <v/>
      </c>
    </row>
    <row r="6" customFormat="false" ht="13.8" hidden="false" customHeight="false" outlineLevel="0" collapsed="false">
      <c r="A6" s="0" t="s">
        <v>4</v>
      </c>
      <c r="B6" s="0" t="s">
        <v>4</v>
      </c>
      <c r="D6" s="12" t="s">
        <v>5</v>
      </c>
      <c r="E6" s="0" t="n">
        <f aca="false">COUNTIF($A$2:$A$200,D6)</f>
        <v>18</v>
      </c>
      <c r="F6" s="0" t="n">
        <f aca="false">COUNTIF($B$2:$B$200,D6)</f>
        <v>0</v>
      </c>
      <c r="G6" s="0" t="n">
        <f aca="false">E6-F6</f>
        <v>18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4</v>
      </c>
      <c r="B7" s="0" t="s">
        <v>16</v>
      </c>
      <c r="D7" s="12" t="s">
        <v>6</v>
      </c>
      <c r="E7" s="0" t="n">
        <f aca="false">COUNTIF($A$2:$A$200,D7)</f>
        <v>7</v>
      </c>
      <c r="F7" s="0" t="n">
        <f aca="false">COUNTIF($B$2:$B$200,D7)</f>
        <v>2</v>
      </c>
      <c r="G7" s="0" t="n">
        <f aca="false">E7-F7</f>
        <v>5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13</v>
      </c>
      <c r="B8" s="0" t="s">
        <v>16</v>
      </c>
      <c r="D8" s="12" t="s">
        <v>7</v>
      </c>
      <c r="E8" s="0" t="n">
        <f aca="false">COUNTIF($A$2:$A$200,D8)</f>
        <v>1</v>
      </c>
      <c r="F8" s="0" t="n">
        <f aca="false">COUNTIF($B$2:$B$200,D8)</f>
        <v>0</v>
      </c>
      <c r="G8" s="0" t="n">
        <f aca="false">E8-F8</f>
        <v>1</v>
      </c>
      <c r="H8" s="0" t="str">
        <f aca="false">IF(G8&gt;0,D8,"")</f>
        <v>Costa Rica</v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16</v>
      </c>
      <c r="B9" s="0" t="s">
        <v>16</v>
      </c>
      <c r="D9" s="12" t="s">
        <v>8</v>
      </c>
      <c r="E9" s="0" t="n">
        <f aca="false">COUNTIF($A$2:$A$200,D9)</f>
        <v>10</v>
      </c>
      <c r="F9" s="0" t="n">
        <f aca="false">COUNTIF($B$2:$B$200,D9)</f>
        <v>0</v>
      </c>
      <c r="G9" s="0" t="n">
        <f aca="false">E9-F9</f>
        <v>10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5</v>
      </c>
      <c r="B10" s="0" t="s">
        <v>16</v>
      </c>
      <c r="D10" s="12" t="s">
        <v>9</v>
      </c>
      <c r="E10" s="0" t="n">
        <f aca="false">COUNTIF($A$2:$A$200,D10)</f>
        <v>0</v>
      </c>
      <c r="F10" s="0" t="n">
        <f aca="false">COUNTIF($B$2:$B$200,D10)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13</v>
      </c>
      <c r="B11" s="0" t="s">
        <v>16</v>
      </c>
      <c r="D11" s="12" t="s">
        <v>10</v>
      </c>
      <c r="E11" s="0" t="n">
        <f aca="false">COUNTIF($A$2:$A$200,D11)</f>
        <v>1</v>
      </c>
      <c r="F11" s="0" t="n">
        <f aca="false">COUNTIF($B$2:$B$200,D11)</f>
        <v>0</v>
      </c>
      <c r="G11" s="0" t="n">
        <f aca="false">E11-F11</f>
        <v>1</v>
      </c>
      <c r="H11" s="0" t="str">
        <f aca="false">IF(G11&gt;0,D11,"")</f>
        <v>Jamaica</v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13</v>
      </c>
      <c r="B12" s="0" t="s">
        <v>4</v>
      </c>
      <c r="D12" s="12" t="s">
        <v>11</v>
      </c>
      <c r="E12" s="0" t="n">
        <f aca="false">COUNTIF($A$2:$A$200,D12)</f>
        <v>0</v>
      </c>
      <c r="F12" s="0" t="n">
        <f aca="false">COUNTIF($B$2:$B$200,D12)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4</v>
      </c>
      <c r="B13" s="0" t="s">
        <v>16</v>
      </c>
      <c r="D13" s="12" t="s">
        <v>12</v>
      </c>
      <c r="E13" s="0" t="n">
        <f aca="false">COUNTIF($A$2:$A$200,D13)</f>
        <v>2</v>
      </c>
      <c r="F13" s="0" t="n">
        <f aca="false">COUNTIF($B$2:$B$200,D13)</f>
        <v>1</v>
      </c>
      <c r="G13" s="0" t="n">
        <f aca="false">E13-F13</f>
        <v>1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5</v>
      </c>
      <c r="B14" s="0" t="s">
        <v>14</v>
      </c>
      <c r="D14" s="12" t="s">
        <v>13</v>
      </c>
      <c r="E14" s="0" t="n">
        <f aca="false">COUNTIF($A$2:$A$200,D14)</f>
        <v>18</v>
      </c>
      <c r="F14" s="0" t="n">
        <f aca="false">COUNTIF($B$2:$B$200,D14)</f>
        <v>0</v>
      </c>
      <c r="G14" s="0" t="n">
        <f aca="false">E14-F14</f>
        <v>18</v>
      </c>
      <c r="H14" s="0" t="str">
        <f aca="false">IF(G14&gt;0,D14,"")</f>
        <v>Paraguay</v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13</v>
      </c>
      <c r="B15" s="0" t="s">
        <v>16</v>
      </c>
      <c r="D15" s="12" t="s">
        <v>14</v>
      </c>
      <c r="E15" s="0" t="n">
        <f aca="false">COUNTIF($A$2:$A$200,D15)</f>
        <v>12</v>
      </c>
      <c r="F15" s="0" t="n">
        <f aca="false">COUNTIF($B$2:$B$200,D15)</f>
        <v>3</v>
      </c>
      <c r="G15" s="0" t="n">
        <f aca="false">E15-F15</f>
        <v>9</v>
      </c>
      <c r="H15" s="0" t="str">
        <f aca="false">IF(G15&gt;0,D15,"")</f>
        <v>Peru</v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4</v>
      </c>
      <c r="B16" s="0" t="s">
        <v>14</v>
      </c>
      <c r="D16" s="12" t="s">
        <v>15</v>
      </c>
      <c r="E16" s="0" t="n">
        <v>1</v>
      </c>
      <c r="F16" s="0" t="n">
        <v>1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13</v>
      </c>
      <c r="B17" s="0" t="s">
        <v>3</v>
      </c>
      <c r="D17" s="12" t="s">
        <v>16</v>
      </c>
      <c r="E17" s="0" t="n">
        <f aca="false">COUNTIF($A$2:$A$200,D17)</f>
        <v>14</v>
      </c>
      <c r="F17" s="0" t="n">
        <f aca="false">COUNTIF($B$2:$B$200,D17)</f>
        <v>13</v>
      </c>
      <c r="G17" s="0" t="n">
        <f aca="false">E17-F17</f>
        <v>1</v>
      </c>
      <c r="H17" s="0" t="str">
        <f aca="false">IF(G17&gt;0,D17,"")</f>
        <v>Uruguay</v>
      </c>
      <c r="I17" s="0" t="str">
        <f aca="false">IF(G17&lt;0,D17,"")</f>
        <v/>
      </c>
    </row>
    <row r="18" customFormat="false" ht="13.8" hidden="false" customHeight="false" outlineLevel="0" collapsed="false">
      <c r="A18" s="0" t="s">
        <v>3</v>
      </c>
      <c r="B18" s="0" t="s">
        <v>16</v>
      </c>
      <c r="D18" s="12" t="s">
        <v>18</v>
      </c>
      <c r="E18" s="0" t="n">
        <f aca="false">COUNTIF($A$2:$A$200,D18)</f>
        <v>4</v>
      </c>
      <c r="F18" s="0" t="n">
        <f aca="false">COUNTIF($B$2:$B$200,D18)</f>
        <v>0</v>
      </c>
      <c r="G18" s="0" t="n">
        <f aca="false">E18-F18</f>
        <v>4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13</v>
      </c>
      <c r="B19" s="0" t="s">
        <v>4</v>
      </c>
    </row>
    <row r="20" customFormat="false" ht="13.8" hidden="false" customHeight="false" outlineLevel="0" collapsed="false">
      <c r="A20" s="0" t="s">
        <v>3</v>
      </c>
      <c r="B20" s="0" t="s">
        <v>4</v>
      </c>
    </row>
    <row r="21" customFormat="false" ht="13.8" hidden="false" customHeight="false" outlineLevel="0" collapsed="false">
      <c r="A21" s="0" t="s">
        <v>16</v>
      </c>
      <c r="B21" s="0" t="s">
        <v>3</v>
      </c>
    </row>
    <row r="22" customFormat="false" ht="13.8" hidden="false" customHeight="false" outlineLevel="0" collapsed="false">
      <c r="A22" s="0" t="s">
        <v>14</v>
      </c>
      <c r="B22" s="0" t="s">
        <v>4</v>
      </c>
    </row>
    <row r="23" customFormat="false" ht="13.8" hidden="false" customHeight="false" outlineLevel="0" collapsed="false">
      <c r="A23" s="0" t="s">
        <v>14</v>
      </c>
      <c r="B23" s="0" t="s">
        <v>16</v>
      </c>
    </row>
    <row r="24" customFormat="false" ht="13.8" hidden="false" customHeight="false" outlineLevel="0" collapsed="false">
      <c r="A24" s="0" t="s">
        <v>13</v>
      </c>
      <c r="B24" s="0" t="s">
        <v>6</v>
      </c>
    </row>
    <row r="25" customFormat="false" ht="13.8" hidden="false" customHeight="false" outlineLevel="0" collapsed="false">
      <c r="A25" s="0" t="s">
        <v>16</v>
      </c>
      <c r="B25" s="0" t="s">
        <v>4</v>
      </c>
    </row>
    <row r="26" customFormat="false" ht="13.8" hidden="false" customHeight="false" outlineLevel="0" collapsed="false">
      <c r="A26" s="0" t="s">
        <v>5</v>
      </c>
      <c r="B26" s="0" t="s">
        <v>16</v>
      </c>
    </row>
    <row r="27" customFormat="false" ht="13.8" hidden="false" customHeight="false" outlineLevel="0" collapsed="false">
      <c r="A27" s="0" t="s">
        <v>14</v>
      </c>
      <c r="B27" s="0" t="s">
        <v>164</v>
      </c>
    </row>
    <row r="28" customFormat="false" ht="13.8" hidden="false" customHeight="false" outlineLevel="0" collapsed="false">
      <c r="A28" s="0" t="s">
        <v>5</v>
      </c>
      <c r="B28" s="0" t="s">
        <v>14</v>
      </c>
    </row>
    <row r="29" customFormat="false" ht="13.8" hidden="false" customHeight="false" outlineLevel="0" collapsed="false">
      <c r="A29" s="0" t="s">
        <v>13</v>
      </c>
      <c r="B29" s="0" t="s">
        <v>6</v>
      </c>
    </row>
    <row r="30" customFormat="false" ht="13.8" hidden="false" customHeight="false" outlineLevel="0" collapsed="false">
      <c r="A30" s="0" t="s">
        <v>14</v>
      </c>
      <c r="B30" s="0" t="s">
        <v>4</v>
      </c>
    </row>
    <row r="31" customFormat="false" ht="13.8" hidden="false" customHeight="false" outlineLevel="0" collapsed="false">
      <c r="A31" s="0" t="s">
        <v>4</v>
      </c>
      <c r="B31" s="0" t="s">
        <v>12</v>
      </c>
    </row>
    <row r="32" customFormat="false" ht="13.8" hidden="false" customHeight="false" outlineLevel="0" collapsed="false">
      <c r="A32" s="0" t="s">
        <v>4</v>
      </c>
      <c r="B32" s="0" t="s">
        <v>4</v>
      </c>
    </row>
    <row r="33" customFormat="false" ht="13.8" hidden="false" customHeight="false" outlineLevel="0" collapsed="false">
      <c r="A33" s="0" t="s">
        <v>14</v>
      </c>
    </row>
    <row r="34" customFormat="false" ht="13.8" hidden="false" customHeight="false" outlineLevel="0" collapsed="false">
      <c r="A34" s="0" t="s">
        <v>8</v>
      </c>
    </row>
    <row r="35" customFormat="false" ht="13.8" hidden="false" customHeight="false" outlineLevel="0" collapsed="false">
      <c r="A35" s="0" t="s">
        <v>16</v>
      </c>
    </row>
    <row r="36" customFormat="false" ht="13.8" hidden="false" customHeight="false" outlineLevel="0" collapsed="false">
      <c r="A36" s="0" t="s">
        <v>5</v>
      </c>
    </row>
    <row r="37" customFormat="false" ht="13.8" hidden="false" customHeight="false" outlineLevel="0" collapsed="false">
      <c r="A37" s="0" t="s">
        <v>13</v>
      </c>
    </row>
    <row r="38" customFormat="false" ht="13.8" hidden="false" customHeight="false" outlineLevel="0" collapsed="false">
      <c r="A38" s="0" t="s">
        <v>4</v>
      </c>
    </row>
    <row r="39" customFormat="false" ht="13.8" hidden="false" customHeight="false" outlineLevel="0" collapsed="false">
      <c r="A39" s="0" t="s">
        <v>8</v>
      </c>
    </row>
    <row r="40" customFormat="false" ht="13.8" hidden="false" customHeight="false" outlineLevel="0" collapsed="false">
      <c r="A40" s="0" t="s">
        <v>14</v>
      </c>
    </row>
    <row r="41" customFormat="false" ht="13.8" hidden="false" customHeight="false" outlineLevel="0" collapsed="false">
      <c r="A41" s="0" t="s">
        <v>3</v>
      </c>
    </row>
    <row r="42" customFormat="false" ht="13.8" hidden="false" customHeight="false" outlineLevel="0" collapsed="false">
      <c r="A42" s="0" t="s">
        <v>8</v>
      </c>
    </row>
    <row r="43" customFormat="false" ht="13.8" hidden="false" customHeight="false" outlineLevel="0" collapsed="false">
      <c r="A43" s="0" t="s">
        <v>6</v>
      </c>
    </row>
    <row r="44" customFormat="false" ht="13.8" hidden="false" customHeight="false" outlineLevel="0" collapsed="false">
      <c r="A44" s="0" t="s">
        <v>4</v>
      </c>
    </row>
    <row r="45" customFormat="false" ht="13.8" hidden="false" customHeight="false" outlineLevel="0" collapsed="false">
      <c r="A45" s="0" t="s">
        <v>16</v>
      </c>
    </row>
    <row r="46" customFormat="false" ht="13.8" hidden="false" customHeight="false" outlineLevel="0" collapsed="false">
      <c r="A46" s="0" t="s">
        <v>13</v>
      </c>
    </row>
    <row r="47" customFormat="false" ht="13.8" hidden="false" customHeight="false" outlineLevel="0" collapsed="false">
      <c r="A47" s="0" t="s">
        <v>3</v>
      </c>
    </row>
    <row r="48" customFormat="false" ht="13.8" hidden="false" customHeight="false" outlineLevel="0" collapsed="false">
      <c r="A48" s="0" t="s">
        <v>5</v>
      </c>
    </row>
    <row r="49" customFormat="false" ht="13.8" hidden="false" customHeight="false" outlineLevel="0" collapsed="false">
      <c r="A49" s="0" t="s">
        <v>16</v>
      </c>
    </row>
    <row r="50" customFormat="false" ht="13.8" hidden="false" customHeight="false" outlineLevel="0" collapsed="false">
      <c r="A50" s="0" t="s">
        <v>4</v>
      </c>
    </row>
    <row r="51" customFormat="false" ht="13.8" hidden="false" customHeight="false" outlineLevel="0" collapsed="false">
      <c r="A51" s="0" t="s">
        <v>13</v>
      </c>
    </row>
    <row r="52" customFormat="false" ht="13.8" hidden="false" customHeight="false" outlineLevel="0" collapsed="false">
      <c r="A52" s="0" t="s">
        <v>3</v>
      </c>
    </row>
    <row r="53" customFormat="false" ht="13.8" hidden="false" customHeight="false" outlineLevel="0" collapsed="false">
      <c r="A53" s="0" t="s">
        <v>14</v>
      </c>
    </row>
    <row r="54" customFormat="false" ht="13.8" hidden="false" customHeight="false" outlineLevel="0" collapsed="false">
      <c r="A54" s="0" t="s">
        <v>6</v>
      </c>
    </row>
    <row r="55" customFormat="false" ht="13.8" hidden="false" customHeight="false" outlineLevel="0" collapsed="false">
      <c r="A55" s="0" t="s">
        <v>8</v>
      </c>
    </row>
    <row r="56" customFormat="false" ht="13.8" hidden="false" customHeight="false" outlineLevel="0" collapsed="false">
      <c r="A56" s="0" t="s">
        <v>16</v>
      </c>
    </row>
    <row r="57" customFormat="false" ht="13.8" hidden="false" customHeight="false" outlineLevel="0" collapsed="false">
      <c r="A57" s="0" t="s">
        <v>13</v>
      </c>
    </row>
    <row r="58" customFormat="false" ht="13.8" hidden="false" customHeight="false" outlineLevel="0" collapsed="false">
      <c r="A58" s="0" t="s">
        <v>8</v>
      </c>
    </row>
    <row r="59" customFormat="false" ht="13.8" hidden="false" customHeight="false" outlineLevel="0" collapsed="false">
      <c r="A59" s="0" t="s">
        <v>16</v>
      </c>
    </row>
    <row r="60" customFormat="false" ht="13.8" hidden="false" customHeight="false" outlineLevel="0" collapsed="false">
      <c r="A60" s="0" t="s">
        <v>5</v>
      </c>
    </row>
    <row r="61" customFormat="false" ht="13.8" hidden="false" customHeight="false" outlineLevel="0" collapsed="false">
      <c r="A61" s="0" t="s">
        <v>14</v>
      </c>
    </row>
    <row r="62" customFormat="false" ht="13.8" hidden="false" customHeight="false" outlineLevel="0" collapsed="false">
      <c r="A62" s="0" t="s">
        <v>5</v>
      </c>
    </row>
    <row r="63" customFormat="false" ht="13.8" hidden="false" customHeight="false" outlineLevel="0" collapsed="false">
      <c r="A63" s="0" t="s">
        <v>13</v>
      </c>
    </row>
    <row r="64" customFormat="false" ht="13.8" hidden="false" customHeight="false" outlineLevel="0" collapsed="false">
      <c r="A64" s="0" t="s">
        <v>6</v>
      </c>
    </row>
    <row r="65" customFormat="false" ht="13.8" hidden="false" customHeight="false" outlineLevel="0" collapsed="false">
      <c r="A65" s="0" t="s">
        <v>8</v>
      </c>
    </row>
    <row r="66" customFormat="false" ht="13.8" hidden="false" customHeight="false" outlineLevel="0" collapsed="false">
      <c r="A66" s="0" t="s">
        <v>16</v>
      </c>
    </row>
    <row r="67" customFormat="false" ht="13.8" hidden="false" customHeight="false" outlineLevel="0" collapsed="false">
      <c r="A67" s="0" t="s">
        <v>5</v>
      </c>
    </row>
    <row r="68" customFormat="false" ht="13.8" hidden="false" customHeight="false" outlineLevel="0" collapsed="false">
      <c r="A68" s="0" t="s">
        <v>4</v>
      </c>
    </row>
    <row r="69" customFormat="false" ht="13.8" hidden="false" customHeight="false" outlineLevel="0" collapsed="false">
      <c r="A69" s="0" t="s">
        <v>5</v>
      </c>
    </row>
    <row r="70" customFormat="false" ht="13.8" hidden="false" customHeight="false" outlineLevel="0" collapsed="false">
      <c r="A70" s="0" t="s">
        <v>3</v>
      </c>
    </row>
    <row r="71" customFormat="false" ht="13.8" hidden="false" customHeight="false" outlineLevel="0" collapsed="false">
      <c r="A71" s="0" t="s">
        <v>14</v>
      </c>
    </row>
    <row r="72" customFormat="false" ht="13.8" hidden="false" customHeight="false" outlineLevel="0" collapsed="false">
      <c r="A72" s="0" t="s">
        <v>13</v>
      </c>
    </row>
    <row r="73" customFormat="false" ht="13.8" hidden="false" customHeight="false" outlineLevel="0" collapsed="false">
      <c r="A73" s="0" t="s">
        <v>16</v>
      </c>
    </row>
    <row r="74" customFormat="false" ht="13.8" hidden="false" customHeight="false" outlineLevel="0" collapsed="false">
      <c r="A74" s="0" t="s">
        <v>13</v>
      </c>
    </row>
    <row r="75" customFormat="false" ht="13.8" hidden="false" customHeight="false" outlineLevel="0" collapsed="false">
      <c r="A75" s="0" t="s">
        <v>4</v>
      </c>
    </row>
    <row r="76" customFormat="false" ht="13.8" hidden="false" customHeight="false" outlineLevel="0" collapsed="false">
      <c r="A76" s="0" t="s">
        <v>6</v>
      </c>
    </row>
    <row r="77" customFormat="false" ht="13.8" hidden="false" customHeight="false" outlineLevel="0" collapsed="false">
      <c r="A77" s="0" t="s">
        <v>8</v>
      </c>
    </row>
    <row r="78" customFormat="false" ht="13.8" hidden="false" customHeight="false" outlineLevel="0" collapsed="false">
      <c r="A78" s="0" t="s">
        <v>4</v>
      </c>
    </row>
    <row r="79" customFormat="false" ht="13.8" hidden="false" customHeight="false" outlineLevel="0" collapsed="false">
      <c r="A79" s="0" t="s">
        <v>13</v>
      </c>
    </row>
    <row r="80" customFormat="false" ht="13.8" hidden="false" customHeight="false" outlineLevel="0" collapsed="false">
      <c r="A80" s="0" t="s">
        <v>3</v>
      </c>
    </row>
    <row r="81" customFormat="false" ht="13.8" hidden="false" customHeight="false" outlineLevel="0" collapsed="false">
      <c r="A81" s="0" t="s">
        <v>18</v>
      </c>
    </row>
    <row r="82" customFormat="false" ht="13.8" hidden="false" customHeight="false" outlineLevel="0" collapsed="false">
      <c r="A82" s="0" t="s">
        <v>5</v>
      </c>
    </row>
    <row r="83" customFormat="false" ht="13.8" hidden="false" customHeight="false" outlineLevel="0" collapsed="false">
      <c r="A83" s="0" t="s">
        <v>18</v>
      </c>
    </row>
    <row r="84" customFormat="false" ht="13.8" hidden="false" customHeight="false" outlineLevel="0" collapsed="false">
      <c r="A84" s="0" t="s">
        <v>18</v>
      </c>
    </row>
    <row r="85" customFormat="false" ht="13.8" hidden="false" customHeight="false" outlineLevel="0" collapsed="false">
      <c r="A85" s="0" t="s">
        <v>3</v>
      </c>
    </row>
    <row r="86" customFormat="false" ht="13.8" hidden="false" customHeight="false" outlineLevel="0" collapsed="false">
      <c r="A86" s="0" t="s">
        <v>4</v>
      </c>
    </row>
    <row r="87" customFormat="false" ht="13.8" hidden="false" customHeight="false" outlineLevel="0" collapsed="false">
      <c r="A87" s="0" t="s">
        <v>8</v>
      </c>
    </row>
    <row r="88" customFormat="false" ht="13.8" hidden="false" customHeight="false" outlineLevel="0" collapsed="false">
      <c r="A88" s="0" t="s">
        <v>5</v>
      </c>
    </row>
    <row r="89" customFormat="false" ht="13.8" hidden="false" customHeight="false" outlineLevel="0" collapsed="false">
      <c r="A89" s="0" t="s">
        <v>16</v>
      </c>
    </row>
    <row r="90" customFormat="false" ht="13.8" hidden="false" customHeight="false" outlineLevel="0" collapsed="false">
      <c r="A90" s="0" t="s">
        <v>18</v>
      </c>
    </row>
    <row r="91" customFormat="false" ht="13.8" hidden="false" customHeight="false" outlineLevel="0" collapsed="false">
      <c r="A91" s="0" t="s">
        <v>5</v>
      </c>
    </row>
    <row r="92" customFormat="false" ht="13.8" hidden="false" customHeight="false" outlineLevel="0" collapsed="false">
      <c r="A92" s="0" t="s">
        <v>13</v>
      </c>
    </row>
    <row r="93" customFormat="false" ht="13.8" hidden="false" customHeight="false" outlineLevel="0" collapsed="false">
      <c r="A93" s="0" t="s">
        <v>14</v>
      </c>
    </row>
    <row r="94" customFormat="false" ht="13.8" hidden="false" customHeight="false" outlineLevel="0" collapsed="false">
      <c r="A94" s="0" t="s">
        <v>4</v>
      </c>
    </row>
    <row r="95" customFormat="false" ht="13.8" hidden="false" customHeight="false" outlineLevel="0" collapsed="false">
      <c r="A95" s="0" t="s">
        <v>6</v>
      </c>
    </row>
    <row r="96" customFormat="false" ht="13.8" hidden="false" customHeight="false" outlineLevel="0" collapsed="false">
      <c r="A96" s="0" t="s">
        <v>3</v>
      </c>
    </row>
    <row r="97" customFormat="false" ht="13.8" hidden="false" customHeight="false" outlineLevel="0" collapsed="false">
      <c r="A97" s="0" t="s">
        <v>12</v>
      </c>
    </row>
    <row r="98" customFormat="false" ht="13.8" hidden="false" customHeight="false" outlineLevel="0" collapsed="false">
      <c r="A98" s="0" t="s">
        <v>3</v>
      </c>
    </row>
    <row r="99" customFormat="false" ht="13.8" hidden="false" customHeight="false" outlineLevel="0" collapsed="false">
      <c r="A99" s="0" t="s">
        <v>5</v>
      </c>
    </row>
    <row r="100" customFormat="false" ht="13.8" hidden="false" customHeight="false" outlineLevel="0" collapsed="false">
      <c r="A100" s="0" t="s">
        <v>5</v>
      </c>
    </row>
    <row r="101" customFormat="false" ht="13.8" hidden="false" customHeight="false" outlineLevel="0" collapsed="false">
      <c r="A101" s="0" t="s">
        <v>8</v>
      </c>
    </row>
    <row r="102" customFormat="false" ht="13.8" hidden="false" customHeight="false" outlineLevel="0" collapsed="false">
      <c r="A102" s="0" t="s">
        <v>16</v>
      </c>
    </row>
    <row r="103" customFormat="false" ht="13.8" hidden="false" customHeight="false" outlineLevel="0" collapsed="false">
      <c r="A103" s="0" t="s">
        <v>8</v>
      </c>
    </row>
    <row r="104" customFormat="false" ht="13.8" hidden="false" customHeight="false" outlineLevel="0" collapsed="false">
      <c r="A104" s="0" t="s">
        <v>16</v>
      </c>
    </row>
    <row r="105" customFormat="false" ht="13.8" hidden="false" customHeight="false" outlineLevel="0" collapsed="false">
      <c r="A105" s="0" t="s">
        <v>14</v>
      </c>
    </row>
    <row r="106" customFormat="false" ht="13.8" hidden="false" customHeight="false" outlineLevel="0" collapsed="false">
      <c r="A106" s="0" t="s">
        <v>6</v>
      </c>
    </row>
    <row r="107" customFormat="false" ht="13.8" hidden="false" customHeight="false" outlineLevel="0" collapsed="false">
      <c r="A107" s="0" t="s">
        <v>164</v>
      </c>
    </row>
    <row r="108" customFormat="false" ht="13.8" hidden="false" customHeight="false" outlineLevel="0" collapsed="false">
      <c r="A108" s="0" t="s">
        <v>6</v>
      </c>
    </row>
    <row r="109" customFormat="false" ht="13.8" hidden="false" customHeight="false" outlineLevel="0" collapsed="false">
      <c r="A109" s="0" t="s">
        <v>13</v>
      </c>
    </row>
    <row r="110" customFormat="false" ht="13.8" hidden="false" customHeight="false" outlineLevel="0" collapsed="false">
      <c r="A110" s="0" t="s">
        <v>14</v>
      </c>
    </row>
    <row r="111" customFormat="false" ht="13.8" hidden="false" customHeight="false" outlineLevel="0" collapsed="false">
      <c r="A111" s="0" t="s">
        <v>12</v>
      </c>
    </row>
    <row r="112" customFormat="false" ht="13.8" hidden="false" customHeight="false" outlineLevel="0" collapsed="false">
      <c r="A112" s="0" t="s">
        <v>7</v>
      </c>
    </row>
    <row r="113" customFormat="false" ht="13.8" hidden="false" customHeight="false" outlineLevel="0" collapsed="false">
      <c r="A113" s="0" t="s">
        <v>16</v>
      </c>
    </row>
    <row r="114" customFormat="false" ht="13.8" hidden="false" customHeight="false" outlineLevel="0" collapsed="false">
      <c r="A114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5</v>
      </c>
      <c r="B2" s="0" t="s">
        <v>5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16</v>
      </c>
      <c r="B3" s="0" t="s">
        <v>2</v>
      </c>
      <c r="D3" s="12" t="s">
        <v>2</v>
      </c>
      <c r="E3" s="0" t="n">
        <f aca="false">COUNTIF($A$2:$A$200,D3)</f>
        <v>2</v>
      </c>
      <c r="F3" s="0" t="n">
        <f aca="false">COUNTIF($B$2:$B$200,D3)</f>
        <v>10</v>
      </c>
      <c r="G3" s="0" t="n">
        <f aca="false">E3-F3</f>
        <v>-8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8</v>
      </c>
      <c r="B4" s="0" t="s">
        <v>13</v>
      </c>
      <c r="D4" s="12" t="s">
        <v>3</v>
      </c>
      <c r="E4" s="0" t="n">
        <f aca="false">COUNTIF($A$2:$A$114,D4)</f>
        <v>0</v>
      </c>
      <c r="F4" s="0" t="n">
        <f aca="false">COUNTIF($B$2:$B$32,D4)</f>
        <v>0</v>
      </c>
      <c r="G4" s="0" t="n">
        <f aca="false">E4-F4</f>
        <v>0</v>
      </c>
      <c r="H4" s="0" t="str">
        <f aca="false">IF(G4&gt;0,D4,"")</f>
        <v/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6</v>
      </c>
      <c r="B5" s="0" t="s">
        <v>16</v>
      </c>
      <c r="D5" s="12" t="s">
        <v>4</v>
      </c>
      <c r="E5" s="0" t="n">
        <f aca="false">COUNTIF($A$2:$A$114,D5)</f>
        <v>2</v>
      </c>
      <c r="F5" s="0" t="n">
        <f aca="false">COUNTIF($B$2:$B$32,D5)</f>
        <v>4</v>
      </c>
      <c r="G5" s="0" t="n">
        <f aca="false">E5-F5</f>
        <v>-2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14</v>
      </c>
      <c r="B6" s="0" t="s">
        <v>2</v>
      </c>
      <c r="D6" s="12" t="s">
        <v>5</v>
      </c>
      <c r="E6" s="0" t="n">
        <f aca="false">COUNTIF($A$2:$A$114,D6)</f>
        <v>2</v>
      </c>
      <c r="F6" s="0" t="n">
        <f aca="false">COUNTIF($B$2:$B$32,D6)</f>
        <v>4</v>
      </c>
      <c r="G6" s="0" t="n">
        <f aca="false">E6-F6</f>
        <v>-2</v>
      </c>
      <c r="H6" s="0" t="str">
        <f aca="false">IF(G6&gt;0,D6,"")</f>
        <v/>
      </c>
      <c r="I6" s="0" t="str">
        <f aca="false">IF(G6&lt;0,D6,"")</f>
        <v>Chile</v>
      </c>
    </row>
    <row r="7" customFormat="false" ht="13.8" hidden="false" customHeight="false" outlineLevel="0" collapsed="false">
      <c r="A7" s="0" t="s">
        <v>6</v>
      </c>
      <c r="B7" s="0" t="s">
        <v>16</v>
      </c>
      <c r="D7" s="12" t="s">
        <v>6</v>
      </c>
      <c r="E7" s="0" t="n">
        <f aca="false">COUNTIF($A$2:$A$114,D7)</f>
        <v>3</v>
      </c>
      <c r="F7" s="0" t="n">
        <f aca="false">COUNTIF($B$2:$B$32,D7)</f>
        <v>0</v>
      </c>
      <c r="G7" s="0" t="n">
        <f aca="false">E7-F7</f>
        <v>3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14</v>
      </c>
      <c r="B8" s="0" t="s">
        <v>16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13</v>
      </c>
      <c r="B9" s="0" t="s">
        <v>14</v>
      </c>
      <c r="D9" s="12" t="s">
        <v>8</v>
      </c>
      <c r="E9" s="0" t="n">
        <f aca="false">COUNTIF($A$2:$A$114,D9)</f>
        <v>2</v>
      </c>
      <c r="F9" s="0" t="n">
        <f aca="false">COUNTIF($B$2:$B$32,D9)</f>
        <v>0</v>
      </c>
      <c r="G9" s="0" t="n">
        <f aca="false">E9-F9</f>
        <v>2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2</v>
      </c>
      <c r="B10" s="0" t="s">
        <v>2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4</v>
      </c>
      <c r="B11" s="0" t="s">
        <v>5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5</v>
      </c>
      <c r="B12" s="0" t="s">
        <v>4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2</v>
      </c>
      <c r="B13" s="0" t="s">
        <v>16</v>
      </c>
      <c r="D13" s="12" t="s">
        <v>12</v>
      </c>
      <c r="E13" s="0" t="n">
        <f aca="false">COUNTIF($A$2:$A$114,D13)</f>
        <v>1</v>
      </c>
      <c r="F13" s="0" t="n">
        <f aca="false">COUNTIF($B$2:$B$32,D13)</f>
        <v>0</v>
      </c>
      <c r="G13" s="0" t="n">
        <f aca="false">E13-F13</f>
        <v>1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4</v>
      </c>
      <c r="B14" s="0" t="s">
        <v>4</v>
      </c>
      <c r="D14" s="12" t="s">
        <v>13</v>
      </c>
      <c r="E14" s="0" t="n">
        <f aca="false">COUNTIF($A$2:$A$114,D14)</f>
        <v>1</v>
      </c>
      <c r="F14" s="0" t="n">
        <f aca="false">COUNTIF($B$2:$B$32,D14)</f>
        <v>6</v>
      </c>
      <c r="G14" s="0" t="n">
        <f aca="false">E14-F14</f>
        <v>-5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A15" s="0" t="s">
        <v>17</v>
      </c>
      <c r="B15" s="0" t="s">
        <v>2</v>
      </c>
      <c r="D15" s="12" t="s">
        <v>14</v>
      </c>
      <c r="E15" s="0" t="n">
        <f aca="false">COUNTIF($A$2:$A$114,D15)</f>
        <v>3</v>
      </c>
      <c r="F15" s="0" t="n">
        <f aca="false">COUNTIF($B$2:$B$32,D15)</f>
        <v>3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18</v>
      </c>
      <c r="B16" s="0" t="s">
        <v>13</v>
      </c>
      <c r="D16" s="12" t="s">
        <v>15</v>
      </c>
      <c r="E16" s="0" t="n">
        <v>1</v>
      </c>
      <c r="F16" s="0" t="n">
        <f aca="false">COUNTIF($B$2:$B$32,D16)</f>
        <v>0</v>
      </c>
      <c r="G16" s="0" t="n">
        <f aca="false">E16-F16</f>
        <v>1</v>
      </c>
      <c r="H16" s="0" t="str">
        <f aca="false">IF(G16&gt;0,D16,"")</f>
        <v>U.S.A.</v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14</v>
      </c>
      <c r="B17" s="0" t="s">
        <v>16</v>
      </c>
      <c r="D17" s="12" t="s">
        <v>16</v>
      </c>
      <c r="E17" s="0" t="n">
        <f aca="false">COUNTIF($A$2:$A$114,D17)</f>
        <v>2</v>
      </c>
      <c r="F17" s="0" t="n">
        <f aca="false">COUNTIF($B$2:$B$32,D17)</f>
        <v>8</v>
      </c>
      <c r="G17" s="0" t="n">
        <f aca="false">E17-F17</f>
        <v>-6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A18" s="0" t="s">
        <v>16</v>
      </c>
      <c r="B18" s="0" t="s">
        <v>5</v>
      </c>
      <c r="D18" s="12" t="s">
        <v>18</v>
      </c>
      <c r="E18" s="0" t="n">
        <f aca="false">COUNTIF($A$2:$A$114,D18)</f>
        <v>1</v>
      </c>
      <c r="F18" s="0" t="n">
        <f aca="false">COUNTIF($B$2:$B$32,D18)</f>
        <v>0</v>
      </c>
      <c r="G18" s="0" t="n">
        <f aca="false">E18-F18</f>
        <v>1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6</v>
      </c>
      <c r="B19" s="0" t="s">
        <v>2</v>
      </c>
    </row>
    <row r="20" customFormat="false" ht="13.8" hidden="false" customHeight="false" outlineLevel="0" collapsed="false">
      <c r="A20" s="0" t="s">
        <v>12</v>
      </c>
      <c r="B20" s="0" t="s">
        <v>16</v>
      </c>
    </row>
    <row r="21" customFormat="false" ht="13.8" hidden="false" customHeight="false" outlineLevel="0" collapsed="false">
      <c r="A21" s="0" t="s">
        <v>8</v>
      </c>
      <c r="B21" s="0" t="s">
        <v>13</v>
      </c>
    </row>
    <row r="22" customFormat="false" ht="13.8" hidden="false" customHeight="false" outlineLevel="0" collapsed="false">
      <c r="B22" s="0" t="s">
        <v>14</v>
      </c>
    </row>
    <row r="23" customFormat="false" ht="13.8" hidden="false" customHeight="false" outlineLevel="0" collapsed="false">
      <c r="B23" s="0" t="s">
        <v>5</v>
      </c>
    </row>
    <row r="24" customFormat="false" ht="13.8" hidden="false" customHeight="false" outlineLevel="0" collapsed="false">
      <c r="B24" s="0" t="s">
        <v>4</v>
      </c>
    </row>
    <row r="25" customFormat="false" ht="13.8" hidden="false" customHeight="false" outlineLevel="0" collapsed="false">
      <c r="B25" s="0" t="s">
        <v>14</v>
      </c>
    </row>
    <row r="26" customFormat="false" ht="13.8" hidden="false" customHeight="false" outlineLevel="0" collapsed="false">
      <c r="B26" s="0" t="s">
        <v>13</v>
      </c>
    </row>
    <row r="27" customFormat="false" ht="13.8" hidden="false" customHeight="false" outlineLevel="0" collapsed="false">
      <c r="B27" s="0" t="s">
        <v>16</v>
      </c>
    </row>
    <row r="28" customFormat="false" ht="13.8" hidden="false" customHeight="false" outlineLevel="0" collapsed="false">
      <c r="B28" s="0" t="s">
        <v>4</v>
      </c>
    </row>
    <row r="29" customFormat="false" ht="13.8" hidden="false" customHeight="false" outlineLevel="0" collapsed="false">
      <c r="B29" s="0" t="s">
        <v>13</v>
      </c>
    </row>
    <row r="30" customFormat="false" ht="13.8" hidden="false" customHeight="false" outlineLevel="0" collapsed="false">
      <c r="B30" s="0" t="s">
        <v>16</v>
      </c>
    </row>
    <row r="31" customFormat="false" ht="13.8" hidden="false" customHeight="false" outlineLevel="0" collapsed="false">
      <c r="B31" s="0" t="s">
        <v>2</v>
      </c>
    </row>
    <row r="32" customFormat="false" ht="13.8" hidden="false" customHeight="false" outlineLevel="0" collapsed="false">
      <c r="B32" s="0" t="s">
        <v>13</v>
      </c>
    </row>
    <row r="33" customFormat="false" ht="13.8" hidden="false" customHeight="false" outlineLevel="0" collapsed="false">
      <c r="B33" s="0" t="s">
        <v>4</v>
      </c>
    </row>
    <row r="34" customFormat="false" ht="13.8" hidden="false" customHeight="false" outlineLevel="0" collapsed="false">
      <c r="B34" s="0" t="s">
        <v>5</v>
      </c>
    </row>
    <row r="35" customFormat="false" ht="13.8" hidden="false" customHeight="false" outlineLevel="0" collapsed="false">
      <c r="B35" s="0" t="s">
        <v>16</v>
      </c>
    </row>
    <row r="36" customFormat="false" ht="13.8" hidden="false" customHeight="false" outlineLevel="0" collapsed="false">
      <c r="B36" s="0" t="s">
        <v>2</v>
      </c>
    </row>
    <row r="37" customFormat="false" ht="13.8" hidden="false" customHeight="false" outlineLevel="0" collapsed="false">
      <c r="B37" s="0" t="s">
        <v>13</v>
      </c>
    </row>
    <row r="38" customFormat="false" ht="13.8" hidden="false" customHeight="false" outlineLevel="0" collapsed="false">
      <c r="B38" s="0" t="s">
        <v>18</v>
      </c>
    </row>
    <row r="39" customFormat="false" ht="13.8" hidden="false" customHeight="false" outlineLevel="0" collapsed="false">
      <c r="B39" s="0" t="s">
        <v>14</v>
      </c>
    </row>
    <row r="40" customFormat="false" ht="13.8" hidden="false" customHeight="false" outlineLevel="0" collapsed="false">
      <c r="B40" s="0" t="s">
        <v>14</v>
      </c>
    </row>
    <row r="41" customFormat="false" ht="13.8" hidden="false" customHeight="false" outlineLevel="0" collapsed="false">
      <c r="B41" s="0" t="s">
        <v>5</v>
      </c>
    </row>
    <row r="42" customFormat="false" ht="13.8" hidden="false" customHeight="false" outlineLevel="0" collapsed="false">
      <c r="B42" s="0" t="s">
        <v>2</v>
      </c>
    </row>
    <row r="43" customFormat="false" ht="13.8" hidden="false" customHeight="false" outlineLevel="0" collapsed="false">
      <c r="B43" s="0" t="s">
        <v>4</v>
      </c>
    </row>
    <row r="44" customFormat="false" ht="13.8" hidden="false" customHeight="false" outlineLevel="0" collapsed="false">
      <c r="B44" s="0" t="s">
        <v>6</v>
      </c>
    </row>
    <row r="45" customFormat="false" ht="13.8" hidden="false" customHeight="false" outlineLevel="0" collapsed="false">
      <c r="B45" s="0" t="s">
        <v>14</v>
      </c>
    </row>
    <row r="46" customFormat="false" ht="13.8" hidden="false" customHeight="false" outlineLevel="0" collapsed="false">
      <c r="B46" s="0" t="s">
        <v>6</v>
      </c>
    </row>
    <row r="47" customFormat="false" ht="13.8" hidden="false" customHeight="false" outlineLevel="0" collapsed="false">
      <c r="B47" s="0" t="s">
        <v>16</v>
      </c>
    </row>
    <row r="48" customFormat="false" ht="13.8" hidden="false" customHeight="false" outlineLevel="0" collapsed="false">
      <c r="B48" s="0" t="s">
        <v>5</v>
      </c>
    </row>
    <row r="49" customFormat="false" ht="13.8" hidden="false" customHeight="false" outlineLevel="0" collapsed="false">
      <c r="B49" s="0" t="s">
        <v>4</v>
      </c>
    </row>
    <row r="50" customFormat="false" ht="13.8" hidden="false" customHeight="false" outlineLevel="0" collapsed="false">
      <c r="B50" s="0" t="s">
        <v>8</v>
      </c>
    </row>
    <row r="51" customFormat="false" ht="13.8" hidden="false" customHeight="false" outlineLevel="0" collapsed="false">
      <c r="B51" s="0" t="s">
        <v>2</v>
      </c>
    </row>
    <row r="52" customFormat="false" ht="13.8" hidden="false" customHeight="false" outlineLevel="0" collapsed="false">
      <c r="B52" s="0" t="s">
        <v>2</v>
      </c>
    </row>
    <row r="53" customFormat="false" ht="13.8" hidden="false" customHeight="false" outlineLevel="0" collapsed="false">
      <c r="B53" s="0" t="s">
        <v>16</v>
      </c>
    </row>
    <row r="54" customFormat="false" ht="13.8" hidden="false" customHeight="false" outlineLevel="0" collapsed="false">
      <c r="B54" s="0" t="s">
        <v>4</v>
      </c>
    </row>
    <row r="55" customFormat="false" ht="13.8" hidden="false" customHeight="false" outlineLevel="0" collapsed="false">
      <c r="B55" s="0" t="s">
        <v>14</v>
      </c>
    </row>
    <row r="56" customFormat="false" ht="13.8" hidden="false" customHeight="false" outlineLevel="0" collapsed="false">
      <c r="B56" s="0" t="s">
        <v>16</v>
      </c>
    </row>
    <row r="57" customFormat="false" ht="13.8" hidden="false" customHeight="false" outlineLevel="0" collapsed="false">
      <c r="B57" s="0" t="s">
        <v>9</v>
      </c>
    </row>
    <row r="58" customFormat="false" ht="13.8" hidden="false" customHeight="false" outlineLevel="0" collapsed="false">
      <c r="B58" s="0" t="s">
        <v>7</v>
      </c>
    </row>
    <row r="59" customFormat="false" ht="13.8" hidden="false" customHeight="false" outlineLevel="0" collapsed="false">
      <c r="B59" s="0" t="s">
        <v>6</v>
      </c>
    </row>
    <row r="60" customFormat="false" ht="13.8" hidden="false" customHeight="false" outlineLevel="0" collapsed="false">
      <c r="B60" s="0" t="s">
        <v>16</v>
      </c>
    </row>
    <row r="61" customFormat="false" ht="13.8" hidden="false" customHeight="false" outlineLevel="0" collapsed="false">
      <c r="B61" s="0" t="s">
        <v>7</v>
      </c>
    </row>
    <row r="62" customFormat="false" ht="13.8" hidden="false" customHeight="false" outlineLevel="0" collapsed="false">
      <c r="B62" s="0" t="s">
        <v>6</v>
      </c>
    </row>
    <row r="63" customFormat="false" ht="13.8" hidden="false" customHeight="false" outlineLevel="0" collapsed="false">
      <c r="B63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5</v>
      </c>
      <c r="B2" s="0" t="s">
        <v>16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5</v>
      </c>
      <c r="B3" s="0" t="s">
        <v>2</v>
      </c>
      <c r="D3" s="12" t="s">
        <v>2</v>
      </c>
      <c r="E3" s="0" t="n">
        <f aca="false">COUNTIF($A$2:$A$200,D3)</f>
        <v>9</v>
      </c>
      <c r="F3" s="0" t="n">
        <f aca="false">COUNTIF($B$2:$B$200,D3)</f>
        <v>15</v>
      </c>
      <c r="G3" s="0" t="n">
        <f aca="false">E3-F3</f>
        <v>-6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2</v>
      </c>
      <c r="B4" s="0" t="s">
        <v>16</v>
      </c>
      <c r="D4" s="12" t="s">
        <v>3</v>
      </c>
      <c r="E4" s="0" t="n">
        <f aca="false">COUNTIF($A$2:$A$114,D4)</f>
        <v>8</v>
      </c>
      <c r="F4" s="0" t="n">
        <f aca="false">COUNTIF($B$2:$B$32,D4)</f>
        <v>2</v>
      </c>
      <c r="G4" s="0" t="n">
        <f aca="false">E4-F4</f>
        <v>6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16</v>
      </c>
      <c r="B5" s="0" t="s">
        <v>16</v>
      </c>
      <c r="D5" s="12" t="s">
        <v>4</v>
      </c>
      <c r="E5" s="0" t="n">
        <f aca="false">COUNTIF($A$2:$A$114,D5)</f>
        <v>0</v>
      </c>
      <c r="F5" s="0" t="n">
        <f aca="false">COUNTIF($B$2:$B$32,D5)</f>
        <v>0</v>
      </c>
      <c r="G5" s="0" t="n">
        <f aca="false">E5-F5</f>
        <v>0</v>
      </c>
      <c r="H5" s="0" t="str">
        <f aca="false">IF(G5&gt;0,D5,"")</f>
        <v/>
      </c>
      <c r="I5" s="0" t="str">
        <f aca="false">IF(G5&lt;0,D5,"")</f>
        <v/>
      </c>
    </row>
    <row r="6" customFormat="false" ht="13.8" hidden="false" customHeight="false" outlineLevel="0" collapsed="false">
      <c r="A6" s="0" t="s">
        <v>5</v>
      </c>
      <c r="B6" s="0" t="s">
        <v>2</v>
      </c>
      <c r="D6" s="12" t="s">
        <v>5</v>
      </c>
      <c r="E6" s="0" t="n">
        <f aca="false">COUNTIF($A$2:$A$114,D6)</f>
        <v>16</v>
      </c>
      <c r="F6" s="0" t="n">
        <f aca="false">COUNTIF($B$2:$B$32,D6)</f>
        <v>1</v>
      </c>
      <c r="G6" s="0" t="n">
        <f aca="false">E6-F6</f>
        <v>15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13</v>
      </c>
      <c r="B7" s="0" t="s">
        <v>2</v>
      </c>
      <c r="D7" s="12" t="s">
        <v>6</v>
      </c>
      <c r="E7" s="0" t="n">
        <f aca="false">COUNTIF($A$2:$A$114,D7)</f>
        <v>7</v>
      </c>
      <c r="F7" s="0" t="n">
        <f aca="false">COUNTIF($B$2:$B$32,D7)</f>
        <v>0</v>
      </c>
      <c r="G7" s="0" t="n">
        <f aca="false">E7-F7</f>
        <v>7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2</v>
      </c>
      <c r="B8" s="0" t="s">
        <v>16</v>
      </c>
      <c r="D8" s="12" t="s">
        <v>7</v>
      </c>
      <c r="E8" s="0" t="n">
        <f aca="false">COUNTIF($A$2:$A$114,D8)</f>
        <v>2</v>
      </c>
      <c r="F8" s="0" t="n">
        <f aca="false">COUNTIF($B$2:$B$32,D8)</f>
        <v>0</v>
      </c>
      <c r="G8" s="0" t="n">
        <f aca="false">E8-F8</f>
        <v>2</v>
      </c>
      <c r="H8" s="0" t="str">
        <f aca="false">IF(G8&gt;0,D8,"")</f>
        <v>Costa Rica</v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13</v>
      </c>
      <c r="B9" s="0" t="s">
        <v>13</v>
      </c>
      <c r="D9" s="12" t="s">
        <v>8</v>
      </c>
      <c r="E9" s="0" t="n">
        <f aca="false">COUNTIF($A$2:$A$114,D9)</f>
        <v>12</v>
      </c>
      <c r="F9" s="0" t="n">
        <f aca="false">COUNTIF($B$2:$B$32,D9)</f>
        <v>0</v>
      </c>
      <c r="G9" s="0" t="n">
        <f aca="false">E9-F9</f>
        <v>12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13</v>
      </c>
      <c r="B10" s="0" t="s">
        <v>2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13</v>
      </c>
      <c r="B11" s="0" t="s">
        <v>16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14</v>
      </c>
      <c r="B12" s="0" t="s">
        <v>2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5</v>
      </c>
      <c r="B13" s="0" t="s">
        <v>2</v>
      </c>
      <c r="D13" s="12" t="s">
        <v>12</v>
      </c>
      <c r="E13" s="0" t="n">
        <f aca="false">COUNTIF($A$2:$A$114,D13)</f>
        <v>4</v>
      </c>
      <c r="F13" s="0" t="n">
        <f aca="false">COUNTIF($B$2:$B$32,D13)</f>
        <v>0</v>
      </c>
      <c r="G13" s="0" t="n">
        <f aca="false">E13-F13</f>
        <v>4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13</v>
      </c>
      <c r="B14" s="0" t="s">
        <v>2</v>
      </c>
      <c r="D14" s="12" t="s">
        <v>13</v>
      </c>
      <c r="E14" s="0" t="n">
        <f aca="false">COUNTIF($A$2:$A$114,D14)</f>
        <v>13</v>
      </c>
      <c r="F14" s="0" t="n">
        <f aca="false">COUNTIF($B$2:$B$32,D14)</f>
        <v>5</v>
      </c>
      <c r="G14" s="0" t="n">
        <f aca="false">E14-F14</f>
        <v>8</v>
      </c>
      <c r="H14" s="0" t="str">
        <f aca="false">IF(G14&gt;0,D14,"")</f>
        <v>Paraguay</v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16</v>
      </c>
      <c r="B15" s="0" t="s">
        <v>2</v>
      </c>
      <c r="D15" s="12" t="s">
        <v>14</v>
      </c>
      <c r="E15" s="0" t="n">
        <f aca="false">COUNTIF($A$2:$A$114,D15)</f>
        <v>11</v>
      </c>
      <c r="F15" s="0" t="n">
        <f aca="false">COUNTIF($B$2:$B$32,D15)</f>
        <v>2</v>
      </c>
      <c r="G15" s="0" t="n">
        <f aca="false">E15-F15</f>
        <v>9</v>
      </c>
      <c r="H15" s="0" t="str">
        <f aca="false">IF(G15&gt;0,D15,"")</f>
        <v>Peru</v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5</v>
      </c>
      <c r="B16" s="0" t="s">
        <v>16</v>
      </c>
      <c r="D16" s="12" t="s">
        <v>15</v>
      </c>
      <c r="E16" s="0" t="n">
        <v>1</v>
      </c>
      <c r="F16" s="0" t="n">
        <f aca="false">COUNTIF($B$2:$B$32,D16)</f>
        <v>0</v>
      </c>
      <c r="G16" s="0" t="n">
        <f aca="false">E16-F16</f>
        <v>1</v>
      </c>
      <c r="H16" s="0" t="str">
        <f aca="false">IF(G16&gt;0,D16,"")</f>
        <v>U.S.A.</v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14</v>
      </c>
      <c r="B17" s="0" t="s">
        <v>2</v>
      </c>
      <c r="D17" s="12" t="s">
        <v>16</v>
      </c>
      <c r="E17" s="0" t="n">
        <f aca="false">COUNTIF($A$2:$A$114,D17)</f>
        <v>9</v>
      </c>
      <c r="F17" s="0" t="n">
        <f aca="false">COUNTIF($B$2:$B$32,D17)</f>
        <v>8</v>
      </c>
      <c r="G17" s="0" t="n">
        <f aca="false">E17-F17</f>
        <v>1</v>
      </c>
      <c r="H17" s="0" t="str">
        <f aca="false">IF(G17&gt;0,D17,"")</f>
        <v>Uruguay</v>
      </c>
      <c r="I17" s="0" t="str">
        <f aca="false">IF(G17&lt;0,D17,"")</f>
        <v/>
      </c>
    </row>
    <row r="18" customFormat="false" ht="13.8" hidden="false" customHeight="false" outlineLevel="0" collapsed="false">
      <c r="A18" s="0" t="s">
        <v>8</v>
      </c>
      <c r="B18" s="0" t="s">
        <v>2</v>
      </c>
      <c r="D18" s="12" t="s">
        <v>18</v>
      </c>
      <c r="E18" s="0" t="n">
        <f aca="false">COUNTIF($A$2:$A$114,D18)</f>
        <v>5</v>
      </c>
      <c r="F18" s="0" t="n">
        <f aca="false">COUNTIF($B$2:$B$32,D18)</f>
        <v>0</v>
      </c>
      <c r="G18" s="0" t="n">
        <f aca="false">E18-F18</f>
        <v>5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6</v>
      </c>
      <c r="B19" s="0" t="s">
        <v>13</v>
      </c>
    </row>
    <row r="20" customFormat="false" ht="13.8" hidden="false" customHeight="false" outlineLevel="0" collapsed="false">
      <c r="A20" s="0" t="s">
        <v>3</v>
      </c>
      <c r="B20" s="0" t="s">
        <v>14</v>
      </c>
    </row>
    <row r="21" customFormat="false" ht="13.8" hidden="false" customHeight="false" outlineLevel="0" collapsed="false">
      <c r="A21" s="0" t="s">
        <v>16</v>
      </c>
      <c r="B21" s="0" t="s">
        <v>13</v>
      </c>
    </row>
    <row r="22" customFormat="false" ht="13.8" hidden="false" customHeight="false" outlineLevel="0" collapsed="false">
      <c r="A22" s="0" t="s">
        <v>8</v>
      </c>
      <c r="B22" s="0" t="s">
        <v>13</v>
      </c>
    </row>
    <row r="23" customFormat="false" ht="13.8" hidden="false" customHeight="false" outlineLevel="0" collapsed="false">
      <c r="A23" s="0" t="s">
        <v>5</v>
      </c>
      <c r="B23" s="0" t="s">
        <v>5</v>
      </c>
    </row>
    <row r="24" customFormat="false" ht="13.8" hidden="false" customHeight="false" outlineLevel="0" collapsed="false">
      <c r="A24" s="0" t="s">
        <v>3</v>
      </c>
      <c r="B24" s="0" t="s">
        <v>16</v>
      </c>
    </row>
    <row r="25" customFormat="false" ht="13.8" hidden="false" customHeight="false" outlineLevel="0" collapsed="false">
      <c r="A25" s="0" t="s">
        <v>16</v>
      </c>
      <c r="B25" s="0" t="s">
        <v>2</v>
      </c>
    </row>
    <row r="26" customFormat="false" ht="13.8" hidden="false" customHeight="false" outlineLevel="0" collapsed="false">
      <c r="A26" s="0" t="s">
        <v>5</v>
      </c>
      <c r="B26" s="0" t="s">
        <v>16</v>
      </c>
    </row>
    <row r="27" customFormat="false" ht="13.8" hidden="false" customHeight="false" outlineLevel="0" collapsed="false">
      <c r="A27" s="0" t="s">
        <v>8</v>
      </c>
      <c r="B27" s="0" t="s">
        <v>2</v>
      </c>
    </row>
    <row r="28" customFormat="false" ht="13.8" hidden="false" customHeight="false" outlineLevel="0" collapsed="false">
      <c r="A28" s="0" t="s">
        <v>3</v>
      </c>
      <c r="B28" s="0" t="s">
        <v>13</v>
      </c>
    </row>
    <row r="29" customFormat="false" ht="13.8" hidden="false" customHeight="false" outlineLevel="0" collapsed="false">
      <c r="A29" s="0" t="s">
        <v>5</v>
      </c>
      <c r="B29" s="0" t="s">
        <v>2</v>
      </c>
    </row>
    <row r="30" customFormat="false" ht="13.8" hidden="false" customHeight="false" outlineLevel="0" collapsed="false">
      <c r="A30" s="0" t="s">
        <v>6</v>
      </c>
      <c r="B30" s="0" t="s">
        <v>3</v>
      </c>
    </row>
    <row r="31" customFormat="false" ht="13.8" hidden="false" customHeight="false" outlineLevel="0" collapsed="false">
      <c r="A31" s="0" t="s">
        <v>14</v>
      </c>
      <c r="B31" s="0" t="s">
        <v>14</v>
      </c>
    </row>
    <row r="32" customFormat="false" ht="13.8" hidden="false" customHeight="false" outlineLevel="0" collapsed="false">
      <c r="A32" s="0" t="s">
        <v>16</v>
      </c>
      <c r="B32" s="0" t="s">
        <v>3</v>
      </c>
    </row>
    <row r="33" customFormat="false" ht="13.8" hidden="false" customHeight="false" outlineLevel="0" collapsed="false">
      <c r="A33" s="0" t="s">
        <v>13</v>
      </c>
      <c r="B33" s="0" t="s">
        <v>13</v>
      </c>
    </row>
    <row r="34" customFormat="false" ht="13.8" hidden="false" customHeight="false" outlineLevel="0" collapsed="false">
      <c r="A34" s="0" t="s">
        <v>3</v>
      </c>
      <c r="B34" s="0" t="s">
        <v>2</v>
      </c>
    </row>
    <row r="35" customFormat="false" ht="13.8" hidden="false" customHeight="false" outlineLevel="0" collapsed="false">
      <c r="A35" s="0" t="s">
        <v>8</v>
      </c>
      <c r="B35" s="0" t="s">
        <v>16</v>
      </c>
    </row>
    <row r="36" customFormat="false" ht="13.8" hidden="false" customHeight="false" outlineLevel="0" collapsed="false">
      <c r="A36" s="0" t="s">
        <v>16</v>
      </c>
      <c r="B36" s="0" t="s">
        <v>5</v>
      </c>
    </row>
    <row r="37" customFormat="false" ht="13.8" hidden="false" customHeight="false" outlineLevel="0" collapsed="false">
      <c r="A37" s="0" t="s">
        <v>5</v>
      </c>
      <c r="B37" s="0" t="s">
        <v>6</v>
      </c>
    </row>
    <row r="38" customFormat="false" ht="13.8" hidden="false" customHeight="false" outlineLevel="0" collapsed="false">
      <c r="A38" s="0" t="s">
        <v>14</v>
      </c>
      <c r="B38" s="0" t="s">
        <v>2</v>
      </c>
    </row>
    <row r="39" customFormat="false" ht="13.8" hidden="false" customHeight="false" outlineLevel="0" collapsed="false">
      <c r="A39" s="0" t="s">
        <v>2</v>
      </c>
      <c r="B39" s="0" t="s">
        <v>5</v>
      </c>
    </row>
    <row r="40" customFormat="false" ht="13.8" hidden="false" customHeight="false" outlineLevel="0" collapsed="false">
      <c r="A40" s="0" t="s">
        <v>5</v>
      </c>
      <c r="B40" s="0" t="s">
        <v>12</v>
      </c>
    </row>
    <row r="41" customFormat="false" ht="13.8" hidden="false" customHeight="false" outlineLevel="0" collapsed="false">
      <c r="A41" s="0" t="s">
        <v>8</v>
      </c>
      <c r="B41" s="0" t="s">
        <v>9</v>
      </c>
    </row>
    <row r="42" customFormat="false" ht="13.8" hidden="false" customHeight="false" outlineLevel="0" collapsed="false">
      <c r="A42" s="0" t="s">
        <v>6</v>
      </c>
      <c r="B42" s="0" t="s">
        <v>13</v>
      </c>
    </row>
    <row r="43" customFormat="false" ht="13.8" hidden="false" customHeight="false" outlineLevel="0" collapsed="false">
      <c r="A43" s="0" t="s">
        <v>14</v>
      </c>
      <c r="B43" s="0" t="s">
        <v>12</v>
      </c>
    </row>
    <row r="44" customFormat="false" ht="13.8" hidden="false" customHeight="false" outlineLevel="0" collapsed="false">
      <c r="A44" s="0" t="s">
        <v>5</v>
      </c>
      <c r="B44" s="0" t="s">
        <v>6</v>
      </c>
    </row>
    <row r="45" customFormat="false" ht="13.8" hidden="false" customHeight="false" outlineLevel="0" collapsed="false">
      <c r="A45" s="0" t="s">
        <v>3</v>
      </c>
    </row>
    <row r="46" customFormat="false" ht="13.8" hidden="false" customHeight="false" outlineLevel="0" collapsed="false">
      <c r="A46" s="0" t="s">
        <v>16</v>
      </c>
    </row>
    <row r="47" customFormat="false" ht="13.8" hidden="false" customHeight="false" outlineLevel="0" collapsed="false">
      <c r="A47" s="0" t="s">
        <v>13</v>
      </c>
    </row>
    <row r="48" customFormat="false" ht="13.8" hidden="false" customHeight="false" outlineLevel="0" collapsed="false">
      <c r="A48" s="0" t="s">
        <v>13</v>
      </c>
    </row>
    <row r="49" customFormat="false" ht="13.8" hidden="false" customHeight="false" outlineLevel="0" collapsed="false">
      <c r="A49" s="0" t="s">
        <v>8</v>
      </c>
    </row>
    <row r="50" customFormat="false" ht="13.8" hidden="false" customHeight="false" outlineLevel="0" collapsed="false">
      <c r="A50" s="0" t="s">
        <v>14</v>
      </c>
    </row>
    <row r="51" customFormat="false" ht="13.8" hidden="false" customHeight="false" outlineLevel="0" collapsed="false">
      <c r="A51" s="0" t="s">
        <v>6</v>
      </c>
    </row>
    <row r="52" customFormat="false" ht="13.8" hidden="false" customHeight="false" outlineLevel="0" collapsed="false">
      <c r="A52" s="0" t="s">
        <v>18</v>
      </c>
    </row>
    <row r="53" customFormat="false" ht="13.8" hidden="false" customHeight="false" outlineLevel="0" collapsed="false">
      <c r="A53" s="0" t="s">
        <v>2</v>
      </c>
    </row>
    <row r="54" customFormat="false" ht="13.8" hidden="false" customHeight="false" outlineLevel="0" collapsed="false">
      <c r="A54" s="0" t="s">
        <v>18</v>
      </c>
    </row>
    <row r="55" customFormat="false" ht="13.8" hidden="false" customHeight="false" outlineLevel="0" collapsed="false">
      <c r="A55" s="0" t="s">
        <v>2</v>
      </c>
    </row>
    <row r="56" customFormat="false" ht="13.8" hidden="false" customHeight="false" outlineLevel="0" collapsed="false">
      <c r="A56" s="0" t="s">
        <v>14</v>
      </c>
    </row>
    <row r="57" customFormat="false" ht="13.8" hidden="false" customHeight="false" outlineLevel="0" collapsed="false">
      <c r="A57" s="0" t="s">
        <v>2</v>
      </c>
    </row>
    <row r="58" customFormat="false" ht="13.8" hidden="false" customHeight="false" outlineLevel="0" collapsed="false">
      <c r="A58" s="0" t="s">
        <v>3</v>
      </c>
    </row>
    <row r="59" customFormat="false" ht="13.8" hidden="false" customHeight="false" outlineLevel="0" collapsed="false">
      <c r="A59" s="0" t="s">
        <v>8</v>
      </c>
    </row>
    <row r="60" customFormat="false" ht="13.8" hidden="false" customHeight="false" outlineLevel="0" collapsed="false">
      <c r="A60" s="0" t="s">
        <v>8</v>
      </c>
    </row>
    <row r="61" customFormat="false" ht="13.8" hidden="false" customHeight="false" outlineLevel="0" collapsed="false">
      <c r="A61" s="0" t="s">
        <v>18</v>
      </c>
    </row>
    <row r="62" customFormat="false" ht="13.8" hidden="false" customHeight="false" outlineLevel="0" collapsed="false">
      <c r="A62" s="0" t="s">
        <v>18</v>
      </c>
    </row>
    <row r="63" customFormat="false" ht="13.8" hidden="false" customHeight="false" outlineLevel="0" collapsed="false">
      <c r="A63" s="0" t="s">
        <v>13</v>
      </c>
    </row>
    <row r="64" customFormat="false" ht="13.8" hidden="false" customHeight="false" outlineLevel="0" collapsed="false">
      <c r="A64" s="0" t="s">
        <v>2</v>
      </c>
    </row>
    <row r="65" customFormat="false" ht="13.8" hidden="false" customHeight="false" outlineLevel="0" collapsed="false">
      <c r="A65" s="0" t="s">
        <v>13</v>
      </c>
    </row>
    <row r="66" customFormat="false" ht="13.8" hidden="false" customHeight="false" outlineLevel="0" collapsed="false">
      <c r="A66" s="0" t="s">
        <v>16</v>
      </c>
    </row>
    <row r="67" customFormat="false" ht="13.8" hidden="false" customHeight="false" outlineLevel="0" collapsed="false">
      <c r="A67" s="0" t="s">
        <v>3</v>
      </c>
    </row>
    <row r="68" customFormat="false" ht="13.8" hidden="false" customHeight="false" outlineLevel="0" collapsed="false">
      <c r="A68" s="0" t="s">
        <v>8</v>
      </c>
    </row>
    <row r="69" customFormat="false" ht="13.8" hidden="false" customHeight="false" outlineLevel="0" collapsed="false">
      <c r="A69" s="0" t="s">
        <v>6</v>
      </c>
    </row>
    <row r="70" customFormat="false" ht="13.8" hidden="false" customHeight="false" outlineLevel="0" collapsed="false">
      <c r="A70" s="0" t="s">
        <v>5</v>
      </c>
    </row>
    <row r="71" customFormat="false" ht="13.8" hidden="false" customHeight="false" outlineLevel="0" collapsed="false">
      <c r="A71" s="0" t="s">
        <v>13</v>
      </c>
    </row>
    <row r="72" customFormat="false" ht="13.8" hidden="false" customHeight="false" outlineLevel="0" collapsed="false">
      <c r="A72" s="0" t="s">
        <v>8</v>
      </c>
    </row>
    <row r="73" customFormat="false" ht="13.8" hidden="false" customHeight="false" outlineLevel="0" collapsed="false">
      <c r="A73" s="0" t="s">
        <v>14</v>
      </c>
    </row>
    <row r="74" customFormat="false" ht="13.8" hidden="false" customHeight="false" outlineLevel="0" collapsed="false">
      <c r="A74" s="0" t="s">
        <v>6</v>
      </c>
    </row>
    <row r="75" customFormat="false" ht="13.8" hidden="false" customHeight="false" outlineLevel="0" collapsed="false">
      <c r="A75" s="0" t="s">
        <v>17</v>
      </c>
    </row>
    <row r="76" customFormat="false" ht="13.8" hidden="false" customHeight="false" outlineLevel="0" collapsed="false">
      <c r="A76" s="0" t="s">
        <v>7</v>
      </c>
    </row>
    <row r="77" customFormat="false" ht="13.8" hidden="false" customHeight="false" outlineLevel="0" collapsed="false">
      <c r="A77" s="0" t="s">
        <v>12</v>
      </c>
    </row>
    <row r="78" customFormat="false" ht="13.8" hidden="false" customHeight="false" outlineLevel="0" collapsed="false">
      <c r="A78" s="0" t="s">
        <v>6</v>
      </c>
    </row>
    <row r="79" customFormat="false" ht="13.8" hidden="false" customHeight="false" outlineLevel="0" collapsed="false">
      <c r="A79" s="0" t="s">
        <v>13</v>
      </c>
    </row>
    <row r="80" customFormat="false" ht="13.8" hidden="false" customHeight="false" outlineLevel="0" collapsed="false">
      <c r="A80" s="0" t="s">
        <v>14</v>
      </c>
    </row>
    <row r="81" customFormat="false" ht="13.8" hidden="false" customHeight="false" outlineLevel="0" collapsed="false">
      <c r="A81" s="0" t="s">
        <v>3</v>
      </c>
    </row>
    <row r="82" customFormat="false" ht="13.8" hidden="false" customHeight="false" outlineLevel="0" collapsed="false">
      <c r="A82" s="0" t="s">
        <v>18</v>
      </c>
    </row>
    <row r="83" customFormat="false" ht="13.8" hidden="false" customHeight="false" outlineLevel="0" collapsed="false">
      <c r="A83" s="0" t="s">
        <v>12</v>
      </c>
    </row>
    <row r="84" customFormat="false" ht="13.8" hidden="false" customHeight="false" outlineLevel="0" collapsed="false">
      <c r="A84" s="0" t="s">
        <v>5</v>
      </c>
    </row>
    <row r="85" customFormat="false" ht="13.8" hidden="false" customHeight="false" outlineLevel="0" collapsed="false">
      <c r="A85" s="0" t="s">
        <v>2</v>
      </c>
    </row>
    <row r="86" customFormat="false" ht="13.8" hidden="false" customHeight="false" outlineLevel="0" collapsed="false">
      <c r="A86" s="0" t="s">
        <v>12</v>
      </c>
    </row>
    <row r="87" customFormat="false" ht="13.8" hidden="false" customHeight="false" outlineLevel="0" collapsed="false">
      <c r="A87" s="0" t="s">
        <v>16</v>
      </c>
    </row>
    <row r="88" customFormat="false" ht="13.8" hidden="false" customHeight="false" outlineLevel="0" collapsed="false">
      <c r="A88" s="0" t="s">
        <v>14</v>
      </c>
    </row>
    <row r="89" customFormat="false" ht="13.8" hidden="false" customHeight="false" outlineLevel="0" collapsed="false">
      <c r="A89" s="0" t="s">
        <v>13</v>
      </c>
    </row>
    <row r="90" customFormat="false" ht="13.8" hidden="false" customHeight="false" outlineLevel="0" collapsed="false">
      <c r="A90" s="0" t="s">
        <v>5</v>
      </c>
    </row>
    <row r="91" customFormat="false" ht="13.8" hidden="false" customHeight="false" outlineLevel="0" collapsed="false">
      <c r="A91" s="0" t="s">
        <v>7</v>
      </c>
    </row>
    <row r="92" customFormat="false" ht="13.8" hidden="false" customHeight="false" outlineLevel="0" collapsed="false">
      <c r="A92" s="0" t="s">
        <v>12</v>
      </c>
    </row>
    <row r="93" customFormat="false" ht="13.8" hidden="false" customHeight="false" outlineLevel="0" collapsed="false">
      <c r="A93" s="0" t="s">
        <v>5</v>
      </c>
    </row>
    <row r="94" customFormat="false" ht="13.8" hidden="false" customHeight="false" outlineLevel="0" collapsed="false">
      <c r="A94" s="0" t="s">
        <v>8</v>
      </c>
    </row>
    <row r="95" customFormat="false" ht="13.8" hidden="false" customHeight="false" outlineLevel="0" collapsed="false">
      <c r="A95" s="0" t="s">
        <v>5</v>
      </c>
    </row>
    <row r="96" customFormat="false" ht="13.8" hidden="false" customHeight="false" outlineLevel="0" collapsed="false">
      <c r="A96" s="0" t="s">
        <v>2</v>
      </c>
    </row>
    <row r="97" customFormat="false" ht="13.8" hidden="false" customHeight="false" outlineLevel="0" collapsed="false">
      <c r="A97" s="0" t="s">
        <v>8</v>
      </c>
    </row>
    <row r="98" customFormat="false" ht="13.8" hidden="false" customHeight="false" outlineLevel="0" collapsed="false">
      <c r="A98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3</v>
      </c>
      <c r="B2" s="0" t="s">
        <v>16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13</v>
      </c>
      <c r="B3" s="0" t="s">
        <v>2</v>
      </c>
      <c r="D3" s="12" t="s">
        <v>2</v>
      </c>
      <c r="E3" s="0" t="n">
        <f aca="false">COUNTIF($A$2:$A$200,D3)</f>
        <v>0</v>
      </c>
      <c r="F3" s="0" t="n">
        <f aca="false">COUNTIF($B$2:$B$200,D3)</f>
        <v>18</v>
      </c>
      <c r="G3" s="0" t="n">
        <f aca="false">E3-F3</f>
        <v>-18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16</v>
      </c>
      <c r="B4" s="0" t="s">
        <v>16</v>
      </c>
      <c r="D4" s="12" t="s">
        <v>3</v>
      </c>
      <c r="E4" s="0" t="n">
        <f aca="false">COUNTIF($A$2:$A$114,D4)</f>
        <v>8</v>
      </c>
      <c r="F4" s="0" t="n">
        <f aca="false">COUNTIF($B$2:$B$32,D4)</f>
        <v>0</v>
      </c>
      <c r="G4" s="0" t="n">
        <f aca="false">E4-F4</f>
        <v>8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8</v>
      </c>
      <c r="B5" s="0" t="s">
        <v>2</v>
      </c>
      <c r="D5" s="12" t="s">
        <v>4</v>
      </c>
      <c r="E5" s="0" t="n">
        <f aca="false">COUNTIF($A$2:$A$114,D5)</f>
        <v>3</v>
      </c>
      <c r="F5" s="0" t="n">
        <f aca="false">COUNTIF($B$2:$B$32,D5)</f>
        <v>5</v>
      </c>
      <c r="G5" s="0" t="n">
        <f aca="false">E5-F5</f>
        <v>-2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8</v>
      </c>
      <c r="B6" s="0" t="s">
        <v>4</v>
      </c>
      <c r="D6" s="12" t="s">
        <v>5</v>
      </c>
      <c r="E6" s="0" t="n">
        <f aca="false">COUNTIF($A$2:$A$114,D6)</f>
        <v>0</v>
      </c>
      <c r="F6" s="0" t="n">
        <f aca="false">COUNTIF($B$2:$B$32,D6)</f>
        <v>0</v>
      </c>
      <c r="G6" s="0" t="n">
        <f aca="false">E6-F6</f>
        <v>0</v>
      </c>
      <c r="H6" s="0" t="str">
        <f aca="false">IF(G6&gt;0,D6,"")</f>
        <v/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14</v>
      </c>
      <c r="B7" s="0" t="s">
        <v>4</v>
      </c>
      <c r="D7" s="12" t="s">
        <v>6</v>
      </c>
      <c r="E7" s="0" t="n">
        <f aca="false">COUNTIF($A$2:$A$114,D7)</f>
        <v>7</v>
      </c>
      <c r="F7" s="0" t="n">
        <f aca="false">COUNTIF($B$2:$B$32,D7)</f>
        <v>0</v>
      </c>
      <c r="G7" s="0" t="n">
        <f aca="false">E7-F7</f>
        <v>7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8</v>
      </c>
      <c r="B8" s="0" t="s">
        <v>16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8</v>
      </c>
      <c r="B9" s="0" t="s">
        <v>2</v>
      </c>
      <c r="D9" s="12" t="s">
        <v>8</v>
      </c>
      <c r="E9" s="0" t="n">
        <f aca="false">COUNTIF($A$2:$A$114,D9)</f>
        <v>12</v>
      </c>
      <c r="F9" s="0" t="n">
        <f aca="false">COUNTIF($B$2:$B$32,D9)</f>
        <v>0</v>
      </c>
      <c r="G9" s="0" t="n">
        <f aca="false">E9-F9</f>
        <v>12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3</v>
      </c>
      <c r="B10" s="0" t="s">
        <v>4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6</v>
      </c>
      <c r="B11" s="0" t="s">
        <v>16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16</v>
      </c>
      <c r="B12" s="0" t="s">
        <v>16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13</v>
      </c>
      <c r="B13" s="0" t="s">
        <v>2</v>
      </c>
      <c r="D13" s="12" t="s">
        <v>12</v>
      </c>
      <c r="E13" s="0" t="n">
        <f aca="false">COUNTIF($A$2:$A$114,D13)</f>
        <v>1</v>
      </c>
      <c r="F13" s="0" t="n">
        <f aca="false">COUNTIF($B$2:$B$32,D13)</f>
        <v>0</v>
      </c>
      <c r="G13" s="0" t="n">
        <f aca="false">E13-F13</f>
        <v>1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3</v>
      </c>
      <c r="B14" s="0" t="s">
        <v>13</v>
      </c>
      <c r="D14" s="12" t="s">
        <v>13</v>
      </c>
      <c r="E14" s="0" t="n">
        <f aca="false">COUNTIF($A$2:$A$114,D14)</f>
        <v>7</v>
      </c>
      <c r="F14" s="0" t="n">
        <f aca="false">COUNTIF($B$2:$B$32,D14)</f>
        <v>5</v>
      </c>
      <c r="G14" s="0" t="n">
        <f aca="false">E14-F14</f>
        <v>2</v>
      </c>
      <c r="H14" s="0" t="str">
        <f aca="false">IF(G14&gt;0,D14,"")</f>
        <v>Paraguay</v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14</v>
      </c>
      <c r="B15" s="0" t="s">
        <v>16</v>
      </c>
      <c r="D15" s="12" t="s">
        <v>14</v>
      </c>
      <c r="E15" s="0" t="n">
        <f aca="false">COUNTIF($A$2:$A$114,D15)</f>
        <v>7</v>
      </c>
      <c r="F15" s="0" t="n">
        <f aca="false">COUNTIF($B$2:$B$32,D15)</f>
        <v>2</v>
      </c>
      <c r="G15" s="0" t="n">
        <f aca="false">E15-F15</f>
        <v>5</v>
      </c>
      <c r="H15" s="0" t="str">
        <f aca="false">IF(G15&gt;0,D15,"")</f>
        <v>Peru</v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8</v>
      </c>
      <c r="B16" s="0" t="s">
        <v>2</v>
      </c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6</v>
      </c>
      <c r="B17" s="0" t="s">
        <v>13</v>
      </c>
      <c r="D17" s="12" t="s">
        <v>16</v>
      </c>
      <c r="E17" s="0" t="n">
        <f aca="false">COUNTIF($A$2:$A$114,D17)</f>
        <v>6</v>
      </c>
      <c r="F17" s="0" t="n">
        <f aca="false">COUNTIF($B$2:$B$32,D17)</f>
        <v>11</v>
      </c>
      <c r="G17" s="0" t="n">
        <f aca="false">E17-F17</f>
        <v>-5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A18" s="0" t="s">
        <v>3</v>
      </c>
      <c r="B18" s="0" t="s">
        <v>16</v>
      </c>
      <c r="D18" s="12" t="s">
        <v>18</v>
      </c>
      <c r="E18" s="0" t="n">
        <f aca="false">COUNTIF($A$2:$A$114,D18)</f>
        <v>7</v>
      </c>
      <c r="F18" s="0" t="n">
        <f aca="false">COUNTIF($B$2:$B$32,D18)</f>
        <v>0</v>
      </c>
      <c r="G18" s="0" t="n">
        <f aca="false">E18-F18</f>
        <v>7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8</v>
      </c>
      <c r="B19" s="0" t="s">
        <v>2</v>
      </c>
    </row>
    <row r="20" customFormat="false" ht="13.8" hidden="false" customHeight="false" outlineLevel="0" collapsed="false">
      <c r="A20" s="0" t="s">
        <v>16</v>
      </c>
      <c r="B20" s="0" t="s">
        <v>16</v>
      </c>
    </row>
    <row r="21" customFormat="false" ht="13.8" hidden="false" customHeight="false" outlineLevel="0" collapsed="false">
      <c r="A21" s="0" t="s">
        <v>16</v>
      </c>
      <c r="B21" s="0" t="s">
        <v>14</v>
      </c>
    </row>
    <row r="22" customFormat="false" ht="13.8" hidden="false" customHeight="false" outlineLevel="0" collapsed="false">
      <c r="A22" s="0" t="s">
        <v>8</v>
      </c>
      <c r="B22" s="0" t="s">
        <v>2</v>
      </c>
    </row>
    <row r="23" customFormat="false" ht="13.8" hidden="false" customHeight="false" outlineLevel="0" collapsed="false">
      <c r="A23" s="0" t="s">
        <v>8</v>
      </c>
      <c r="B23" s="0" t="s">
        <v>4</v>
      </c>
    </row>
    <row r="24" customFormat="false" ht="13.8" hidden="false" customHeight="false" outlineLevel="0" collapsed="false">
      <c r="A24" s="0" t="s">
        <v>14</v>
      </c>
      <c r="B24" s="0" t="s">
        <v>13</v>
      </c>
    </row>
    <row r="25" customFormat="false" ht="13.8" hidden="false" customHeight="false" outlineLevel="0" collapsed="false">
      <c r="A25" s="0" t="s">
        <v>13</v>
      </c>
      <c r="B25" s="0" t="s">
        <v>13</v>
      </c>
    </row>
    <row r="26" customFormat="false" ht="13.8" hidden="false" customHeight="false" outlineLevel="0" collapsed="false">
      <c r="A26" s="0" t="s">
        <v>4</v>
      </c>
      <c r="B26" s="0" t="s">
        <v>14</v>
      </c>
    </row>
    <row r="27" customFormat="false" ht="13.8" hidden="false" customHeight="false" outlineLevel="0" collapsed="false">
      <c r="A27" s="0" t="s">
        <v>14</v>
      </c>
      <c r="B27" s="0" t="s">
        <v>16</v>
      </c>
    </row>
    <row r="28" customFormat="false" ht="13.8" hidden="false" customHeight="false" outlineLevel="0" collapsed="false">
      <c r="A28" s="0" t="s">
        <v>13</v>
      </c>
      <c r="B28" s="0" t="s">
        <v>16</v>
      </c>
    </row>
    <row r="29" customFormat="false" ht="13.8" hidden="false" customHeight="false" outlineLevel="0" collapsed="false">
      <c r="A29" s="0" t="s">
        <v>6</v>
      </c>
      <c r="B29" s="0" t="s">
        <v>2</v>
      </c>
    </row>
    <row r="30" customFormat="false" ht="13.8" hidden="false" customHeight="false" outlineLevel="0" collapsed="false">
      <c r="A30" s="0" t="s">
        <v>3</v>
      </c>
      <c r="B30" s="0" t="s">
        <v>16</v>
      </c>
    </row>
    <row r="31" customFormat="false" ht="13.8" hidden="false" customHeight="false" outlineLevel="0" collapsed="false">
      <c r="A31" s="0" t="s">
        <v>16</v>
      </c>
      <c r="B31" s="0" t="s">
        <v>4</v>
      </c>
    </row>
    <row r="32" customFormat="false" ht="13.8" hidden="false" customHeight="false" outlineLevel="0" collapsed="false">
      <c r="A32" s="0" t="s">
        <v>6</v>
      </c>
      <c r="B32" s="0" t="s">
        <v>13</v>
      </c>
    </row>
    <row r="33" customFormat="false" ht="13.8" hidden="false" customHeight="false" outlineLevel="0" collapsed="false">
      <c r="A33" s="0" t="s">
        <v>18</v>
      </c>
      <c r="B33" s="0" t="s">
        <v>4</v>
      </c>
    </row>
    <row r="34" customFormat="false" ht="13.8" hidden="false" customHeight="false" outlineLevel="0" collapsed="false">
      <c r="A34" s="0" t="s">
        <v>13</v>
      </c>
      <c r="B34" s="0" t="s">
        <v>16</v>
      </c>
    </row>
    <row r="35" customFormat="false" ht="13.8" hidden="false" customHeight="false" outlineLevel="0" collapsed="false">
      <c r="A35" s="0" t="s">
        <v>3</v>
      </c>
      <c r="B35" s="0" t="s">
        <v>2</v>
      </c>
    </row>
    <row r="36" customFormat="false" ht="13.8" hidden="false" customHeight="false" outlineLevel="0" collapsed="false">
      <c r="A36" s="0" t="s">
        <v>18</v>
      </c>
      <c r="B36" s="0" t="s">
        <v>4</v>
      </c>
    </row>
    <row r="37" customFormat="false" ht="13.8" hidden="false" customHeight="false" outlineLevel="0" collapsed="false">
      <c r="A37" s="0" t="s">
        <v>6</v>
      </c>
      <c r="B37" s="0" t="s">
        <v>16</v>
      </c>
    </row>
    <row r="38" customFormat="false" ht="13.8" hidden="false" customHeight="false" outlineLevel="0" collapsed="false">
      <c r="A38" s="0" t="s">
        <v>14</v>
      </c>
      <c r="B38" s="0" t="s">
        <v>13</v>
      </c>
    </row>
    <row r="39" customFormat="false" ht="13.8" hidden="false" customHeight="false" outlineLevel="0" collapsed="false">
      <c r="A39" s="0" t="s">
        <v>13</v>
      </c>
      <c r="B39" s="0" t="s">
        <v>3</v>
      </c>
    </row>
    <row r="40" customFormat="false" ht="13.8" hidden="false" customHeight="false" outlineLevel="0" collapsed="false">
      <c r="A40" s="0" t="s">
        <v>18</v>
      </c>
      <c r="B40" s="0" t="s">
        <v>4</v>
      </c>
    </row>
    <row r="41" customFormat="false" ht="13.8" hidden="false" customHeight="false" outlineLevel="0" collapsed="false">
      <c r="A41" s="0" t="s">
        <v>16</v>
      </c>
      <c r="B41" s="0" t="s">
        <v>13</v>
      </c>
    </row>
    <row r="42" customFormat="false" ht="13.8" hidden="false" customHeight="false" outlineLevel="0" collapsed="false">
      <c r="A42" s="0" t="s">
        <v>18</v>
      </c>
      <c r="B42" s="0" t="s">
        <v>14</v>
      </c>
    </row>
    <row r="43" customFormat="false" ht="13.8" hidden="false" customHeight="false" outlineLevel="0" collapsed="false">
      <c r="A43" s="0" t="s">
        <v>4</v>
      </c>
      <c r="B43" s="0" t="s">
        <v>13</v>
      </c>
    </row>
    <row r="44" customFormat="false" ht="13.8" hidden="false" customHeight="false" outlineLevel="0" collapsed="false">
      <c r="A44" s="0" t="s">
        <v>6</v>
      </c>
      <c r="B44" s="0" t="s">
        <v>4</v>
      </c>
    </row>
    <row r="45" customFormat="false" ht="13.8" hidden="false" customHeight="false" outlineLevel="0" collapsed="false">
      <c r="A45" s="0" t="s">
        <v>3</v>
      </c>
      <c r="B45" s="0" t="s">
        <v>2</v>
      </c>
    </row>
    <row r="46" customFormat="false" ht="13.8" hidden="false" customHeight="false" outlineLevel="0" collapsed="false">
      <c r="A46" s="0" t="s">
        <v>8</v>
      </c>
      <c r="B46" s="0" t="s">
        <v>2</v>
      </c>
    </row>
    <row r="47" customFormat="false" ht="13.8" hidden="false" customHeight="false" outlineLevel="0" collapsed="false">
      <c r="A47" s="0" t="s">
        <v>18</v>
      </c>
      <c r="B47" s="0" t="s">
        <v>16</v>
      </c>
    </row>
    <row r="48" customFormat="false" ht="13.8" hidden="false" customHeight="false" outlineLevel="0" collapsed="false">
      <c r="A48" s="0" t="s">
        <v>14</v>
      </c>
      <c r="B48" s="0" t="s">
        <v>4</v>
      </c>
    </row>
    <row r="49" customFormat="false" ht="13.8" hidden="false" customHeight="false" outlineLevel="0" collapsed="false">
      <c r="A49" s="0" t="s">
        <v>13</v>
      </c>
      <c r="B49" s="0" t="s">
        <v>14</v>
      </c>
    </row>
    <row r="50" customFormat="false" ht="13.8" hidden="false" customHeight="false" outlineLevel="0" collapsed="false">
      <c r="A50" s="0" t="s">
        <v>4</v>
      </c>
      <c r="B50" s="0" t="s">
        <v>2</v>
      </c>
    </row>
    <row r="51" customFormat="false" ht="13.8" hidden="false" customHeight="false" outlineLevel="0" collapsed="false">
      <c r="A51" s="0" t="s">
        <v>18</v>
      </c>
      <c r="B51" s="0" t="s">
        <v>16</v>
      </c>
    </row>
    <row r="52" customFormat="false" ht="13.8" hidden="false" customHeight="false" outlineLevel="0" collapsed="false">
      <c r="A52" s="0" t="s">
        <v>6</v>
      </c>
      <c r="B52" s="0" t="s">
        <v>2</v>
      </c>
    </row>
    <row r="53" customFormat="false" ht="13.8" hidden="false" customHeight="false" outlineLevel="0" collapsed="false">
      <c r="A53" s="0" t="s">
        <v>8</v>
      </c>
      <c r="B53" s="0" t="s">
        <v>13</v>
      </c>
    </row>
    <row r="54" customFormat="false" ht="13.8" hidden="false" customHeight="false" outlineLevel="0" collapsed="false">
      <c r="A54" s="0" t="s">
        <v>18</v>
      </c>
      <c r="B54" s="0" t="s">
        <v>4</v>
      </c>
    </row>
    <row r="55" customFormat="false" ht="13.8" hidden="false" customHeight="false" outlineLevel="0" collapsed="false">
      <c r="A55" s="0" t="s">
        <v>8</v>
      </c>
      <c r="B55" s="0" t="s">
        <v>2</v>
      </c>
    </row>
    <row r="56" customFormat="false" ht="13.8" hidden="false" customHeight="false" outlineLevel="0" collapsed="false">
      <c r="A56" s="0" t="s">
        <v>12</v>
      </c>
      <c r="B56" s="0" t="s">
        <v>3</v>
      </c>
    </row>
    <row r="57" customFormat="false" ht="13.8" hidden="false" customHeight="false" outlineLevel="0" collapsed="false">
      <c r="A57" s="0" t="s">
        <v>14</v>
      </c>
      <c r="B57" s="0" t="s">
        <v>14</v>
      </c>
    </row>
    <row r="58" customFormat="false" ht="13.8" hidden="false" customHeight="false" outlineLevel="0" collapsed="false">
      <c r="A58" s="0" t="s">
        <v>8</v>
      </c>
      <c r="B58" s="0" t="s">
        <v>6</v>
      </c>
    </row>
    <row r="59" customFormat="false" ht="13.8" hidden="false" customHeight="false" outlineLevel="0" collapsed="false">
      <c r="A59" s="0" t="s">
        <v>3</v>
      </c>
      <c r="B59" s="0" t="s">
        <v>13</v>
      </c>
    </row>
    <row r="60" customFormat="false" ht="13.8" hidden="false" customHeight="false" outlineLevel="0" collapsed="false">
      <c r="B60" s="0" t="s">
        <v>16</v>
      </c>
    </row>
    <row r="61" customFormat="false" ht="13.8" hidden="false" customHeight="false" outlineLevel="0" collapsed="false">
      <c r="B61" s="0" t="s">
        <v>16</v>
      </c>
    </row>
    <row r="62" customFormat="false" ht="13.8" hidden="false" customHeight="false" outlineLevel="0" collapsed="false">
      <c r="B62" s="0" t="s">
        <v>2</v>
      </c>
    </row>
    <row r="63" customFormat="false" ht="13.8" hidden="false" customHeight="false" outlineLevel="0" collapsed="false">
      <c r="B63" s="0" t="s">
        <v>16</v>
      </c>
    </row>
    <row r="64" customFormat="false" ht="13.8" hidden="false" customHeight="false" outlineLevel="0" collapsed="false">
      <c r="B64" s="0" t="s">
        <v>2</v>
      </c>
    </row>
    <row r="65" customFormat="false" ht="13.8" hidden="false" customHeight="false" outlineLevel="0" collapsed="false">
      <c r="B65" s="0" t="s">
        <v>4</v>
      </c>
    </row>
    <row r="66" customFormat="false" ht="13.8" hidden="false" customHeight="false" outlineLevel="0" collapsed="false">
      <c r="B66" s="0" t="s">
        <v>13</v>
      </c>
    </row>
    <row r="67" customFormat="false" ht="13.8" hidden="false" customHeight="false" outlineLevel="0" collapsed="false">
      <c r="B67" s="0" t="s">
        <v>14</v>
      </c>
    </row>
    <row r="68" customFormat="false" ht="13.8" hidden="false" customHeight="false" outlineLevel="0" collapsed="false">
      <c r="B68" s="0" t="s">
        <v>15</v>
      </c>
    </row>
    <row r="69" customFormat="false" ht="13.8" hidden="false" customHeight="false" outlineLevel="0" collapsed="false">
      <c r="B69" s="0" t="s">
        <v>2</v>
      </c>
    </row>
    <row r="70" customFormat="false" ht="13.8" hidden="false" customHeight="false" outlineLevel="0" collapsed="false">
      <c r="B70" s="0" t="s">
        <v>13</v>
      </c>
    </row>
    <row r="71" customFormat="false" ht="13.8" hidden="false" customHeight="false" outlineLevel="0" collapsed="false">
      <c r="B71" s="0" t="s">
        <v>2</v>
      </c>
    </row>
    <row r="72" customFormat="false" ht="13.8" hidden="false" customHeight="false" outlineLevel="0" collapsed="false">
      <c r="B72" s="0" t="s">
        <v>8</v>
      </c>
    </row>
    <row r="73" customFormat="false" ht="13.8" hidden="false" customHeight="false" outlineLevel="0" collapsed="false">
      <c r="B73" s="0" t="s">
        <v>12</v>
      </c>
    </row>
    <row r="74" customFormat="false" ht="13.8" hidden="false" customHeight="false" outlineLevel="0" collapsed="false">
      <c r="B74" s="0" t="s">
        <v>4</v>
      </c>
    </row>
    <row r="75" customFormat="false" ht="13.8" hidden="false" customHeight="false" outlineLevel="0" collapsed="false">
      <c r="B75" s="0" t="s">
        <v>12</v>
      </c>
    </row>
    <row r="76" customFormat="false" ht="13.8" hidden="false" customHeight="false" outlineLevel="0" collapsed="false">
      <c r="B76" s="0" t="s">
        <v>6</v>
      </c>
    </row>
    <row r="77" customFormat="false" ht="13.8" hidden="false" customHeight="false" outlineLevel="0" collapsed="false">
      <c r="B77" s="0" t="s">
        <v>12</v>
      </c>
    </row>
    <row r="78" customFormat="false" ht="13.8" hidden="false" customHeight="false" outlineLevel="0" collapsed="false">
      <c r="B78" s="0" t="s">
        <v>4</v>
      </c>
    </row>
    <row r="79" customFormat="false" ht="13.8" hidden="false" customHeight="false" outlineLevel="0" collapsed="false">
      <c r="B79" s="0" t="s">
        <v>7</v>
      </c>
    </row>
    <row r="80" customFormat="false" ht="13.8" hidden="false" customHeight="false" outlineLevel="0" collapsed="false">
      <c r="B80" s="0" t="s">
        <v>4</v>
      </c>
    </row>
    <row r="81" customFormat="false" ht="13.8" hidden="false" customHeight="false" outlineLevel="0" collapsed="false">
      <c r="B81" s="0" t="s">
        <v>4</v>
      </c>
    </row>
    <row r="82" customFormat="false" ht="13.8" hidden="false" customHeight="false" outlineLevel="0" collapsed="false">
      <c r="B82" s="0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8</v>
      </c>
      <c r="B2" s="0" t="s">
        <v>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16</v>
      </c>
      <c r="B3" s="0" t="s">
        <v>16</v>
      </c>
      <c r="D3" s="12" t="s">
        <v>2</v>
      </c>
      <c r="E3" s="0" t="n">
        <f aca="false">COUNTIF($A$2:$A$200,D3)</f>
        <v>2</v>
      </c>
      <c r="F3" s="0" t="n">
        <f aca="false">COUNTIF($B$2:$B$200,D3)</f>
        <v>7</v>
      </c>
      <c r="G3" s="0" t="n">
        <f aca="false">E3-F3</f>
        <v>-5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8</v>
      </c>
      <c r="B4" s="0" t="s">
        <v>5</v>
      </c>
      <c r="D4" s="12" t="s">
        <v>3</v>
      </c>
      <c r="E4" s="0" t="n">
        <f aca="false">COUNTIF($A$2:$A$114,D4)</f>
        <v>4</v>
      </c>
      <c r="F4" s="0" t="n">
        <f aca="false">COUNTIF($B$2:$B$32,D4)</f>
        <v>2</v>
      </c>
      <c r="G4" s="0" t="n">
        <f aca="false">E4-F4</f>
        <v>2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13</v>
      </c>
      <c r="B5" s="0" t="s">
        <v>2</v>
      </c>
      <c r="D5" s="12" t="s">
        <v>4</v>
      </c>
      <c r="E5" s="0" t="n">
        <f aca="false">COUNTIF($A$2:$A$114,D5)</f>
        <v>2</v>
      </c>
      <c r="F5" s="0" t="n">
        <f aca="false">COUNTIF($B$2:$B$32,D5)</f>
        <v>4</v>
      </c>
      <c r="G5" s="0" t="n">
        <f aca="false">E5-F5</f>
        <v>-2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8</v>
      </c>
      <c r="B6" s="0" t="s">
        <v>16</v>
      </c>
      <c r="D6" s="12" t="s">
        <v>5</v>
      </c>
      <c r="E6" s="0" t="n">
        <f aca="false">COUNTIF($A$2:$A$114,D6)</f>
        <v>2</v>
      </c>
      <c r="F6" s="0" t="n">
        <f aca="false">COUNTIF($B$2:$B$32,D6)</f>
        <v>6</v>
      </c>
      <c r="G6" s="0" t="n">
        <f aca="false">E6-F6</f>
        <v>-4</v>
      </c>
      <c r="H6" s="0" t="str">
        <f aca="false">IF(G6&gt;0,D6,"")</f>
        <v/>
      </c>
      <c r="I6" s="0" t="str">
        <f aca="false">IF(G6&lt;0,D6,"")</f>
        <v>Chile</v>
      </c>
    </row>
    <row r="7" customFormat="false" ht="13.8" hidden="false" customHeight="false" outlineLevel="0" collapsed="false">
      <c r="A7" s="0" t="s">
        <v>13</v>
      </c>
      <c r="B7" s="0" t="s">
        <v>2</v>
      </c>
      <c r="D7" s="12" t="s">
        <v>6</v>
      </c>
      <c r="E7" s="0" t="n">
        <f aca="false">COUNTIF($A$2:$A$114,D7)</f>
        <v>0</v>
      </c>
      <c r="F7" s="0" t="n">
        <f aca="false">COUNTIF($B$2:$B$32,D7)</f>
        <v>0</v>
      </c>
      <c r="G7" s="0" t="n">
        <f aca="false">E7-F7</f>
        <v>0</v>
      </c>
      <c r="H7" s="0" t="str">
        <f aca="false">IF(G7&gt;0,D7,"")</f>
        <v/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8</v>
      </c>
      <c r="B8" s="0" t="s">
        <v>13</v>
      </c>
      <c r="D8" s="12" t="s">
        <v>7</v>
      </c>
      <c r="E8" s="0" t="n">
        <f aca="false">COUNTIF($A$2:$A$114,D8)</f>
        <v>3</v>
      </c>
      <c r="F8" s="0" t="n">
        <f aca="false">COUNTIF($B$2:$B$32,D8)</f>
        <v>0</v>
      </c>
      <c r="G8" s="0" t="n">
        <f aca="false">E8-F8</f>
        <v>3</v>
      </c>
      <c r="H8" s="0" t="str">
        <f aca="false">IF(G8&gt;0,D8,"")</f>
        <v>Costa Rica</v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16</v>
      </c>
      <c r="B9" s="0" t="s">
        <v>14</v>
      </c>
      <c r="D9" s="12" t="s">
        <v>8</v>
      </c>
      <c r="E9" s="0" t="n">
        <f aca="false">COUNTIF($A$2:$A$114,D9)</f>
        <v>9</v>
      </c>
      <c r="F9" s="0" t="n">
        <f aca="false">COUNTIF($B$2:$B$32,D9)</f>
        <v>2</v>
      </c>
      <c r="G9" s="0" t="n">
        <f aca="false">E9-F9</f>
        <v>7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14</v>
      </c>
      <c r="B10" s="0" t="s">
        <v>5</v>
      </c>
      <c r="D10" s="12" t="s">
        <v>9</v>
      </c>
      <c r="E10" s="0" t="n">
        <f aca="false">COUNTIF($A$2:$A$114,D10)</f>
        <v>1</v>
      </c>
      <c r="F10" s="0" t="n">
        <f aca="false">COUNTIF($B$2:$B$32,D10)</f>
        <v>0</v>
      </c>
      <c r="G10" s="0" t="n">
        <f aca="false">E10-F10</f>
        <v>1</v>
      </c>
      <c r="H10" s="0" t="str">
        <f aca="false">IF(G10&gt;0,D10,"")</f>
        <v>Honduras</v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5</v>
      </c>
      <c r="B11" s="0" t="s">
        <v>13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18</v>
      </c>
      <c r="B12" s="0" t="s">
        <v>14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3</v>
      </c>
      <c r="B13" s="0" t="s">
        <v>4</v>
      </c>
      <c r="D13" s="12" t="s">
        <v>12</v>
      </c>
      <c r="E13" s="0" t="n">
        <f aca="false">COUNTIF($A$2:$A$114,D13)</f>
        <v>2</v>
      </c>
      <c r="F13" s="0" t="n">
        <f aca="false">COUNTIF($B$2:$B$32,D13)</f>
        <v>0</v>
      </c>
      <c r="G13" s="0" t="n">
        <f aca="false">E13-F13</f>
        <v>2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3</v>
      </c>
      <c r="B14" s="0" t="s">
        <v>8</v>
      </c>
      <c r="D14" s="12" t="s">
        <v>13</v>
      </c>
      <c r="E14" s="0" t="n">
        <f aca="false">COUNTIF($A$2:$A$114,D14)</f>
        <v>3</v>
      </c>
      <c r="F14" s="0" t="n">
        <f aca="false">COUNTIF($B$2:$B$32,D14)</f>
        <v>4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A15" s="0" t="s">
        <v>13</v>
      </c>
      <c r="B15" s="0" t="s">
        <v>3</v>
      </c>
      <c r="D15" s="12" t="s">
        <v>14</v>
      </c>
      <c r="E15" s="0" t="n">
        <f aca="false">COUNTIF($A$2:$A$114,D15)</f>
        <v>2</v>
      </c>
      <c r="F15" s="0" t="n">
        <f aca="false">COUNTIF($B$2:$B$32,D15)</f>
        <v>6</v>
      </c>
      <c r="G15" s="0" t="n">
        <f aca="false">E15-F15</f>
        <v>-4</v>
      </c>
      <c r="H15" s="0" t="str">
        <f aca="false">IF(G15&gt;0,D15,"")</f>
        <v/>
      </c>
      <c r="I15" s="0" t="str">
        <f aca="false">IF(G15&lt;0,D15,"")</f>
        <v>Peru</v>
      </c>
    </row>
    <row r="16" customFormat="false" ht="13.8" hidden="false" customHeight="false" outlineLevel="0" collapsed="false">
      <c r="A16" s="0" t="s">
        <v>2</v>
      </c>
      <c r="B16" s="0" t="s">
        <v>2</v>
      </c>
      <c r="D16" s="12" t="s">
        <v>15</v>
      </c>
      <c r="E16" s="0" t="n">
        <v>2</v>
      </c>
      <c r="F16" s="0" t="n">
        <f aca="false">COUNTIF($B$2:$B$32,D16)</f>
        <v>0</v>
      </c>
      <c r="G16" s="0" t="n">
        <f aca="false">E16-F16</f>
        <v>2</v>
      </c>
      <c r="H16" s="0" t="str">
        <f aca="false">IF(G16&gt;0,D16,"")</f>
        <v>U.S.A.</v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18</v>
      </c>
      <c r="B17" s="0" t="s">
        <v>5</v>
      </c>
      <c r="D17" s="12" t="s">
        <v>16</v>
      </c>
      <c r="E17" s="0" t="n">
        <f aca="false">COUNTIF($A$2:$A$114,D17)</f>
        <v>3</v>
      </c>
      <c r="F17" s="0" t="n">
        <f aca="false">COUNTIF($B$2:$B$32,D17)</f>
        <v>3</v>
      </c>
      <c r="G17" s="0" t="n">
        <f aca="false">E17-F17</f>
        <v>0</v>
      </c>
      <c r="H17" s="0" t="str">
        <f aca="false">IF(G17&gt;0,D17,"")</f>
        <v/>
      </c>
      <c r="I17" s="0" t="str">
        <f aca="false">IF(G17&lt;0,D17,"")</f>
        <v/>
      </c>
    </row>
    <row r="18" customFormat="false" ht="13.8" hidden="false" customHeight="false" outlineLevel="0" collapsed="false">
      <c r="A18" s="0" t="s">
        <v>8</v>
      </c>
      <c r="B18" s="0" t="s">
        <v>4</v>
      </c>
      <c r="D18" s="12" t="s">
        <v>18</v>
      </c>
      <c r="E18" s="0" t="n">
        <f aca="false">COUNTIF($A$2:$A$114,D18)</f>
        <v>4</v>
      </c>
      <c r="F18" s="0" t="n">
        <f aca="false">COUNTIF($B$2:$B$32,D18)</f>
        <v>0</v>
      </c>
      <c r="G18" s="0" t="n">
        <f aca="false">E18-F18</f>
        <v>4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4</v>
      </c>
      <c r="B19" s="0" t="s">
        <v>14</v>
      </c>
    </row>
    <row r="20" customFormat="false" ht="13.8" hidden="false" customHeight="false" outlineLevel="0" collapsed="false">
      <c r="A20" s="0" t="s">
        <v>12</v>
      </c>
      <c r="B20" s="0" t="s">
        <v>2</v>
      </c>
    </row>
    <row r="21" customFormat="false" ht="13.8" hidden="false" customHeight="false" outlineLevel="0" collapsed="false">
      <c r="A21" s="0" t="s">
        <v>8</v>
      </c>
      <c r="B21" s="0" t="s">
        <v>4</v>
      </c>
    </row>
    <row r="22" customFormat="false" ht="13.8" hidden="false" customHeight="false" outlineLevel="0" collapsed="false">
      <c r="A22" s="0" t="s">
        <v>8</v>
      </c>
      <c r="B22" s="0" t="s">
        <v>3</v>
      </c>
    </row>
    <row r="23" customFormat="false" ht="13.8" hidden="false" customHeight="false" outlineLevel="0" collapsed="false">
      <c r="A23" s="0" t="s">
        <v>164</v>
      </c>
      <c r="B23" s="0" t="s">
        <v>13</v>
      </c>
    </row>
    <row r="24" customFormat="false" ht="13.8" hidden="false" customHeight="false" outlineLevel="0" collapsed="false">
      <c r="A24" s="0" t="s">
        <v>7</v>
      </c>
      <c r="B24" s="0" t="s">
        <v>8</v>
      </c>
    </row>
    <row r="25" customFormat="false" ht="13.8" hidden="false" customHeight="false" outlineLevel="0" collapsed="false">
      <c r="A25" s="0" t="s">
        <v>16</v>
      </c>
      <c r="B25" s="0" t="s">
        <v>5</v>
      </c>
    </row>
    <row r="26" customFormat="false" ht="13.8" hidden="false" customHeight="false" outlineLevel="0" collapsed="false">
      <c r="A26" s="0" t="s">
        <v>2</v>
      </c>
      <c r="B26" s="0" t="s">
        <v>16</v>
      </c>
    </row>
    <row r="27" customFormat="false" ht="13.8" hidden="false" customHeight="false" outlineLevel="0" collapsed="false">
      <c r="A27" s="0" t="s">
        <v>8</v>
      </c>
      <c r="B27" s="0" t="s">
        <v>14</v>
      </c>
    </row>
    <row r="28" customFormat="false" ht="13.8" hidden="false" customHeight="false" outlineLevel="0" collapsed="false">
      <c r="A28" s="0" t="s">
        <v>18</v>
      </c>
      <c r="B28" s="0" t="s">
        <v>14</v>
      </c>
    </row>
    <row r="29" customFormat="false" ht="13.8" hidden="false" customHeight="false" outlineLevel="0" collapsed="false">
      <c r="A29" s="0" t="s">
        <v>8</v>
      </c>
      <c r="B29" s="0" t="s">
        <v>5</v>
      </c>
    </row>
    <row r="30" customFormat="false" ht="13.8" hidden="false" customHeight="false" outlineLevel="0" collapsed="false">
      <c r="A30" s="0" t="s">
        <v>5</v>
      </c>
      <c r="B30" s="0" t="s">
        <v>14</v>
      </c>
    </row>
    <row r="31" customFormat="false" ht="13.8" hidden="false" customHeight="false" outlineLevel="0" collapsed="false">
      <c r="A31" s="0" t="s">
        <v>14</v>
      </c>
      <c r="B31" s="0" t="s">
        <v>5</v>
      </c>
    </row>
    <row r="32" customFormat="false" ht="13.8" hidden="false" customHeight="false" outlineLevel="0" collapsed="false">
      <c r="A32" s="0" t="s">
        <v>9</v>
      </c>
      <c r="B32" s="0" t="s">
        <v>13</v>
      </c>
    </row>
    <row r="33" customFormat="false" ht="13.8" hidden="false" customHeight="false" outlineLevel="0" collapsed="false">
      <c r="A33" s="0" t="s">
        <v>12</v>
      </c>
      <c r="B33" s="0" t="s">
        <v>16</v>
      </c>
    </row>
    <row r="34" customFormat="false" ht="13.8" hidden="false" customHeight="false" outlineLevel="0" collapsed="false">
      <c r="A34" s="0" t="s">
        <v>18</v>
      </c>
      <c r="B34" s="0" t="s">
        <v>4</v>
      </c>
    </row>
    <row r="35" customFormat="false" ht="13.8" hidden="false" customHeight="false" outlineLevel="0" collapsed="false">
      <c r="A35" s="0" t="s">
        <v>3</v>
      </c>
      <c r="B35" s="0" t="s">
        <v>2</v>
      </c>
    </row>
    <row r="36" customFormat="false" ht="13.8" hidden="false" customHeight="false" outlineLevel="0" collapsed="false">
      <c r="A36" s="0" t="s">
        <v>7</v>
      </c>
      <c r="B36" s="0" t="s">
        <v>4</v>
      </c>
    </row>
    <row r="37" customFormat="false" ht="13.8" hidden="false" customHeight="false" outlineLevel="0" collapsed="false">
      <c r="A37" s="0" t="s">
        <v>164</v>
      </c>
      <c r="B37" s="0" t="s">
        <v>16</v>
      </c>
    </row>
    <row r="38" customFormat="false" ht="13.8" hidden="false" customHeight="false" outlineLevel="0" collapsed="false">
      <c r="A38" s="0" t="s">
        <v>7</v>
      </c>
      <c r="B38" s="0" t="s">
        <v>12</v>
      </c>
    </row>
    <row r="39" customFormat="false" ht="13.8" hidden="false" customHeight="false" outlineLevel="0" collapsed="false">
      <c r="A39" s="0" t="s">
        <v>3</v>
      </c>
      <c r="B39" s="0" t="s">
        <v>4</v>
      </c>
    </row>
    <row r="40" customFormat="false" ht="13.8" hidden="false" customHeight="false" outlineLevel="0" collapsed="false">
      <c r="A40" s="0" t="s">
        <v>4</v>
      </c>
      <c r="B40" s="0" t="s">
        <v>3</v>
      </c>
    </row>
    <row r="41" customFormat="false" ht="13.8" hidden="false" customHeight="false" outlineLevel="0" collapsed="false">
      <c r="B41" s="0" t="s">
        <v>5</v>
      </c>
    </row>
    <row r="42" customFormat="false" ht="13.8" hidden="false" customHeight="false" outlineLevel="0" collapsed="false">
      <c r="B42" s="0" t="s">
        <v>2</v>
      </c>
    </row>
    <row r="43" customFormat="false" ht="13.8" hidden="false" customHeight="false" outlineLevel="0" collapsed="false">
      <c r="B43" s="0" t="s">
        <v>16</v>
      </c>
    </row>
    <row r="44" customFormat="false" ht="13.8" hidden="false" customHeight="false" outlineLevel="0" collapsed="false">
      <c r="B44" s="0" t="s">
        <v>13</v>
      </c>
    </row>
    <row r="45" customFormat="false" ht="13.8" hidden="false" customHeight="false" outlineLevel="0" collapsed="false">
      <c r="B45" s="0" t="s">
        <v>2</v>
      </c>
    </row>
    <row r="46" customFormat="false" ht="13.8" hidden="false" customHeight="false" outlineLevel="0" collapsed="false">
      <c r="B46" s="0" t="s">
        <v>14</v>
      </c>
    </row>
    <row r="47" customFormat="false" ht="13.8" hidden="false" customHeight="false" outlineLevel="0" collapsed="false">
      <c r="B47" s="0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9</v>
      </c>
      <c r="B2" s="0" t="s">
        <v>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3</v>
      </c>
      <c r="B3" s="0" t="s">
        <v>6</v>
      </c>
      <c r="D3" s="12" t="s">
        <v>2</v>
      </c>
      <c r="E3" s="0" t="n">
        <f aca="false">COUNTIF($A$2:$A$200,D3)</f>
        <v>0</v>
      </c>
      <c r="F3" s="0" t="n">
        <f aca="false">COUNTIF($B$2:$B$200,D3)</f>
        <v>1</v>
      </c>
      <c r="G3" s="0" t="n">
        <f aca="false">E3-F3</f>
        <v>-1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5</v>
      </c>
      <c r="B4" s="0" t="s">
        <v>16</v>
      </c>
      <c r="D4" s="12" t="s">
        <v>3</v>
      </c>
      <c r="E4" s="0" t="n">
        <f aca="false">COUNTIF($A$2:$A$114,D4)</f>
        <v>2</v>
      </c>
      <c r="F4" s="0" t="n">
        <f aca="false">COUNTIF($B$2:$B$32,D4)</f>
        <v>0</v>
      </c>
      <c r="G4" s="0" t="n">
        <f aca="false">E4-F4</f>
        <v>2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3</v>
      </c>
      <c r="B5" s="0" t="s">
        <v>13</v>
      </c>
      <c r="D5" s="12" t="s">
        <v>4</v>
      </c>
      <c r="E5" s="0" t="n">
        <f aca="false">COUNTIF($A$2:$A$114,D5)</f>
        <v>0</v>
      </c>
      <c r="F5" s="0" t="n">
        <f aca="false">COUNTIF($B$2:$B$32,D5)</f>
        <v>2</v>
      </c>
      <c r="G5" s="0" t="n">
        <f aca="false">E5-F5</f>
        <v>-2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B6" s="0" t="s">
        <v>4</v>
      </c>
      <c r="D6" s="12" t="s">
        <v>5</v>
      </c>
      <c r="E6" s="0" t="n">
        <f aca="false">COUNTIF($A$2:$A$114,D6)</f>
        <v>1</v>
      </c>
      <c r="F6" s="0" t="n">
        <f aca="false">COUNTIF($B$2:$B$32,D6)</f>
        <v>0</v>
      </c>
      <c r="G6" s="0" t="n">
        <f aca="false">E6-F6</f>
        <v>1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B7" s="0" t="s">
        <v>6</v>
      </c>
      <c r="D7" s="12" t="s">
        <v>6</v>
      </c>
      <c r="E7" s="0" t="n">
        <f aca="false">COUNTIF($A$2:$A$114,D7)</f>
        <v>0</v>
      </c>
      <c r="F7" s="0" t="n">
        <f aca="false">COUNTIF($B$2:$B$32,D7)</f>
        <v>3</v>
      </c>
      <c r="G7" s="0" t="n">
        <f aca="false">E7-F7</f>
        <v>-3</v>
      </c>
      <c r="H7" s="0" t="str">
        <f aca="false">IF(G7&gt;0,D7,"")</f>
        <v/>
      </c>
      <c r="I7" s="0" t="str">
        <f aca="false">IF(G7&lt;0,D7,"")</f>
        <v>Colombia</v>
      </c>
    </row>
    <row r="8" customFormat="false" ht="13.8" hidden="false" customHeight="false" outlineLevel="0" collapsed="false">
      <c r="B8" s="0" t="s">
        <v>6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B9" s="0" t="s">
        <v>2</v>
      </c>
      <c r="D9" s="12" t="s">
        <v>8</v>
      </c>
      <c r="E9" s="0" t="n">
        <f aca="false">COUNTIF($A$2:$A$114,D9)</f>
        <v>0</v>
      </c>
      <c r="F9" s="0" t="n">
        <f aca="false">COUNTIF($B$2:$B$32,D9)</f>
        <v>0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D10" s="12" t="s">
        <v>9</v>
      </c>
      <c r="E10" s="0" t="n">
        <f aca="false">COUNTIF($A$2:$A$114,D10)</f>
        <v>1</v>
      </c>
      <c r="F10" s="0" t="n">
        <f aca="false">COUNTIF($B$2:$B$32,D10)</f>
        <v>0</v>
      </c>
      <c r="G10" s="0" t="n">
        <f aca="false">E10-F10</f>
        <v>1</v>
      </c>
      <c r="H10" s="0" t="str">
        <f aca="false">IF(G10&gt;0,D10,"")</f>
        <v>Honduras</v>
      </c>
      <c r="I10" s="0" t="str">
        <f aca="false">IF(G10&lt;0,D10,"")</f>
        <v/>
      </c>
    </row>
    <row r="11" customFormat="false" ht="13.8" hidden="false" customHeight="false" outlineLevel="0" collapsed="false"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D14" s="12" t="s">
        <v>13</v>
      </c>
      <c r="E14" s="0" t="n">
        <f aca="false">COUNTIF($A$2:$A$114,D14)</f>
        <v>0</v>
      </c>
      <c r="F14" s="0" t="n">
        <f aca="false">COUNTIF($B$2:$B$32,D14)</f>
        <v>1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D15" s="12" t="s">
        <v>14</v>
      </c>
      <c r="E15" s="0" t="n">
        <f aca="false">COUNTIF($A$2:$A$114,D15)</f>
        <v>0</v>
      </c>
      <c r="F15" s="0" t="n">
        <f aca="false">COUNTIF($B$2:$B$32,D15)</f>
        <v>0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D17" s="12" t="s">
        <v>16</v>
      </c>
      <c r="E17" s="0" t="n">
        <f aca="false">COUNTIF($A$2:$A$114,D17)</f>
        <v>0</v>
      </c>
      <c r="F17" s="0" t="n">
        <f aca="false">COUNTIF($B$2:$B$32,D17)</f>
        <v>1</v>
      </c>
      <c r="G17" s="0" t="n">
        <f aca="false">E17-F17</f>
        <v>-1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8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6</v>
      </c>
      <c r="B2" s="0" t="s">
        <v>14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13</v>
      </c>
      <c r="B3" s="0" t="s">
        <v>16</v>
      </c>
      <c r="D3" s="12" t="s">
        <v>2</v>
      </c>
      <c r="E3" s="0" t="n">
        <f aca="false">COUNTIF($A$2:$A$200,D3)</f>
        <v>0</v>
      </c>
      <c r="F3" s="0" t="n">
        <f aca="false">COUNTIF($B$2:$B$200,D3)</f>
        <v>10</v>
      </c>
      <c r="G3" s="0" t="n">
        <f aca="false">E3-F3</f>
        <v>-10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6</v>
      </c>
      <c r="B4" s="0" t="s">
        <v>5</v>
      </c>
      <c r="D4" s="12" t="s">
        <v>3</v>
      </c>
      <c r="E4" s="0" t="n">
        <f aca="false">COUNTIF($A$2:$A$114,D4)</f>
        <v>1</v>
      </c>
      <c r="F4" s="0" t="n">
        <f aca="false">COUNTIF($B$2:$B$32,D4)</f>
        <v>1</v>
      </c>
      <c r="G4" s="0" t="n">
        <f aca="false">E4-F4</f>
        <v>0</v>
      </c>
      <c r="H4" s="0" t="str">
        <f aca="false">IF(G4&gt;0,D4,"")</f>
        <v/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16</v>
      </c>
      <c r="B5" s="0" t="s">
        <v>13</v>
      </c>
      <c r="D5" s="12" t="s">
        <v>4</v>
      </c>
      <c r="E5" s="0" t="n">
        <f aca="false">COUNTIF($A$2:$A$114,D5)</f>
        <v>0</v>
      </c>
      <c r="F5" s="0" t="n">
        <f aca="false">COUNTIF($B$2:$B$32,D5)</f>
        <v>4</v>
      </c>
      <c r="G5" s="0" t="n">
        <f aca="false">E5-F5</f>
        <v>-4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16</v>
      </c>
      <c r="B6" s="0" t="s">
        <v>5</v>
      </c>
      <c r="D6" s="12" t="s">
        <v>5</v>
      </c>
      <c r="E6" s="0" t="n">
        <f aca="false">COUNTIF($A$2:$A$114,D6)</f>
        <v>1</v>
      </c>
      <c r="F6" s="0" t="n">
        <f aca="false">COUNTIF($B$2:$B$32,D6)</f>
        <v>6</v>
      </c>
      <c r="G6" s="0" t="n">
        <f aca="false">E6-F6</f>
        <v>-5</v>
      </c>
      <c r="H6" s="0" t="str">
        <f aca="false">IF(G6&gt;0,D6,"")</f>
        <v/>
      </c>
      <c r="I6" s="0" t="str">
        <f aca="false">IF(G6&lt;0,D6,"")</f>
        <v>Chile</v>
      </c>
    </row>
    <row r="7" customFormat="false" ht="13.8" hidden="false" customHeight="false" outlineLevel="0" collapsed="false">
      <c r="A7" s="0" t="s">
        <v>3</v>
      </c>
      <c r="B7" s="0" t="s">
        <v>16</v>
      </c>
      <c r="D7" s="12" t="s">
        <v>6</v>
      </c>
      <c r="E7" s="0" t="n">
        <f aca="false">COUNTIF($A$2:$A$114,D7)</f>
        <v>2</v>
      </c>
      <c r="F7" s="0" t="n">
        <f aca="false">COUNTIF($B$2:$B$32,D7)</f>
        <v>1</v>
      </c>
      <c r="G7" s="0" t="n">
        <f aca="false">E7-F7</f>
        <v>1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18</v>
      </c>
      <c r="B8" s="0" t="s">
        <v>2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17</v>
      </c>
      <c r="B9" s="0" t="s">
        <v>14</v>
      </c>
      <c r="D9" s="12" t="s">
        <v>8</v>
      </c>
      <c r="E9" s="0" t="n">
        <f aca="false">COUNTIF($A$2:$A$114,D9)</f>
        <v>0</v>
      </c>
      <c r="F9" s="0" t="n">
        <f aca="false">COUNTIF($B$2:$B$32,D9)</f>
        <v>0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16</v>
      </c>
      <c r="B10" s="0" t="s">
        <v>16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13</v>
      </c>
      <c r="B11" s="0" t="s">
        <v>2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14</v>
      </c>
      <c r="B12" s="0" t="s">
        <v>13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13</v>
      </c>
      <c r="B13" s="0" t="s">
        <v>14</v>
      </c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5</v>
      </c>
      <c r="B14" s="0" t="s">
        <v>4</v>
      </c>
      <c r="D14" s="12" t="s">
        <v>13</v>
      </c>
      <c r="E14" s="0" t="n">
        <f aca="false">COUNTIF($A$2:$A$114,D14)</f>
        <v>3</v>
      </c>
      <c r="F14" s="0" t="n">
        <f aca="false">COUNTIF($B$2:$B$32,D14)</f>
        <v>4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A15" s="0" t="s">
        <v>18</v>
      </c>
      <c r="B15" s="0" t="s">
        <v>5</v>
      </c>
      <c r="D15" s="12" t="s">
        <v>14</v>
      </c>
      <c r="E15" s="0" t="n">
        <f aca="false">COUNTIF($A$2:$A$114,D15)</f>
        <v>1</v>
      </c>
      <c r="F15" s="0" t="n">
        <f aca="false">COUNTIF($B$2:$B$32,D15)</f>
        <v>5</v>
      </c>
      <c r="G15" s="0" t="n">
        <f aca="false">E15-F15</f>
        <v>-4</v>
      </c>
      <c r="H15" s="0" t="str">
        <f aca="false">IF(G15&gt;0,D15,"")</f>
        <v/>
      </c>
      <c r="I15" s="0" t="str">
        <f aca="false">IF(G15&lt;0,D15,"")</f>
        <v>Peru</v>
      </c>
    </row>
    <row r="16" customFormat="false" ht="13.8" hidden="false" customHeight="false" outlineLevel="0" collapsed="false">
      <c r="B16" s="0" t="s">
        <v>5</v>
      </c>
      <c r="D16" s="12" t="s">
        <v>15</v>
      </c>
      <c r="E16" s="0" t="n">
        <v>1</v>
      </c>
      <c r="F16" s="0" t="n">
        <f aca="false">COUNTIF($B$2:$B$32,D16)</f>
        <v>0</v>
      </c>
      <c r="G16" s="0" t="n">
        <f aca="false">E16-F16</f>
        <v>1</v>
      </c>
      <c r="H16" s="0" t="str">
        <f aca="false">IF(G16&gt;0,D16,"")</f>
        <v>U.S.A.</v>
      </c>
      <c r="I16" s="0" t="str">
        <f aca="false">IF(G16&lt;0,D16,"")</f>
        <v/>
      </c>
    </row>
    <row r="17" customFormat="false" ht="13.8" hidden="false" customHeight="false" outlineLevel="0" collapsed="false">
      <c r="B17" s="0" t="s">
        <v>16</v>
      </c>
      <c r="D17" s="12" t="s">
        <v>16</v>
      </c>
      <c r="E17" s="0" t="n">
        <f aca="false">COUNTIF($A$2:$A$114,D17)</f>
        <v>3</v>
      </c>
      <c r="F17" s="0" t="n">
        <f aca="false">COUNTIF($B$2:$B$32,D17)</f>
        <v>6</v>
      </c>
      <c r="G17" s="0" t="n">
        <f aca="false">E17-F17</f>
        <v>-3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B18" s="0" t="s">
        <v>2</v>
      </c>
      <c r="D18" s="12" t="s">
        <v>18</v>
      </c>
      <c r="E18" s="0" t="n">
        <f aca="false">COUNTIF($A$2:$A$114,D18)</f>
        <v>2</v>
      </c>
      <c r="F18" s="0" t="n">
        <f aca="false">COUNTIF($B$2:$B$32,D18)</f>
        <v>0</v>
      </c>
      <c r="G18" s="0" t="n">
        <f aca="false">E18-F18</f>
        <v>2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B19" s="0" t="s">
        <v>6</v>
      </c>
    </row>
    <row r="20" customFormat="false" ht="13.8" hidden="false" customHeight="false" outlineLevel="0" collapsed="false">
      <c r="B20" s="0" t="s">
        <v>4</v>
      </c>
    </row>
    <row r="21" customFormat="false" ht="13.8" hidden="false" customHeight="false" outlineLevel="0" collapsed="false">
      <c r="B21" s="0" t="s">
        <v>5</v>
      </c>
    </row>
    <row r="22" customFormat="false" ht="13.8" hidden="false" customHeight="false" outlineLevel="0" collapsed="false">
      <c r="B22" s="0" t="s">
        <v>16</v>
      </c>
    </row>
    <row r="23" customFormat="false" ht="13.8" hidden="false" customHeight="false" outlineLevel="0" collapsed="false">
      <c r="B23" s="0" t="s">
        <v>2</v>
      </c>
    </row>
    <row r="24" customFormat="false" ht="13.8" hidden="false" customHeight="false" outlineLevel="0" collapsed="false">
      <c r="B24" s="0" t="s">
        <v>13</v>
      </c>
    </row>
    <row r="25" customFormat="false" ht="13.8" hidden="false" customHeight="false" outlineLevel="0" collapsed="false">
      <c r="B25" s="0" t="s">
        <v>4</v>
      </c>
    </row>
    <row r="26" customFormat="false" ht="13.8" hidden="false" customHeight="false" outlineLevel="0" collapsed="false">
      <c r="B26" s="0" t="s">
        <v>13</v>
      </c>
    </row>
    <row r="27" customFormat="false" ht="13.8" hidden="false" customHeight="false" outlineLevel="0" collapsed="false">
      <c r="B27" s="0" t="s">
        <v>16</v>
      </c>
    </row>
    <row r="28" customFormat="false" ht="13.8" hidden="false" customHeight="false" outlineLevel="0" collapsed="false">
      <c r="B28" s="0" t="s">
        <v>5</v>
      </c>
    </row>
    <row r="29" customFormat="false" ht="13.8" hidden="false" customHeight="false" outlineLevel="0" collapsed="false">
      <c r="B29" s="0" t="s">
        <v>14</v>
      </c>
    </row>
    <row r="30" customFormat="false" ht="13.8" hidden="false" customHeight="false" outlineLevel="0" collapsed="false">
      <c r="B30" s="0" t="s">
        <v>3</v>
      </c>
    </row>
    <row r="31" customFormat="false" ht="13.8" hidden="false" customHeight="false" outlineLevel="0" collapsed="false">
      <c r="B31" s="0" t="s">
        <v>14</v>
      </c>
    </row>
    <row r="32" customFormat="false" ht="13.8" hidden="false" customHeight="false" outlineLevel="0" collapsed="false">
      <c r="B32" s="0" t="s">
        <v>4</v>
      </c>
    </row>
    <row r="33" customFormat="false" ht="13.8" hidden="false" customHeight="false" outlineLevel="0" collapsed="false">
      <c r="B33" s="0" t="s">
        <v>5</v>
      </c>
    </row>
    <row r="34" customFormat="false" ht="13.8" hidden="false" customHeight="false" outlineLevel="0" collapsed="false">
      <c r="B34" s="0" t="s">
        <v>16</v>
      </c>
    </row>
    <row r="35" customFormat="false" ht="13.8" hidden="false" customHeight="false" outlineLevel="0" collapsed="false">
      <c r="B35" s="0" t="s">
        <v>5</v>
      </c>
    </row>
    <row r="36" customFormat="false" ht="13.8" hidden="false" customHeight="false" outlineLevel="0" collapsed="false">
      <c r="B36" s="0" t="s">
        <v>2</v>
      </c>
    </row>
    <row r="37" customFormat="false" ht="13.8" hidden="false" customHeight="false" outlineLevel="0" collapsed="false">
      <c r="B37" s="0" t="s">
        <v>14</v>
      </c>
    </row>
    <row r="38" customFormat="false" ht="13.8" hidden="false" customHeight="false" outlineLevel="0" collapsed="false">
      <c r="B38" s="0" t="s">
        <v>13</v>
      </c>
    </row>
    <row r="39" customFormat="false" ht="13.8" hidden="false" customHeight="false" outlineLevel="0" collapsed="false">
      <c r="B39" s="0" t="s">
        <v>16</v>
      </c>
    </row>
    <row r="40" customFormat="false" ht="13.8" hidden="false" customHeight="false" outlineLevel="0" collapsed="false">
      <c r="B40" s="0" t="s">
        <v>16</v>
      </c>
    </row>
    <row r="41" customFormat="false" ht="13.8" hidden="false" customHeight="false" outlineLevel="0" collapsed="false">
      <c r="B41" s="0" t="s">
        <v>14</v>
      </c>
    </row>
    <row r="42" customFormat="false" ht="13.8" hidden="false" customHeight="false" outlineLevel="0" collapsed="false">
      <c r="B42" s="0" t="s">
        <v>2</v>
      </c>
    </row>
    <row r="43" customFormat="false" ht="13.8" hidden="false" customHeight="false" outlineLevel="0" collapsed="false">
      <c r="B43" s="0" t="s">
        <v>4</v>
      </c>
    </row>
    <row r="44" customFormat="false" ht="13.8" hidden="false" customHeight="false" outlineLevel="0" collapsed="false">
      <c r="B44" s="0" t="s">
        <v>6</v>
      </c>
    </row>
    <row r="45" customFormat="false" ht="13.8" hidden="false" customHeight="false" outlineLevel="0" collapsed="false">
      <c r="B45" s="0" t="s">
        <v>16</v>
      </c>
    </row>
    <row r="46" customFormat="false" ht="13.8" hidden="false" customHeight="false" outlineLevel="0" collapsed="false">
      <c r="B46" s="0" t="s">
        <v>4</v>
      </c>
    </row>
    <row r="47" customFormat="false" ht="13.8" hidden="false" customHeight="false" outlineLevel="0" collapsed="false">
      <c r="B47" s="0" t="s">
        <v>13</v>
      </c>
    </row>
    <row r="48" customFormat="false" ht="13.8" hidden="false" customHeight="false" outlineLevel="0" collapsed="false">
      <c r="B48" s="0" t="s">
        <v>14</v>
      </c>
    </row>
    <row r="49" customFormat="false" ht="13.8" hidden="false" customHeight="false" outlineLevel="0" collapsed="false">
      <c r="B49" s="0" t="s">
        <v>2</v>
      </c>
    </row>
    <row r="50" customFormat="false" ht="13.8" hidden="false" customHeight="false" outlineLevel="0" collapsed="false">
      <c r="B50" s="0" t="s">
        <v>13</v>
      </c>
    </row>
    <row r="51" customFormat="false" ht="13.8" hidden="false" customHeight="false" outlineLevel="0" collapsed="false">
      <c r="B51" s="0" t="s">
        <v>6</v>
      </c>
    </row>
    <row r="52" customFormat="false" ht="13.8" hidden="false" customHeight="false" outlineLevel="0" collapsed="false">
      <c r="B52" s="0" t="s">
        <v>6</v>
      </c>
    </row>
    <row r="53" customFormat="false" ht="13.8" hidden="false" customHeight="false" outlineLevel="0" collapsed="false">
      <c r="B53" s="0" t="s">
        <v>13</v>
      </c>
    </row>
    <row r="54" customFormat="false" ht="13.8" hidden="false" customHeight="false" outlineLevel="0" collapsed="false">
      <c r="B54" s="0" t="s">
        <v>13</v>
      </c>
    </row>
    <row r="55" customFormat="false" ht="13.8" hidden="false" customHeight="false" outlineLevel="0" collapsed="false">
      <c r="B55" s="0" t="s">
        <v>13</v>
      </c>
    </row>
    <row r="56" customFormat="false" ht="13.8" hidden="false" customHeight="false" outlineLevel="0" collapsed="false">
      <c r="B56" s="0" t="s">
        <v>16</v>
      </c>
    </row>
    <row r="57" customFormat="false" ht="13.8" hidden="false" customHeight="false" outlineLevel="0" collapsed="false">
      <c r="B57" s="0" t="s">
        <v>4</v>
      </c>
    </row>
    <row r="58" customFormat="false" ht="13.8" hidden="false" customHeight="false" outlineLevel="0" collapsed="false">
      <c r="B58" s="0" t="s">
        <v>4</v>
      </c>
    </row>
    <row r="59" customFormat="false" ht="13.8" hidden="false" customHeight="false" outlineLevel="0" collapsed="false">
      <c r="B59" s="0" t="s">
        <v>2</v>
      </c>
    </row>
    <row r="60" customFormat="false" ht="13.8" hidden="false" customHeight="false" outlineLevel="0" collapsed="false">
      <c r="B60" s="0" t="s">
        <v>5</v>
      </c>
    </row>
    <row r="61" customFormat="false" ht="13.8" hidden="false" customHeight="false" outlineLevel="0" collapsed="false">
      <c r="B61" s="0" t="s">
        <v>6</v>
      </c>
    </row>
    <row r="62" customFormat="false" ht="13.8" hidden="false" customHeight="false" outlineLevel="0" collapsed="false">
      <c r="B62" s="0" t="s">
        <v>4</v>
      </c>
    </row>
    <row r="63" customFormat="false" ht="13.8" hidden="false" customHeight="false" outlineLevel="0" collapsed="false">
      <c r="B63" s="0" t="s">
        <v>12</v>
      </c>
    </row>
    <row r="64" customFormat="false" ht="13.8" hidden="false" customHeight="false" outlineLevel="0" collapsed="false">
      <c r="B64" s="0" t="s">
        <v>6</v>
      </c>
    </row>
    <row r="65" customFormat="false" ht="13.8" hidden="false" customHeight="false" outlineLevel="0" collapsed="false">
      <c r="B65" s="0" t="s">
        <v>4</v>
      </c>
    </row>
    <row r="66" customFormat="false" ht="13.8" hidden="false" customHeight="false" outlineLevel="0" collapsed="false">
      <c r="B66" s="0" t="s">
        <v>6</v>
      </c>
    </row>
    <row r="67" customFormat="false" ht="13.8" hidden="false" customHeight="false" outlineLevel="0" collapsed="false">
      <c r="B67" s="0" t="s">
        <v>2</v>
      </c>
    </row>
    <row r="68" customFormat="false" ht="13.8" hidden="false" customHeight="false" outlineLevel="0" collapsed="false">
      <c r="B68" s="0" t="s">
        <v>16</v>
      </c>
    </row>
    <row r="69" customFormat="false" ht="13.8" hidden="false" customHeight="false" outlineLevel="0" collapsed="false">
      <c r="B69" s="0" t="s">
        <v>6</v>
      </c>
    </row>
    <row r="70" customFormat="false" ht="13.8" hidden="false" customHeight="false" outlineLevel="0" collapsed="false">
      <c r="B70" s="0" t="s">
        <v>5</v>
      </c>
    </row>
    <row r="71" customFormat="false" ht="13.8" hidden="false" customHeight="false" outlineLevel="0" collapsed="false">
      <c r="B71" s="0" t="s">
        <v>6</v>
      </c>
    </row>
    <row r="72" customFormat="false" ht="13.8" hidden="false" customHeight="false" outlineLevel="0" collapsed="false">
      <c r="B72" s="0" t="s">
        <v>2</v>
      </c>
    </row>
    <row r="73" customFormat="false" ht="13.8" hidden="false" customHeight="false" outlineLevel="0" collapsed="false">
      <c r="B73" s="0" t="s">
        <v>16</v>
      </c>
    </row>
    <row r="74" customFormat="false" ht="13.8" hidden="false" customHeight="false" outlineLevel="0" collapsed="false">
      <c r="B74" s="0" t="s">
        <v>12</v>
      </c>
    </row>
    <row r="75" customFormat="false" ht="13.8" hidden="false" customHeight="false" outlineLevel="0" collapsed="false">
      <c r="B75" s="0" t="s">
        <v>5</v>
      </c>
    </row>
    <row r="76" customFormat="false" ht="13.8" hidden="false" customHeight="false" outlineLevel="0" collapsed="false">
      <c r="B76" s="0" t="s">
        <v>12</v>
      </c>
    </row>
    <row r="77" customFormat="false" ht="13.8" hidden="false" customHeight="false" outlineLevel="0" collapsed="false">
      <c r="B77" s="0" t="s">
        <v>4</v>
      </c>
    </row>
    <row r="78" customFormat="false" ht="13.8" hidden="false" customHeight="false" outlineLevel="0" collapsed="false">
      <c r="B78" s="0" t="s">
        <v>18</v>
      </c>
    </row>
    <row r="79" customFormat="false" ht="13.8" hidden="false" customHeight="false" outlineLevel="0" collapsed="false">
      <c r="B79" s="0" t="s">
        <v>4</v>
      </c>
    </row>
    <row r="80" customFormat="false" ht="13.8" hidden="false" customHeight="false" outlineLevel="0" collapsed="false">
      <c r="B80" s="0" t="s">
        <v>5</v>
      </c>
    </row>
    <row r="81" customFormat="false" ht="13.8" hidden="false" customHeight="false" outlineLevel="0" collapsed="false">
      <c r="B81" s="0" t="s">
        <v>3</v>
      </c>
    </row>
    <row r="82" customFormat="false" ht="13.8" hidden="false" customHeight="false" outlineLevel="0" collapsed="false">
      <c r="B82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3</v>
      </c>
      <c r="B2" s="0" t="s">
        <v>7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16</v>
      </c>
      <c r="B3" s="0" t="s">
        <v>6</v>
      </c>
      <c r="D3" s="12" t="s">
        <v>2</v>
      </c>
      <c r="E3" s="0" t="n">
        <f aca="false">COUNTIF($A$2:$A$200,D3)</f>
        <v>0</v>
      </c>
      <c r="F3" s="0" t="n">
        <f aca="false">COUNTIF($B$2:$B$200,D3)</f>
        <v>0</v>
      </c>
      <c r="G3" s="0" t="n">
        <f aca="false">E3-F3</f>
        <v>0</v>
      </c>
      <c r="H3" s="0" t="str">
        <f aca="false">IF(G3&gt;0,D3,"")</f>
        <v/>
      </c>
      <c r="I3" s="0" t="str">
        <f aca="false">IF(G3&lt;0,D3,"")</f>
        <v/>
      </c>
    </row>
    <row r="4" customFormat="false" ht="13.8" hidden="false" customHeight="false" outlineLevel="0" collapsed="false">
      <c r="A4" s="0" t="s">
        <v>4</v>
      </c>
      <c r="D4" s="12" t="s">
        <v>3</v>
      </c>
      <c r="E4" s="0" t="n">
        <f aca="false">COUNTIF($A$2:$A$114,D4)</f>
        <v>1</v>
      </c>
      <c r="F4" s="0" t="n">
        <f aca="false">COUNTIF($B$2:$B$32,D4)</f>
        <v>0</v>
      </c>
      <c r="G4" s="0" t="n">
        <f aca="false">E4-F4</f>
        <v>1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D5" s="12" t="s">
        <v>4</v>
      </c>
      <c r="E5" s="0" t="n">
        <f aca="false">COUNTIF($A$2:$A$114,D5)</f>
        <v>1</v>
      </c>
      <c r="F5" s="0" t="n">
        <f aca="false">COUNTIF($B$2:$B$32,D5)</f>
        <v>0</v>
      </c>
      <c r="G5" s="0" t="n">
        <f aca="false">E5-F5</f>
        <v>1</v>
      </c>
      <c r="H5" s="0" t="str">
        <f aca="false">IF(G5&gt;0,D5,"")</f>
        <v>Brazil</v>
      </c>
      <c r="I5" s="0" t="str">
        <f aca="false">IF(G5&lt;0,D5,"")</f>
        <v/>
      </c>
    </row>
    <row r="6" customFormat="false" ht="13.8" hidden="false" customHeight="false" outlineLevel="0" collapsed="false">
      <c r="D6" s="12" t="s">
        <v>5</v>
      </c>
      <c r="E6" s="0" t="n">
        <f aca="false">COUNTIF($A$2:$A$114,D6)</f>
        <v>0</v>
      </c>
      <c r="F6" s="0" t="n">
        <f aca="false">COUNTIF($B$2:$B$32,D6)</f>
        <v>0</v>
      </c>
      <c r="G6" s="0" t="n">
        <f aca="false">E6-F6</f>
        <v>0</v>
      </c>
      <c r="H6" s="0" t="str">
        <f aca="false">IF(G6&gt;0,D6,"")</f>
        <v/>
      </c>
      <c r="I6" s="0" t="str">
        <f aca="false">IF(G6&lt;0,D6,"")</f>
        <v/>
      </c>
    </row>
    <row r="7" customFormat="false" ht="13.8" hidden="false" customHeight="false" outlineLevel="0" collapsed="false">
      <c r="D7" s="12" t="s">
        <v>6</v>
      </c>
      <c r="E7" s="0" t="n">
        <f aca="false">COUNTIF($A$2:$A$114,D7)</f>
        <v>0</v>
      </c>
      <c r="F7" s="0" t="n">
        <f aca="false">COUNTIF($B$2:$B$32,D7)</f>
        <v>1</v>
      </c>
      <c r="G7" s="0" t="n">
        <f aca="false">E7-F7</f>
        <v>-1</v>
      </c>
      <c r="H7" s="0" t="str">
        <f aca="false">IF(G7&gt;0,D7,"")</f>
        <v/>
      </c>
      <c r="I7" s="0" t="str">
        <f aca="false">IF(G7&lt;0,D7,"")</f>
        <v>Colombia</v>
      </c>
    </row>
    <row r="8" customFormat="false" ht="13.8" hidden="false" customHeight="false" outlineLevel="0" collapsed="false">
      <c r="D8" s="12" t="s">
        <v>7</v>
      </c>
      <c r="E8" s="0" t="n">
        <f aca="false">COUNTIF($A$2:$A$114,D8)</f>
        <v>0</v>
      </c>
      <c r="F8" s="0" t="n">
        <f aca="false">COUNTIF($B$2:$B$32,D8)</f>
        <v>1</v>
      </c>
      <c r="G8" s="0" t="n">
        <f aca="false">E8-F8</f>
        <v>-1</v>
      </c>
      <c r="H8" s="0" t="str">
        <f aca="false">IF(G8&gt;0,D8,"")</f>
        <v/>
      </c>
      <c r="I8" s="0" t="str">
        <f aca="false">IF(G8&lt;0,D8,"")</f>
        <v>Costa Rica</v>
      </c>
    </row>
    <row r="9" customFormat="false" ht="13.8" hidden="false" customHeight="false" outlineLevel="0" collapsed="false">
      <c r="D9" s="12" t="s">
        <v>8</v>
      </c>
      <c r="E9" s="0" t="n">
        <f aca="false">COUNTIF($A$2:$A$114,D9)</f>
        <v>0</v>
      </c>
      <c r="F9" s="0" t="n">
        <f aca="false">COUNTIF($B$2:$B$32,D9)</f>
        <v>0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D14" s="12" t="s">
        <v>13</v>
      </c>
      <c r="E14" s="0" t="n">
        <f aca="false">COUNTIF($A$2:$A$114,D14)</f>
        <v>0</v>
      </c>
      <c r="F14" s="0" t="n">
        <f aca="false">COUNTIF($B$2:$B$32,D14)</f>
        <v>0</v>
      </c>
      <c r="G14" s="0" t="n">
        <f aca="false">E14-F14</f>
        <v>0</v>
      </c>
      <c r="H14" s="0" t="str">
        <f aca="false">IF(G14&gt;0,D14,"")</f>
        <v/>
      </c>
      <c r="I14" s="0" t="str">
        <f aca="false">IF(G14&lt;0,D14,"")</f>
        <v/>
      </c>
    </row>
    <row r="15" customFormat="false" ht="13.8" hidden="false" customHeight="false" outlineLevel="0" collapsed="false">
      <c r="D15" s="12" t="s">
        <v>14</v>
      </c>
      <c r="E15" s="0" t="n">
        <f aca="false">COUNTIF($A$2:$A$114,D15)</f>
        <v>0</v>
      </c>
      <c r="F15" s="0" t="n">
        <f aca="false">COUNTIF($B$2:$B$32,D15)</f>
        <v>0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D17" s="12" t="s">
        <v>16</v>
      </c>
      <c r="E17" s="0" t="n">
        <f aca="false">COUNTIF($A$2:$A$114,D17)</f>
        <v>1</v>
      </c>
      <c r="F17" s="0" t="n">
        <f aca="false">COUNTIF($B$2:$B$32,D17)</f>
        <v>0</v>
      </c>
      <c r="G17" s="0" t="n">
        <f aca="false">E17-F17</f>
        <v>1</v>
      </c>
      <c r="H17" s="0" t="str">
        <f aca="false">IF(G17&gt;0,D17,"")</f>
        <v>Uruguay</v>
      </c>
      <c r="I17" s="0" t="str">
        <f aca="false">IF(G17&lt;0,D17,"")</f>
        <v/>
      </c>
    </row>
    <row r="18" customFormat="false" ht="13.8" hidden="false" customHeight="false" outlineLevel="0" collapsed="false"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B2" s="0" t="s">
        <v>16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B3" s="0" t="s">
        <v>13</v>
      </c>
      <c r="D3" s="12" t="s">
        <v>2</v>
      </c>
      <c r="E3" s="0" t="n">
        <f aca="false">COUNTIF($A$2:$A$200,D3)</f>
        <v>0</v>
      </c>
      <c r="F3" s="0" t="n">
        <f aca="false">COUNTIF($B$2:$B$200,D3)</f>
        <v>1</v>
      </c>
      <c r="G3" s="0" t="n">
        <f aca="false">E3-F3</f>
        <v>-1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B4" s="0" t="s">
        <v>2</v>
      </c>
      <c r="D4" s="12" t="s">
        <v>3</v>
      </c>
      <c r="E4" s="0" t="n">
        <f aca="false">COUNTIF($A$2:$A$114,D4)</f>
        <v>0</v>
      </c>
      <c r="F4" s="0" t="n">
        <f aca="false">COUNTIF($B$2:$B$32,D4)</f>
        <v>0</v>
      </c>
      <c r="G4" s="0" t="n">
        <f aca="false">E4-F4</f>
        <v>0</v>
      </c>
      <c r="H4" s="0" t="str">
        <f aca="false">IF(G4&gt;0,D4,"")</f>
        <v/>
      </c>
      <c r="I4" s="0" t="str">
        <f aca="false">IF(G4&lt;0,D4,"")</f>
        <v/>
      </c>
    </row>
    <row r="5" customFormat="false" ht="13.8" hidden="false" customHeight="false" outlineLevel="0" collapsed="false">
      <c r="D5" s="12" t="s">
        <v>4</v>
      </c>
      <c r="E5" s="0" t="n">
        <f aca="false">COUNTIF($A$2:$A$114,D5)</f>
        <v>0</v>
      </c>
      <c r="F5" s="0" t="n">
        <f aca="false">COUNTIF($B$2:$B$32,D5)</f>
        <v>0</v>
      </c>
      <c r="G5" s="0" t="n">
        <f aca="false">E5-F5</f>
        <v>0</v>
      </c>
      <c r="H5" s="0" t="str">
        <f aca="false">IF(G5&gt;0,D5,"")</f>
        <v/>
      </c>
      <c r="I5" s="0" t="str">
        <f aca="false">IF(G5&lt;0,D5,"")</f>
        <v/>
      </c>
    </row>
    <row r="6" customFormat="false" ht="13.8" hidden="false" customHeight="false" outlineLevel="0" collapsed="false">
      <c r="D6" s="12" t="s">
        <v>5</v>
      </c>
      <c r="E6" s="0" t="n">
        <f aca="false">COUNTIF($A$2:$A$114,D6)</f>
        <v>0</v>
      </c>
      <c r="F6" s="0" t="n">
        <f aca="false">COUNTIF($B$2:$B$32,D6)</f>
        <v>0</v>
      </c>
      <c r="G6" s="0" t="n">
        <f aca="false">E6-F6</f>
        <v>0</v>
      </c>
      <c r="H6" s="0" t="str">
        <f aca="false">IF(G6&gt;0,D6,"")</f>
        <v/>
      </c>
      <c r="I6" s="0" t="str">
        <f aca="false">IF(G6&lt;0,D6,"")</f>
        <v/>
      </c>
    </row>
    <row r="7" customFormat="false" ht="13.8" hidden="false" customHeight="false" outlineLevel="0" collapsed="false">
      <c r="D7" s="12" t="s">
        <v>6</v>
      </c>
      <c r="E7" s="0" t="n">
        <f aca="false">COUNTIF($A$2:$A$114,D7)</f>
        <v>0</v>
      </c>
      <c r="F7" s="0" t="n">
        <f aca="false">COUNTIF($B$2:$B$32,D7)</f>
        <v>0</v>
      </c>
      <c r="G7" s="0" t="n">
        <f aca="false">E7-F7</f>
        <v>0</v>
      </c>
      <c r="H7" s="0" t="str">
        <f aca="false">IF(G7&gt;0,D7,"")</f>
        <v/>
      </c>
      <c r="I7" s="0" t="str">
        <f aca="false">IF(G7&lt;0,D7,"")</f>
        <v/>
      </c>
    </row>
    <row r="8" customFormat="false" ht="13.8" hidden="false" customHeight="false" outlineLevel="0" collapsed="false"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D9" s="12" t="s">
        <v>8</v>
      </c>
      <c r="E9" s="0" t="n">
        <f aca="false">COUNTIF($A$2:$A$114,D9)</f>
        <v>0</v>
      </c>
      <c r="F9" s="0" t="n">
        <f aca="false">COUNTIF($B$2:$B$32,D9)</f>
        <v>0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D14" s="12" t="s">
        <v>13</v>
      </c>
      <c r="E14" s="0" t="n">
        <f aca="false">COUNTIF($A$2:$A$114,D14)</f>
        <v>0</v>
      </c>
      <c r="F14" s="0" t="n">
        <f aca="false">COUNTIF($B$2:$B$32,D14)</f>
        <v>1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D15" s="12" t="s">
        <v>14</v>
      </c>
      <c r="E15" s="0" t="n">
        <f aca="false">COUNTIF($A$2:$A$114,D15)</f>
        <v>0</v>
      </c>
      <c r="F15" s="0" t="n">
        <f aca="false">COUNTIF($B$2:$B$32,D15)</f>
        <v>0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D17" s="12" t="s">
        <v>16</v>
      </c>
      <c r="E17" s="0" t="n">
        <f aca="false">COUNTIF($A$2:$A$114,D17)</f>
        <v>0</v>
      </c>
      <c r="F17" s="0" t="n">
        <f aca="false">COUNTIF($B$2:$B$32,D17)</f>
        <v>1</v>
      </c>
      <c r="G17" s="0" t="n">
        <f aca="false">E17-F17</f>
        <v>-1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B2" s="0" t="s">
        <v>14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B3" s="0" t="s">
        <v>13</v>
      </c>
      <c r="D3" s="12" t="s">
        <v>2</v>
      </c>
      <c r="E3" s="0" t="n">
        <f aca="false">COUNTIF($A$2:$A$200,D3)</f>
        <v>0</v>
      </c>
      <c r="F3" s="0" t="n">
        <f aca="false">COUNTIF($B$2:$B$200,D3)</f>
        <v>0</v>
      </c>
      <c r="G3" s="0" t="n">
        <f aca="false">E3-F3</f>
        <v>0</v>
      </c>
      <c r="H3" s="0" t="str">
        <f aca="false">IF(G3&gt;0,D3,"")</f>
        <v/>
      </c>
      <c r="I3" s="0" t="str">
        <f aca="false">IF(G3&lt;0,D3,"")</f>
        <v/>
      </c>
    </row>
    <row r="4" customFormat="false" ht="13.8" hidden="false" customHeight="false" outlineLevel="0" collapsed="false">
      <c r="D4" s="12" t="s">
        <v>3</v>
      </c>
      <c r="E4" s="0" t="n">
        <f aca="false">COUNTIF($A$2:$A$114,D4)</f>
        <v>0</v>
      </c>
      <c r="F4" s="0" t="n">
        <f aca="false">COUNTIF($B$2:$B$32,D4)</f>
        <v>0</v>
      </c>
      <c r="G4" s="0" t="n">
        <f aca="false">E4-F4</f>
        <v>0</v>
      </c>
      <c r="H4" s="0" t="str">
        <f aca="false">IF(G4&gt;0,D4,"")</f>
        <v/>
      </c>
      <c r="I4" s="0" t="str">
        <f aca="false">IF(G4&lt;0,D4,"")</f>
        <v/>
      </c>
    </row>
    <row r="5" customFormat="false" ht="13.8" hidden="false" customHeight="false" outlineLevel="0" collapsed="false">
      <c r="D5" s="12" t="s">
        <v>4</v>
      </c>
      <c r="E5" s="0" t="n">
        <f aca="false">COUNTIF($A$2:$A$114,D5)</f>
        <v>0</v>
      </c>
      <c r="F5" s="0" t="n">
        <f aca="false">COUNTIF($B$2:$B$32,D5)</f>
        <v>0</v>
      </c>
      <c r="G5" s="0" t="n">
        <f aca="false">E5-F5</f>
        <v>0</v>
      </c>
      <c r="H5" s="0" t="str">
        <f aca="false">IF(G5&gt;0,D5,"")</f>
        <v/>
      </c>
      <c r="I5" s="0" t="str">
        <f aca="false">IF(G5&lt;0,D5,"")</f>
        <v/>
      </c>
    </row>
    <row r="6" customFormat="false" ht="13.8" hidden="false" customHeight="false" outlineLevel="0" collapsed="false">
      <c r="D6" s="12" t="s">
        <v>5</v>
      </c>
      <c r="E6" s="0" t="n">
        <f aca="false">COUNTIF($A$2:$A$114,D6)</f>
        <v>0</v>
      </c>
      <c r="F6" s="0" t="n">
        <f aca="false">COUNTIF($B$2:$B$32,D6)</f>
        <v>0</v>
      </c>
      <c r="G6" s="0" t="n">
        <f aca="false">E6-F6</f>
        <v>0</v>
      </c>
      <c r="H6" s="0" t="str">
        <f aca="false">IF(G6&gt;0,D6,"")</f>
        <v/>
      </c>
      <c r="I6" s="0" t="str">
        <f aca="false">IF(G6&lt;0,D6,"")</f>
        <v/>
      </c>
    </row>
    <row r="7" customFormat="false" ht="13.8" hidden="false" customHeight="false" outlineLevel="0" collapsed="false">
      <c r="D7" s="12" t="s">
        <v>6</v>
      </c>
      <c r="E7" s="0" t="n">
        <f aca="false">COUNTIF($A$2:$A$114,D7)</f>
        <v>0</v>
      </c>
      <c r="F7" s="0" t="n">
        <f aca="false">COUNTIF($B$2:$B$32,D7)</f>
        <v>0</v>
      </c>
      <c r="G7" s="0" t="n">
        <f aca="false">E7-F7</f>
        <v>0</v>
      </c>
      <c r="H7" s="0" t="str">
        <f aca="false">IF(G7&gt;0,D7,"")</f>
        <v/>
      </c>
      <c r="I7" s="0" t="str">
        <f aca="false">IF(G7&lt;0,D7,"")</f>
        <v/>
      </c>
    </row>
    <row r="8" customFormat="false" ht="13.8" hidden="false" customHeight="false" outlineLevel="0" collapsed="false"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D9" s="12" t="s">
        <v>8</v>
      </c>
      <c r="E9" s="0" t="n">
        <f aca="false">COUNTIF($A$2:$A$114,D9)</f>
        <v>0</v>
      </c>
      <c r="F9" s="0" t="n">
        <f aca="false">COUNTIF($B$2:$B$32,D9)</f>
        <v>0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D14" s="12" t="s">
        <v>13</v>
      </c>
      <c r="E14" s="0" t="n">
        <f aca="false">COUNTIF($A$2:$A$114,D14)</f>
        <v>0</v>
      </c>
      <c r="F14" s="0" t="n">
        <f aca="false">COUNTIF($B$2:$B$32,D14)</f>
        <v>1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D15" s="12" t="s">
        <v>14</v>
      </c>
      <c r="E15" s="0" t="n">
        <f aca="false">COUNTIF($A$2:$A$114,D15)</f>
        <v>0</v>
      </c>
      <c r="F15" s="0" t="n">
        <f aca="false">COUNTIF($B$2:$B$32,D15)</f>
        <v>1</v>
      </c>
      <c r="G15" s="0" t="n">
        <f aca="false">E15-F15</f>
        <v>-1</v>
      </c>
      <c r="H15" s="0" t="str">
        <f aca="false">IF(G15&gt;0,D15,"")</f>
        <v/>
      </c>
      <c r="I15" s="0" t="str">
        <f aca="false">IF(G15&lt;0,D15,"")</f>
        <v>Peru</v>
      </c>
    </row>
    <row r="16" customFormat="false" ht="13.8" hidden="false" customHeight="false" outlineLevel="0" collapsed="false"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D17" s="12" t="s">
        <v>16</v>
      </c>
      <c r="E17" s="0" t="n">
        <f aca="false">COUNTIF($A$2:$A$114,D17)</f>
        <v>0</v>
      </c>
      <c r="F17" s="0" t="n">
        <f aca="false">COUNTIF($B$2:$B$32,D17)</f>
        <v>0</v>
      </c>
      <c r="G17" s="0" t="n">
        <f aca="false">E17-F17</f>
        <v>0</v>
      </c>
      <c r="H17" s="0" t="str">
        <f aca="false">IF(G17&gt;0,D17,"")</f>
        <v/>
      </c>
      <c r="I17" s="0" t="str">
        <f aca="false">IF(G17&lt;0,D17,"")</f>
        <v/>
      </c>
    </row>
    <row r="18" customFormat="false" ht="13.8" hidden="false" customHeight="false" outlineLevel="0" collapsed="false"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14</v>
      </c>
      <c r="B2" s="0" t="s">
        <v>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8</v>
      </c>
      <c r="B3" s="0" t="s">
        <v>2</v>
      </c>
      <c r="D3" s="12" t="s">
        <v>2</v>
      </c>
      <c r="E3" s="0" t="n">
        <f aca="false">COUNTIF($A$2:$A$200,D3)</f>
        <v>1</v>
      </c>
      <c r="F3" s="0" t="n">
        <f aca="false">COUNTIF($B$2:$B$200,D3)</f>
        <v>2</v>
      </c>
      <c r="G3" s="0" t="n">
        <f aca="false">E3-F3</f>
        <v>-1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18</v>
      </c>
      <c r="B4" s="0" t="s">
        <v>13</v>
      </c>
      <c r="D4" s="12" t="s">
        <v>3</v>
      </c>
      <c r="E4" s="0" t="n">
        <f aca="false">COUNTIF($A$2:$A$114,D4)</f>
        <v>0</v>
      </c>
      <c r="F4" s="0" t="n">
        <f aca="false">COUNTIF($B$2:$B$32,D4)</f>
        <v>1</v>
      </c>
      <c r="G4" s="0" t="n">
        <f aca="false">E4-F4</f>
        <v>-1</v>
      </c>
      <c r="H4" s="0" t="str">
        <f aca="false">IF(G4&gt;0,D4,"")</f>
        <v/>
      </c>
      <c r="I4" s="0" t="str">
        <f aca="false">IF(G4&lt;0,D4,"")</f>
        <v>Bolivia</v>
      </c>
    </row>
    <row r="5" customFormat="false" ht="13.8" hidden="false" customHeight="false" outlineLevel="0" collapsed="false">
      <c r="A5" s="0" t="s">
        <v>6</v>
      </c>
      <c r="B5" s="0" t="s">
        <v>4</v>
      </c>
      <c r="D5" s="12" t="s">
        <v>4</v>
      </c>
      <c r="E5" s="0" t="n">
        <f aca="false">COUNTIF($A$2:$A$114,D5)</f>
        <v>2</v>
      </c>
      <c r="F5" s="0" t="n">
        <f aca="false">COUNTIF($B$2:$B$32,D5)</f>
        <v>4</v>
      </c>
      <c r="G5" s="0" t="n">
        <f aca="false">E5-F5</f>
        <v>-2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14</v>
      </c>
      <c r="B6" s="0" t="s">
        <v>3</v>
      </c>
      <c r="D6" s="12" t="s">
        <v>5</v>
      </c>
      <c r="E6" s="0" t="n">
        <f aca="false">COUNTIF($A$2:$A$114,D6)</f>
        <v>3</v>
      </c>
      <c r="F6" s="0" t="n">
        <f aca="false">COUNTIF($B$2:$B$32,D6)</f>
        <v>1</v>
      </c>
      <c r="G6" s="0" t="n">
        <f aca="false">E6-F6</f>
        <v>2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5</v>
      </c>
      <c r="B7" s="0" t="s">
        <v>4</v>
      </c>
      <c r="D7" s="12" t="s">
        <v>6</v>
      </c>
      <c r="E7" s="0" t="n">
        <f aca="false">COUNTIF($A$2:$A$114,D7)</f>
        <v>1</v>
      </c>
      <c r="F7" s="0" t="n">
        <f aca="false">COUNTIF($B$2:$B$32,D7)</f>
        <v>2</v>
      </c>
      <c r="G7" s="0" t="n">
        <f aca="false">E7-F7</f>
        <v>-1</v>
      </c>
      <c r="H7" s="0" t="str">
        <f aca="false">IF(G7&gt;0,D7,"")</f>
        <v/>
      </c>
      <c r="I7" s="0" t="str">
        <f aca="false">IF(G7&lt;0,D7,"")</f>
        <v>Colombia</v>
      </c>
    </row>
    <row r="8" customFormat="false" ht="13.8" hidden="false" customHeight="false" outlineLevel="0" collapsed="false">
      <c r="A8" s="0" t="s">
        <v>18</v>
      </c>
      <c r="B8" s="0" t="s">
        <v>4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5</v>
      </c>
      <c r="B9" s="0" t="s">
        <v>14</v>
      </c>
      <c r="D9" s="12" t="s">
        <v>8</v>
      </c>
      <c r="E9" s="0" t="n">
        <f aca="false">COUNTIF($A$2:$A$114,D9)</f>
        <v>4</v>
      </c>
      <c r="F9" s="0" t="n">
        <f aca="false">COUNTIF($B$2:$B$32,D9)</f>
        <v>0</v>
      </c>
      <c r="G9" s="0" t="n">
        <f aca="false">E9-F9</f>
        <v>4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4</v>
      </c>
      <c r="B10" s="0" t="s">
        <v>6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5</v>
      </c>
      <c r="B11" s="0" t="s">
        <v>4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16</v>
      </c>
      <c r="B12" s="0" t="s">
        <v>2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2</v>
      </c>
      <c r="B13" s="0" t="s">
        <v>5</v>
      </c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8</v>
      </c>
      <c r="B14" s="0" t="s">
        <v>14</v>
      </c>
      <c r="D14" s="12" t="s">
        <v>13</v>
      </c>
      <c r="E14" s="0" t="n">
        <f aca="false">COUNTIF($A$2:$A$114,D14)</f>
        <v>1</v>
      </c>
      <c r="F14" s="0" t="n">
        <f aca="false">COUNTIF($B$2:$B$32,D14)</f>
        <v>1</v>
      </c>
      <c r="G14" s="0" t="n">
        <f aca="false">E14-F14</f>
        <v>0</v>
      </c>
      <c r="H14" s="0" t="str">
        <f aca="false">IF(G14&gt;0,D14,"")</f>
        <v/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4</v>
      </c>
      <c r="B15" s="0" t="s">
        <v>16</v>
      </c>
      <c r="D15" s="12" t="s">
        <v>14</v>
      </c>
      <c r="E15" s="0" t="n">
        <f aca="false">COUNTIF($A$2:$A$114,D15)</f>
        <v>2</v>
      </c>
      <c r="F15" s="0" t="n">
        <f aca="false">COUNTIF($B$2:$B$32,D15)</f>
        <v>2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8</v>
      </c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13</v>
      </c>
      <c r="D17" s="12" t="s">
        <v>16</v>
      </c>
      <c r="E17" s="0" t="n">
        <f aca="false">COUNTIF($A$2:$A$114,D17)</f>
        <v>2</v>
      </c>
      <c r="F17" s="0" t="n">
        <f aca="false">COUNTIF($B$2:$B$32,D17)</f>
        <v>1</v>
      </c>
      <c r="G17" s="0" t="n">
        <f aca="false">E17-F17</f>
        <v>1</v>
      </c>
      <c r="H17" s="0" t="str">
        <f aca="false">IF(G17&gt;0,D17,"")</f>
        <v>Uruguay</v>
      </c>
      <c r="I17" s="0" t="str">
        <f aca="false">IF(G17&lt;0,D17,"")</f>
        <v/>
      </c>
    </row>
    <row r="18" customFormat="false" ht="13.8" hidden="false" customHeight="false" outlineLevel="0" collapsed="false">
      <c r="A18" s="0" t="s">
        <v>16</v>
      </c>
      <c r="D18" s="12" t="s">
        <v>18</v>
      </c>
      <c r="E18" s="0" t="n">
        <f aca="false">COUNTIF($A$2:$A$114,D18)</f>
        <v>2</v>
      </c>
      <c r="F18" s="0" t="n">
        <f aca="false">COUNTIF($B$2:$B$32,D18)</f>
        <v>0</v>
      </c>
      <c r="G18" s="0" t="n">
        <f aca="false">E18-F18</f>
        <v>2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16</v>
      </c>
      <c r="B2" s="0" t="s">
        <v>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5</v>
      </c>
      <c r="B3" s="0" t="s">
        <v>2</v>
      </c>
      <c r="D3" s="12" t="s">
        <v>2</v>
      </c>
      <c r="E3" s="0" t="n">
        <f aca="false">COUNTIF($A$2:$A$200,D3)</f>
        <v>0</v>
      </c>
      <c r="F3" s="0" t="n">
        <f aca="false">COUNTIF($B$2:$B$200,D3)</f>
        <v>18</v>
      </c>
      <c r="G3" s="0" t="n">
        <f aca="false">E3-F3</f>
        <v>-18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16</v>
      </c>
      <c r="B4" s="0" t="s">
        <v>2</v>
      </c>
      <c r="D4" s="12" t="s">
        <v>3</v>
      </c>
      <c r="E4" s="0" t="n">
        <f aca="false">COUNTIF($A$2:$A$114,D4)</f>
        <v>7</v>
      </c>
      <c r="F4" s="0" t="n">
        <f aca="false">COUNTIF($B$2:$B$32,D4)</f>
        <v>0</v>
      </c>
      <c r="G4" s="0" t="n">
        <f aca="false">E4-F4</f>
        <v>7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4</v>
      </c>
      <c r="B5" s="0" t="s">
        <v>4</v>
      </c>
      <c r="D5" s="12" t="s">
        <v>4</v>
      </c>
      <c r="E5" s="0" t="n">
        <f aca="false">COUNTIF($A$2:$A$114,D5)</f>
        <v>7</v>
      </c>
      <c r="F5" s="0" t="n">
        <f aca="false">COUNTIF($B$2:$B$32,D5)</f>
        <v>6</v>
      </c>
      <c r="G5" s="0" t="n">
        <f aca="false">E5-F5</f>
        <v>1</v>
      </c>
      <c r="H5" s="0" t="str">
        <f aca="false">IF(G5&gt;0,D5,"")</f>
        <v>Brazil</v>
      </c>
      <c r="I5" s="0" t="str">
        <f aca="false">IF(G5&lt;0,D5,"")</f>
        <v/>
      </c>
    </row>
    <row r="6" customFormat="false" ht="13.8" hidden="false" customHeight="false" outlineLevel="0" collapsed="false">
      <c r="A6" s="0" t="s">
        <v>5</v>
      </c>
      <c r="B6" s="0" t="s">
        <v>2</v>
      </c>
      <c r="D6" s="12" t="s">
        <v>5</v>
      </c>
      <c r="E6" s="0" t="n">
        <f aca="false">COUNTIF($A$2:$A$114,D6)</f>
        <v>12</v>
      </c>
      <c r="F6" s="0" t="n">
        <f aca="false">COUNTIF($B$2:$B$32,D6)</f>
        <v>3</v>
      </c>
      <c r="G6" s="0" t="n">
        <f aca="false">E6-F6</f>
        <v>9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3</v>
      </c>
      <c r="B7" s="0" t="s">
        <v>16</v>
      </c>
      <c r="D7" s="12" t="s">
        <v>6</v>
      </c>
      <c r="E7" s="0" t="n">
        <f aca="false">COUNTIF($A$2:$A$114,D7)</f>
        <v>5</v>
      </c>
      <c r="F7" s="0" t="n">
        <f aca="false">COUNTIF($B$2:$B$32,D7)</f>
        <v>0</v>
      </c>
      <c r="G7" s="0" t="n">
        <f aca="false">E7-F7</f>
        <v>5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16</v>
      </c>
      <c r="B8" s="0" t="s">
        <v>16</v>
      </c>
      <c r="D8" s="12" t="s">
        <v>7</v>
      </c>
      <c r="E8" s="0" t="n">
        <f aca="false">COUNTIF($A$2:$A$114,D8)</f>
        <v>1</v>
      </c>
      <c r="F8" s="0" t="n">
        <f aca="false">COUNTIF($B$2:$B$32,D8)</f>
        <v>0</v>
      </c>
      <c r="G8" s="0" t="n">
        <f aca="false">E8-F8</f>
        <v>1</v>
      </c>
      <c r="H8" s="0" t="str">
        <f aca="false">IF(G8&gt;0,D8,"")</f>
        <v>Costa Rica</v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14</v>
      </c>
      <c r="B9" s="0" t="s">
        <v>2</v>
      </c>
      <c r="D9" s="12" t="s">
        <v>8</v>
      </c>
      <c r="E9" s="0" t="n">
        <f aca="false">COUNTIF($A$2:$A$114,D9)</f>
        <v>10</v>
      </c>
      <c r="F9" s="0" t="n">
        <f aca="false">COUNTIF($B$2:$B$32,D9)</f>
        <v>0</v>
      </c>
      <c r="G9" s="0" t="n">
        <f aca="false">E9-F9</f>
        <v>10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16</v>
      </c>
      <c r="B10" s="0" t="s">
        <v>4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5</v>
      </c>
      <c r="B11" s="0" t="s">
        <v>4</v>
      </c>
      <c r="D11" s="12" t="s">
        <v>10</v>
      </c>
      <c r="E11" s="0" t="n">
        <f aca="false">COUNTIF($A$2:$A$114,D11)</f>
        <v>1</v>
      </c>
      <c r="F11" s="0" t="n">
        <f aca="false">COUNTIF($B$2:$B$32,D11)</f>
        <v>0</v>
      </c>
      <c r="G11" s="0" t="n">
        <f aca="false">E11-F11</f>
        <v>1</v>
      </c>
      <c r="H11" s="0" t="str">
        <f aca="false">IF(G11&gt;0,D11,"")</f>
        <v>Jamaica</v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5</v>
      </c>
      <c r="B12" s="0" t="s">
        <v>2</v>
      </c>
      <c r="D12" s="12" t="s">
        <v>11</v>
      </c>
      <c r="E12" s="0" t="n">
        <f aca="false">COUNTIF($A$2:$A$114,D12)</f>
        <v>1</v>
      </c>
      <c r="F12" s="0" t="n">
        <f aca="false">COUNTIF($B$2:$B$32,D12)</f>
        <v>0</v>
      </c>
      <c r="G12" s="0" t="n">
        <f aca="false">E12-F12</f>
        <v>1</v>
      </c>
      <c r="H12" s="0" t="str">
        <f aca="false">IF(G12&gt;0,D12,"")</f>
        <v>Japan</v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8</v>
      </c>
      <c r="B13" s="0" t="s">
        <v>2</v>
      </c>
      <c r="D13" s="12" t="s">
        <v>12</v>
      </c>
      <c r="E13" s="0" t="n">
        <f aca="false">COUNTIF($A$2:$A$114,D13)</f>
        <v>1</v>
      </c>
      <c r="F13" s="0" t="n">
        <f aca="false">COUNTIF($B$2:$B$32,D13)</f>
        <v>0</v>
      </c>
      <c r="G13" s="0" t="n">
        <f aca="false">E13-F13</f>
        <v>1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5</v>
      </c>
      <c r="B14" s="0" t="s">
        <v>16</v>
      </c>
      <c r="D14" s="12" t="s">
        <v>13</v>
      </c>
      <c r="E14" s="0" t="n">
        <f aca="false">COUNTIF($A$2:$A$114,D14)</f>
        <v>0</v>
      </c>
      <c r="F14" s="0" t="n">
        <f aca="false">COUNTIF($B$2:$B$32,D14)</f>
        <v>0</v>
      </c>
      <c r="G14" s="0" t="n">
        <f aca="false">E14-F14</f>
        <v>0</v>
      </c>
      <c r="H14" s="0" t="str">
        <f aca="false">IF(G14&gt;0,D14,"")</f>
        <v/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8</v>
      </c>
      <c r="B15" s="0" t="s">
        <v>5</v>
      </c>
      <c r="D15" s="12" t="s">
        <v>14</v>
      </c>
      <c r="E15" s="0" t="n">
        <f aca="false">COUNTIF($A$2:$A$114,D15)</f>
        <v>7</v>
      </c>
      <c r="F15" s="0" t="n">
        <f aca="false">COUNTIF($B$2:$B$32,D15)</f>
        <v>2</v>
      </c>
      <c r="G15" s="0" t="n">
        <f aca="false">E15-F15</f>
        <v>5</v>
      </c>
      <c r="H15" s="0" t="str">
        <f aca="false">IF(G15&gt;0,D15,"")</f>
        <v>Peru</v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3</v>
      </c>
      <c r="B16" s="0" t="s">
        <v>2</v>
      </c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16</v>
      </c>
      <c r="B17" s="0" t="s">
        <v>2</v>
      </c>
      <c r="D17" s="12" t="s">
        <v>16</v>
      </c>
      <c r="E17" s="0" t="n">
        <f aca="false">COUNTIF($A$2:$A$114,D17)</f>
        <v>6</v>
      </c>
      <c r="F17" s="0" t="n">
        <f aca="false">COUNTIF($B$2:$B$32,D17)</f>
        <v>8</v>
      </c>
      <c r="G17" s="0" t="n">
        <f aca="false">E17-F17</f>
        <v>-2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A18" s="0" t="s">
        <v>16</v>
      </c>
      <c r="B18" s="0" t="s">
        <v>4</v>
      </c>
      <c r="D18" s="12" t="s">
        <v>18</v>
      </c>
      <c r="E18" s="0" t="n">
        <f aca="false">COUNTIF($A$2:$A$114,D18)</f>
        <v>4</v>
      </c>
      <c r="F18" s="0" t="n">
        <f aca="false">COUNTIF($B$2:$B$32,D18)</f>
        <v>0</v>
      </c>
      <c r="G18" s="0" t="n">
        <f aca="false">E18-F18</f>
        <v>4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3</v>
      </c>
      <c r="B19" s="0" t="s">
        <v>14</v>
      </c>
    </row>
    <row r="20" customFormat="false" ht="13.8" hidden="false" customHeight="false" outlineLevel="0" collapsed="false">
      <c r="A20" s="0" t="s">
        <v>6</v>
      </c>
      <c r="B20" s="0" t="s">
        <v>14</v>
      </c>
    </row>
    <row r="21" customFormat="false" ht="13.8" hidden="false" customHeight="false" outlineLevel="0" collapsed="false">
      <c r="A21" s="0" t="s">
        <v>5</v>
      </c>
      <c r="B21" s="0" t="s">
        <v>16</v>
      </c>
    </row>
    <row r="22" customFormat="false" ht="13.8" hidden="false" customHeight="false" outlineLevel="0" collapsed="false">
      <c r="A22" s="0" t="s">
        <v>8</v>
      </c>
      <c r="B22" s="0" t="s">
        <v>2</v>
      </c>
    </row>
    <row r="23" customFormat="false" ht="13.8" hidden="false" customHeight="false" outlineLevel="0" collapsed="false">
      <c r="A23" s="0" t="s">
        <v>6</v>
      </c>
      <c r="B23" s="0" t="s">
        <v>16</v>
      </c>
    </row>
    <row r="24" customFormat="false" ht="13.8" hidden="false" customHeight="false" outlineLevel="0" collapsed="false">
      <c r="A24" s="0" t="s">
        <v>8</v>
      </c>
      <c r="B24" s="0" t="s">
        <v>2</v>
      </c>
    </row>
    <row r="25" customFormat="false" ht="13.8" hidden="false" customHeight="false" outlineLevel="0" collapsed="false">
      <c r="A25" s="0" t="s">
        <v>14</v>
      </c>
      <c r="B25" s="0" t="s">
        <v>5</v>
      </c>
    </row>
    <row r="26" customFormat="false" ht="13.8" hidden="false" customHeight="false" outlineLevel="0" collapsed="false">
      <c r="A26" s="0" t="s">
        <v>5</v>
      </c>
      <c r="B26" s="0" t="s">
        <v>2</v>
      </c>
    </row>
    <row r="27" customFormat="false" ht="13.8" hidden="false" customHeight="false" outlineLevel="0" collapsed="false">
      <c r="A27" s="0" t="s">
        <v>3</v>
      </c>
      <c r="B27" s="0" t="s">
        <v>16</v>
      </c>
    </row>
    <row r="28" customFormat="false" ht="13.8" hidden="false" customHeight="false" outlineLevel="0" collapsed="false">
      <c r="A28" s="0" t="s">
        <v>4</v>
      </c>
      <c r="B28" s="0" t="s">
        <v>4</v>
      </c>
    </row>
    <row r="29" customFormat="false" ht="13.8" hidden="false" customHeight="false" outlineLevel="0" collapsed="false">
      <c r="A29" s="0" t="s">
        <v>5</v>
      </c>
      <c r="B29" s="0" t="s">
        <v>2</v>
      </c>
    </row>
    <row r="30" customFormat="false" ht="13.8" hidden="false" customHeight="false" outlineLevel="0" collapsed="false">
      <c r="A30" s="0" t="s">
        <v>3</v>
      </c>
      <c r="B30" s="0" t="s">
        <v>16</v>
      </c>
    </row>
    <row r="31" customFormat="false" ht="13.8" hidden="false" customHeight="false" outlineLevel="0" collapsed="false">
      <c r="A31" s="0" t="s">
        <v>4</v>
      </c>
      <c r="B31" s="0" t="s">
        <v>5</v>
      </c>
    </row>
    <row r="32" customFormat="false" ht="13.8" hidden="false" customHeight="false" outlineLevel="0" collapsed="false">
      <c r="A32" s="0" t="s">
        <v>4</v>
      </c>
      <c r="B32" s="0" t="s">
        <v>16</v>
      </c>
    </row>
    <row r="33" customFormat="false" ht="13.8" hidden="false" customHeight="false" outlineLevel="0" collapsed="false">
      <c r="A33" s="0" t="s">
        <v>8</v>
      </c>
      <c r="B33" s="0" t="s">
        <v>2</v>
      </c>
    </row>
    <row r="34" customFormat="false" ht="13.8" hidden="false" customHeight="false" outlineLevel="0" collapsed="false">
      <c r="A34" s="0" t="s">
        <v>5</v>
      </c>
      <c r="B34" s="0" t="s">
        <v>5</v>
      </c>
    </row>
    <row r="35" customFormat="false" ht="13.8" hidden="false" customHeight="false" outlineLevel="0" collapsed="false">
      <c r="A35" s="0" t="s">
        <v>3</v>
      </c>
      <c r="B35" s="0" t="s">
        <v>16</v>
      </c>
    </row>
    <row r="36" customFormat="false" ht="13.8" hidden="false" customHeight="false" outlineLevel="0" collapsed="false">
      <c r="A36" s="0" t="s">
        <v>14</v>
      </c>
      <c r="B36" s="0" t="s">
        <v>2</v>
      </c>
    </row>
    <row r="37" customFormat="false" ht="13.8" hidden="false" customHeight="false" outlineLevel="0" collapsed="false">
      <c r="A37" s="0" t="s">
        <v>8</v>
      </c>
      <c r="B37" s="0" t="s">
        <v>4</v>
      </c>
    </row>
    <row r="38" customFormat="false" ht="13.8" hidden="false" customHeight="false" outlineLevel="0" collapsed="false">
      <c r="A38" s="0" t="s">
        <v>4</v>
      </c>
      <c r="B38" s="0" t="s">
        <v>4</v>
      </c>
    </row>
    <row r="39" customFormat="false" ht="13.8" hidden="false" customHeight="false" outlineLevel="0" collapsed="false">
      <c r="A39" s="0" t="s">
        <v>6</v>
      </c>
      <c r="B39" s="0" t="s">
        <v>2</v>
      </c>
    </row>
    <row r="40" customFormat="false" ht="13.8" hidden="false" customHeight="false" outlineLevel="0" collapsed="false">
      <c r="A40" s="0" t="s">
        <v>14</v>
      </c>
      <c r="B40" s="0" t="s">
        <v>8</v>
      </c>
    </row>
    <row r="41" customFormat="false" ht="13.8" hidden="false" customHeight="false" outlineLevel="0" collapsed="false">
      <c r="A41" s="0" t="s">
        <v>8</v>
      </c>
      <c r="B41" s="0" t="s">
        <v>3</v>
      </c>
    </row>
    <row r="42" customFormat="false" ht="13.8" hidden="false" customHeight="false" outlineLevel="0" collapsed="false">
      <c r="A42" s="0" t="s">
        <v>3</v>
      </c>
      <c r="B42" s="0" t="s">
        <v>2</v>
      </c>
    </row>
    <row r="43" customFormat="false" ht="13.8" hidden="false" customHeight="false" outlineLevel="0" collapsed="false">
      <c r="A43" s="0" t="s">
        <v>18</v>
      </c>
      <c r="B43" s="0" t="s">
        <v>5</v>
      </c>
    </row>
    <row r="44" customFormat="false" ht="13.8" hidden="false" customHeight="false" outlineLevel="0" collapsed="false">
      <c r="A44" s="0" t="s">
        <v>8</v>
      </c>
      <c r="B44" s="0" t="s">
        <v>16</v>
      </c>
    </row>
    <row r="45" customFormat="false" ht="13.8" hidden="false" customHeight="false" outlineLevel="0" collapsed="false">
      <c r="A45" s="0" t="s">
        <v>8</v>
      </c>
      <c r="B45" s="0" t="s">
        <v>6</v>
      </c>
    </row>
    <row r="46" customFormat="false" ht="13.8" hidden="false" customHeight="false" outlineLevel="0" collapsed="false">
      <c r="A46" s="0" t="s">
        <v>8</v>
      </c>
      <c r="B46" s="0" t="s">
        <v>6</v>
      </c>
    </row>
    <row r="47" customFormat="false" ht="13.8" hidden="false" customHeight="false" outlineLevel="0" collapsed="false">
      <c r="A47" s="0" t="s">
        <v>4</v>
      </c>
      <c r="B47" s="0" t="s">
        <v>5</v>
      </c>
    </row>
    <row r="48" customFormat="false" ht="13.8" hidden="false" customHeight="false" outlineLevel="0" collapsed="false">
      <c r="A48" s="0" t="s">
        <v>5</v>
      </c>
      <c r="B48" s="0" t="s">
        <v>6</v>
      </c>
    </row>
    <row r="49" customFormat="false" ht="13.8" hidden="false" customHeight="false" outlineLevel="0" collapsed="false">
      <c r="A49" s="0" t="s">
        <v>14</v>
      </c>
      <c r="B49" s="0" t="s">
        <v>4</v>
      </c>
    </row>
    <row r="50" customFormat="false" ht="13.8" hidden="false" customHeight="false" outlineLevel="0" collapsed="false">
      <c r="A50" s="0" t="s">
        <v>6</v>
      </c>
      <c r="B50" s="0" t="s">
        <v>16</v>
      </c>
    </row>
    <row r="51" customFormat="false" ht="13.8" hidden="false" customHeight="false" outlineLevel="0" collapsed="false">
      <c r="A51" s="0" t="s">
        <v>18</v>
      </c>
      <c r="B51" s="0" t="s">
        <v>4</v>
      </c>
    </row>
    <row r="52" customFormat="false" ht="13.8" hidden="false" customHeight="false" outlineLevel="0" collapsed="false">
      <c r="A52" s="0" t="s">
        <v>14</v>
      </c>
      <c r="B52" s="0" t="s">
        <v>2</v>
      </c>
    </row>
    <row r="53" customFormat="false" ht="13.8" hidden="false" customHeight="false" outlineLevel="0" collapsed="false">
      <c r="A53" s="0" t="s">
        <v>18</v>
      </c>
      <c r="B53" s="0" t="s">
        <v>5</v>
      </c>
    </row>
    <row r="54" customFormat="false" ht="13.8" hidden="false" customHeight="false" outlineLevel="0" collapsed="false">
      <c r="A54" s="0" t="s">
        <v>5</v>
      </c>
      <c r="B54" s="0" t="s">
        <v>4</v>
      </c>
    </row>
    <row r="55" customFormat="false" ht="13.8" hidden="false" customHeight="false" outlineLevel="0" collapsed="false">
      <c r="A55" s="0" t="s">
        <v>12</v>
      </c>
      <c r="B55" s="0" t="s">
        <v>8</v>
      </c>
    </row>
    <row r="56" customFormat="false" ht="13.8" hidden="false" customHeight="false" outlineLevel="0" collapsed="false">
      <c r="A56" s="0" t="s">
        <v>18</v>
      </c>
      <c r="B56" s="0" t="s">
        <v>16</v>
      </c>
    </row>
    <row r="57" customFormat="false" ht="13.8" hidden="false" customHeight="false" outlineLevel="0" collapsed="false">
      <c r="A57" s="0" t="s">
        <v>5</v>
      </c>
      <c r="B57" s="0" t="s">
        <v>8</v>
      </c>
    </row>
    <row r="58" customFormat="false" ht="13.8" hidden="false" customHeight="false" outlineLevel="0" collapsed="false">
      <c r="A58" s="0" t="s">
        <v>11</v>
      </c>
      <c r="B58" s="0" t="s">
        <v>4</v>
      </c>
    </row>
    <row r="59" customFormat="false" ht="13.8" hidden="false" customHeight="false" outlineLevel="0" collapsed="false">
      <c r="A59" s="0" t="s">
        <v>14</v>
      </c>
      <c r="B59" s="0" t="s">
        <v>4</v>
      </c>
    </row>
    <row r="60" customFormat="false" ht="13.8" hidden="false" customHeight="false" outlineLevel="0" collapsed="false">
      <c r="A60" s="0" t="s">
        <v>7</v>
      </c>
      <c r="B60" s="0" t="s">
        <v>16</v>
      </c>
    </row>
    <row r="61" customFormat="false" ht="13.8" hidden="false" customHeight="false" outlineLevel="0" collapsed="false">
      <c r="A61" s="0" t="s">
        <v>4</v>
      </c>
      <c r="B61" s="0" t="s">
        <v>2</v>
      </c>
    </row>
    <row r="62" customFormat="false" ht="13.8" hidden="false" customHeight="false" outlineLevel="0" collapsed="false">
      <c r="A62" s="0" t="s">
        <v>6</v>
      </c>
      <c r="B62" s="0" t="s">
        <v>12</v>
      </c>
    </row>
    <row r="63" customFormat="false" ht="13.8" hidden="false" customHeight="false" outlineLevel="0" collapsed="false">
      <c r="A63" s="0" t="s">
        <v>17</v>
      </c>
      <c r="B63" s="0" t="s">
        <v>16</v>
      </c>
    </row>
    <row r="64" customFormat="false" ht="13.8" hidden="false" customHeight="false" outlineLevel="0" collapsed="false">
      <c r="A64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3</v>
      </c>
      <c r="B2" s="0" t="s">
        <v>16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5</v>
      </c>
      <c r="B3" s="0" t="s">
        <v>2</v>
      </c>
      <c r="D3" s="12" t="s">
        <v>2</v>
      </c>
      <c r="E3" s="0" t="n">
        <f aca="false">COUNTIF($A$2:$A$200,D3)</f>
        <v>3</v>
      </c>
      <c r="F3" s="0" t="n">
        <f aca="false">COUNTIF($B$2:$B$200,D3)</f>
        <v>12</v>
      </c>
      <c r="G3" s="0" t="n">
        <f aca="false">E3-F3</f>
        <v>-9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13</v>
      </c>
      <c r="B4" s="0" t="s">
        <v>2</v>
      </c>
      <c r="D4" s="12" t="s">
        <v>3</v>
      </c>
      <c r="E4" s="0" t="n">
        <f aca="false">COUNTIF($A$2:$A$114,D4)</f>
        <v>7</v>
      </c>
      <c r="F4" s="0" t="n">
        <f aca="false">COUNTIF($B$2:$B$32,D4)</f>
        <v>1</v>
      </c>
      <c r="G4" s="0" t="n">
        <f aca="false">E4-F4</f>
        <v>6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8</v>
      </c>
      <c r="B5" s="0" t="s">
        <v>16</v>
      </c>
      <c r="D5" s="12" t="s">
        <v>4</v>
      </c>
      <c r="E5" s="0" t="n">
        <f aca="false">COUNTIF($A$2:$A$114,D5)</f>
        <v>2</v>
      </c>
      <c r="F5" s="0" t="n">
        <f aca="false">COUNTIF($B$2:$B$32,D5)</f>
        <v>5</v>
      </c>
      <c r="G5" s="0" t="n">
        <f aca="false">E5-F5</f>
        <v>-3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5</v>
      </c>
      <c r="B6" s="0" t="s">
        <v>13</v>
      </c>
      <c r="D6" s="12" t="s">
        <v>5</v>
      </c>
      <c r="E6" s="0" t="n">
        <f aca="false">COUNTIF($A$2:$A$114,D6)</f>
        <v>6</v>
      </c>
      <c r="F6" s="0" t="n">
        <f aca="false">COUNTIF($B$2:$B$32,D6)</f>
        <v>4</v>
      </c>
      <c r="G6" s="0" t="n">
        <f aca="false">E6-F6</f>
        <v>2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13</v>
      </c>
      <c r="B7" s="0" t="s">
        <v>16</v>
      </c>
      <c r="D7" s="12" t="s">
        <v>6</v>
      </c>
      <c r="E7" s="0" t="n">
        <f aca="false">COUNTIF($A$2:$A$114,D7)</f>
        <v>7</v>
      </c>
      <c r="F7" s="0" t="n">
        <f aca="false">COUNTIF($B$2:$B$32,D7)</f>
        <v>0</v>
      </c>
      <c r="G7" s="0" t="n">
        <f aca="false">E7-F7</f>
        <v>7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16</v>
      </c>
      <c r="B8" s="0" t="s">
        <v>2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8</v>
      </c>
      <c r="B9" s="0" t="s">
        <v>4</v>
      </c>
      <c r="D9" s="12" t="s">
        <v>8</v>
      </c>
      <c r="E9" s="0" t="n">
        <f aca="false">COUNTIF($A$2:$A$114,D9)</f>
        <v>8</v>
      </c>
      <c r="F9" s="0" t="n">
        <f aca="false">COUNTIF($B$2:$B$32,D9)</f>
        <v>0</v>
      </c>
      <c r="G9" s="0" t="n">
        <f aca="false">E9-F9</f>
        <v>8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8</v>
      </c>
      <c r="B10" s="0" t="s">
        <v>16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6</v>
      </c>
      <c r="B11" s="0" t="s">
        <v>2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3</v>
      </c>
      <c r="B12" s="0" t="s">
        <v>5</v>
      </c>
      <c r="D12" s="12" t="s">
        <v>11</v>
      </c>
      <c r="E12" s="0" t="n">
        <f aca="false">COUNTIF($A$2:$A$114,D12)</f>
        <v>1</v>
      </c>
      <c r="F12" s="0" t="n">
        <f aca="false">COUNTIF($B$2:$B$32,D12)</f>
        <v>0</v>
      </c>
      <c r="G12" s="0" t="n">
        <f aca="false">E12-F12</f>
        <v>1</v>
      </c>
      <c r="H12" s="0" t="str">
        <f aca="false">IF(G12&gt;0,D12,"")</f>
        <v>Japan</v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6</v>
      </c>
      <c r="B13" s="0" t="s">
        <v>2</v>
      </c>
      <c r="D13" s="12" t="s">
        <v>12</v>
      </c>
      <c r="E13" s="0" t="n">
        <f aca="false">COUNTIF($A$2:$A$114,D13)</f>
        <v>2</v>
      </c>
      <c r="F13" s="0" t="n">
        <f aca="false">COUNTIF($B$2:$B$32,D13)</f>
        <v>0</v>
      </c>
      <c r="G13" s="0" t="n">
        <f aca="false">E13-F13</f>
        <v>2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8</v>
      </c>
      <c r="B14" s="0" t="s">
        <v>16</v>
      </c>
      <c r="D14" s="12" t="s">
        <v>13</v>
      </c>
      <c r="E14" s="0" t="n">
        <f aca="false">COUNTIF($A$2:$A$114,D14)</f>
        <v>2</v>
      </c>
      <c r="F14" s="0" t="n">
        <f aca="false">COUNTIF($B$2:$B$32,D14)</f>
        <v>2</v>
      </c>
      <c r="G14" s="0" t="n">
        <f aca="false">E14-F14</f>
        <v>0</v>
      </c>
      <c r="H14" s="0" t="str">
        <f aca="false">IF(G14&gt;0,D14,"")</f>
        <v/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3</v>
      </c>
      <c r="B15" s="0" t="s">
        <v>4</v>
      </c>
      <c r="D15" s="12" t="s">
        <v>14</v>
      </c>
      <c r="E15" s="0" t="n">
        <f aca="false">COUNTIF($A$2:$A$114,D15)</f>
        <v>0</v>
      </c>
      <c r="F15" s="0" t="n">
        <f aca="false">COUNTIF($B$2:$B$32,D15)</f>
        <v>0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5</v>
      </c>
      <c r="B16" s="0" t="s">
        <v>2</v>
      </c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16</v>
      </c>
      <c r="B17" s="0" t="s">
        <v>16</v>
      </c>
      <c r="D17" s="12" t="s">
        <v>16</v>
      </c>
      <c r="E17" s="0" t="n">
        <f aca="false">COUNTIF($A$2:$A$114,D17)</f>
        <v>6</v>
      </c>
      <c r="F17" s="0" t="n">
        <f aca="false">COUNTIF($B$2:$B$32,D17)</f>
        <v>10</v>
      </c>
      <c r="G17" s="0" t="n">
        <f aca="false">E17-F17</f>
        <v>-4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A18" s="0" t="s">
        <v>8</v>
      </c>
      <c r="B18" s="0" t="s">
        <v>5</v>
      </c>
      <c r="D18" s="12" t="s">
        <v>18</v>
      </c>
      <c r="E18" s="0" t="n">
        <f aca="false">COUNTIF($A$2:$A$114,D18)</f>
        <v>5</v>
      </c>
      <c r="F18" s="0" t="n">
        <f aca="false">COUNTIF($B$2:$B$32,D18)</f>
        <v>0</v>
      </c>
      <c r="G18" s="0" t="n">
        <f aca="false">E18-F18</f>
        <v>5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4</v>
      </c>
      <c r="B19" s="0" t="s">
        <v>2</v>
      </c>
    </row>
    <row r="20" customFormat="false" ht="13.8" hidden="false" customHeight="false" outlineLevel="0" collapsed="false">
      <c r="A20" s="0" t="s">
        <v>8</v>
      </c>
      <c r="B20" s="0" t="s">
        <v>16</v>
      </c>
    </row>
    <row r="21" customFormat="false" ht="13.8" hidden="false" customHeight="false" outlineLevel="0" collapsed="false">
      <c r="A21" s="0" t="s">
        <v>16</v>
      </c>
      <c r="B21" s="0" t="s">
        <v>13</v>
      </c>
    </row>
    <row r="22" customFormat="false" ht="13.8" hidden="false" customHeight="false" outlineLevel="0" collapsed="false">
      <c r="A22" s="0" t="s">
        <v>8</v>
      </c>
      <c r="B22" s="0" t="s">
        <v>4</v>
      </c>
    </row>
    <row r="23" customFormat="false" ht="13.8" hidden="false" customHeight="false" outlineLevel="0" collapsed="false">
      <c r="A23" s="0" t="s">
        <v>5</v>
      </c>
      <c r="B23" s="0" t="s">
        <v>3</v>
      </c>
    </row>
    <row r="24" customFormat="false" ht="13.8" hidden="false" customHeight="false" outlineLevel="0" collapsed="false">
      <c r="A24" s="0" t="s">
        <v>6</v>
      </c>
      <c r="B24" s="0" t="s">
        <v>16</v>
      </c>
    </row>
    <row r="25" customFormat="false" ht="13.8" hidden="false" customHeight="false" outlineLevel="0" collapsed="false">
      <c r="A25" s="0" t="s">
        <v>2</v>
      </c>
      <c r="B25" s="0" t="s">
        <v>5</v>
      </c>
    </row>
    <row r="26" customFormat="false" ht="13.8" hidden="false" customHeight="false" outlineLevel="0" collapsed="false">
      <c r="A26" s="0" t="s">
        <v>16</v>
      </c>
      <c r="B26" s="0" t="s">
        <v>2</v>
      </c>
    </row>
    <row r="27" customFormat="false" ht="13.8" hidden="false" customHeight="false" outlineLevel="0" collapsed="false">
      <c r="A27" s="0" t="s">
        <v>2</v>
      </c>
      <c r="B27" s="0" t="s">
        <v>16</v>
      </c>
    </row>
    <row r="28" customFormat="false" ht="13.8" hidden="false" customHeight="false" outlineLevel="0" collapsed="false">
      <c r="A28" s="0" t="s">
        <v>8</v>
      </c>
      <c r="B28" s="0" t="s">
        <v>4</v>
      </c>
    </row>
    <row r="29" customFormat="false" ht="13.8" hidden="false" customHeight="false" outlineLevel="0" collapsed="false">
      <c r="A29" s="0" t="s">
        <v>3</v>
      </c>
      <c r="B29" s="0" t="s">
        <v>5</v>
      </c>
    </row>
    <row r="30" customFormat="false" ht="13.8" hidden="false" customHeight="false" outlineLevel="0" collapsed="false">
      <c r="A30" s="0" t="s">
        <v>3</v>
      </c>
      <c r="B30" s="0" t="s">
        <v>16</v>
      </c>
    </row>
    <row r="31" customFormat="false" ht="13.8" hidden="false" customHeight="false" outlineLevel="0" collapsed="false">
      <c r="A31" s="0" t="s">
        <v>5</v>
      </c>
      <c r="B31" s="0" t="s">
        <v>4</v>
      </c>
    </row>
    <row r="32" customFormat="false" ht="13.8" hidden="false" customHeight="false" outlineLevel="0" collapsed="false">
      <c r="A32" s="0" t="s">
        <v>4</v>
      </c>
      <c r="B32" s="0" t="s">
        <v>2</v>
      </c>
    </row>
    <row r="33" customFormat="false" ht="13.8" hidden="false" customHeight="false" outlineLevel="0" collapsed="false">
      <c r="A33" s="0" t="s">
        <v>6</v>
      </c>
      <c r="B33" s="0" t="s">
        <v>13</v>
      </c>
    </row>
    <row r="34" customFormat="false" ht="13.8" hidden="false" customHeight="false" outlineLevel="0" collapsed="false">
      <c r="A34" s="0" t="s">
        <v>6</v>
      </c>
      <c r="B34" s="0" t="s">
        <v>4</v>
      </c>
    </row>
    <row r="35" customFormat="false" ht="13.8" hidden="false" customHeight="false" outlineLevel="0" collapsed="false">
      <c r="A35" s="0" t="s">
        <v>6</v>
      </c>
      <c r="B35" s="0" t="s">
        <v>3</v>
      </c>
    </row>
    <row r="36" customFormat="false" ht="13.8" hidden="false" customHeight="false" outlineLevel="0" collapsed="false">
      <c r="A36" s="0" t="s">
        <v>3</v>
      </c>
      <c r="B36" s="0" t="s">
        <v>13</v>
      </c>
    </row>
    <row r="37" customFormat="false" ht="13.8" hidden="false" customHeight="false" outlineLevel="0" collapsed="false">
      <c r="A37" s="0" t="s">
        <v>18</v>
      </c>
      <c r="B37" s="0" t="s">
        <v>4</v>
      </c>
    </row>
    <row r="38" customFormat="false" ht="13.8" hidden="false" customHeight="false" outlineLevel="0" collapsed="false">
      <c r="A38" s="0" t="s">
        <v>5</v>
      </c>
      <c r="B38" s="0" t="s">
        <v>6</v>
      </c>
    </row>
    <row r="39" customFormat="false" ht="13.8" hidden="false" customHeight="false" outlineLevel="0" collapsed="false">
      <c r="A39" s="0" t="s">
        <v>16</v>
      </c>
      <c r="B39" s="0" t="s">
        <v>5</v>
      </c>
    </row>
    <row r="40" customFormat="false" ht="13.8" hidden="false" customHeight="false" outlineLevel="0" collapsed="false">
      <c r="A40" s="0" t="s">
        <v>18</v>
      </c>
      <c r="B40" s="0" t="s">
        <v>16</v>
      </c>
    </row>
    <row r="41" customFormat="false" ht="13.8" hidden="false" customHeight="false" outlineLevel="0" collapsed="false">
      <c r="A41" s="0" t="s">
        <v>2</v>
      </c>
      <c r="B41" s="0" t="s">
        <v>13</v>
      </c>
    </row>
    <row r="42" customFormat="false" ht="13.8" hidden="false" customHeight="false" outlineLevel="0" collapsed="false">
      <c r="A42" s="0" t="s">
        <v>11</v>
      </c>
      <c r="B42" s="0" t="s">
        <v>13</v>
      </c>
    </row>
    <row r="43" customFormat="false" ht="13.8" hidden="false" customHeight="false" outlineLevel="0" collapsed="false">
      <c r="A43" s="0" t="s">
        <v>3</v>
      </c>
      <c r="B43" s="0" t="s">
        <v>5</v>
      </c>
    </row>
    <row r="44" customFormat="false" ht="13.8" hidden="false" customHeight="false" outlineLevel="0" collapsed="false">
      <c r="A44" s="0" t="s">
        <v>12</v>
      </c>
      <c r="B44" s="0" t="s">
        <v>2</v>
      </c>
    </row>
    <row r="45" customFormat="false" ht="13.8" hidden="false" customHeight="false" outlineLevel="0" collapsed="false">
      <c r="A45" s="0" t="s">
        <v>18</v>
      </c>
      <c r="B45" s="0" t="s">
        <v>12</v>
      </c>
    </row>
    <row r="46" customFormat="false" ht="13.8" hidden="false" customHeight="false" outlineLevel="0" collapsed="false">
      <c r="A46" s="0" t="s">
        <v>16</v>
      </c>
      <c r="B46" s="0" t="s">
        <v>4</v>
      </c>
    </row>
    <row r="47" customFormat="false" ht="13.8" hidden="false" customHeight="false" outlineLevel="0" collapsed="false">
      <c r="A47" s="0" t="s">
        <v>12</v>
      </c>
      <c r="B47" s="0" t="s">
        <v>8</v>
      </c>
    </row>
    <row r="48" customFormat="false" ht="13.8" hidden="false" customHeight="false" outlineLevel="0" collapsed="false">
      <c r="A48" s="0" t="s">
        <v>6</v>
      </c>
      <c r="B48" s="0" t="s">
        <v>3</v>
      </c>
    </row>
    <row r="49" customFormat="false" ht="13.8" hidden="false" customHeight="false" outlineLevel="0" collapsed="false">
      <c r="A49" s="0" t="s">
        <v>18</v>
      </c>
      <c r="B49" s="0" t="s">
        <v>4</v>
      </c>
    </row>
    <row r="50" customFormat="false" ht="13.8" hidden="false" customHeight="false" outlineLevel="0" collapsed="false">
      <c r="A50" s="0" t="s">
        <v>18</v>
      </c>
      <c r="B50" s="0" t="s">
        <v>12</v>
      </c>
    </row>
    <row r="51" customFormat="false" ht="13.8" hidden="false" customHeight="false" outlineLevel="0" collapsed="false">
      <c r="B51" s="0" t="s">
        <v>13</v>
      </c>
    </row>
    <row r="52" customFormat="false" ht="13.8" hidden="false" customHeight="false" outlineLevel="0" collapsed="false">
      <c r="B52" s="0" t="s">
        <v>4</v>
      </c>
    </row>
    <row r="53" customFormat="false" ht="13.8" hidden="false" customHeight="false" outlineLevel="0" collapsed="false">
      <c r="B53" s="0" t="s">
        <v>6</v>
      </c>
    </row>
    <row r="54" customFormat="false" ht="13.8" hidden="false" customHeight="false" outlineLevel="0" collapsed="false">
      <c r="B54" s="0" t="s">
        <v>2</v>
      </c>
    </row>
    <row r="55" customFormat="false" ht="13.8" hidden="false" customHeight="false" outlineLevel="0" collapsed="false">
      <c r="B55" s="0" t="s">
        <v>18</v>
      </c>
    </row>
    <row r="56" customFormat="false" ht="13.8" hidden="false" customHeight="false" outlineLevel="0" collapsed="false">
      <c r="B56" s="0" t="s">
        <v>2</v>
      </c>
    </row>
    <row r="57" customFormat="false" ht="13.8" hidden="false" customHeight="false" outlineLevel="0" collapsed="false">
      <c r="B57" s="0" t="s">
        <v>5</v>
      </c>
    </row>
    <row r="58" customFormat="false" ht="13.8" hidden="false" customHeight="false" outlineLevel="0" collapsed="false">
      <c r="B58" s="0" t="s">
        <v>16</v>
      </c>
    </row>
    <row r="59" customFormat="false" ht="13.8" hidden="false" customHeight="false" outlineLevel="0" collapsed="false">
      <c r="B59" s="0" t="s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5</v>
      </c>
      <c r="B2" s="0" t="s">
        <v>6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2</v>
      </c>
      <c r="B3" s="0" t="s">
        <v>2</v>
      </c>
      <c r="D3" s="12" t="s">
        <v>2</v>
      </c>
      <c r="E3" s="0" t="n">
        <f aca="false">COUNTIF($A$2:$A$200,D3)</f>
        <v>1</v>
      </c>
      <c r="F3" s="0" t="n">
        <f aca="false">COUNTIF($B$2:$B$200,D3)</f>
        <v>1</v>
      </c>
      <c r="G3" s="0" t="n">
        <f aca="false">E3-F3</f>
        <v>0</v>
      </c>
      <c r="H3" s="0" t="str">
        <f aca="false">IF(G3&gt;0,D3,"")</f>
        <v/>
      </c>
      <c r="I3" s="0" t="str">
        <f aca="false">IF(G3&lt;0,D3,"")</f>
        <v/>
      </c>
    </row>
    <row r="4" customFormat="false" ht="13.8" hidden="false" customHeight="false" outlineLevel="0" collapsed="false">
      <c r="B4" s="0" t="s">
        <v>6</v>
      </c>
      <c r="D4" s="12" t="s">
        <v>3</v>
      </c>
      <c r="E4" s="0" t="n">
        <f aca="false">COUNTIF($A$2:$A$114,D4)</f>
        <v>0</v>
      </c>
      <c r="F4" s="0" t="n">
        <f aca="false">COUNTIF($B$2:$B$32,D4)</f>
        <v>1</v>
      </c>
      <c r="G4" s="0" t="n">
        <f aca="false">E4-F4</f>
        <v>-1</v>
      </c>
      <c r="H4" s="0" t="str">
        <f aca="false">IF(G4&gt;0,D4,"")</f>
        <v/>
      </c>
      <c r="I4" s="0" t="str">
        <f aca="false">IF(G4&lt;0,D4,"")</f>
        <v>Bolivia</v>
      </c>
    </row>
    <row r="5" customFormat="false" ht="13.8" hidden="false" customHeight="false" outlineLevel="0" collapsed="false">
      <c r="B5" s="0" t="s">
        <v>16</v>
      </c>
      <c r="D5" s="12" t="s">
        <v>4</v>
      </c>
      <c r="E5" s="0" t="n">
        <f aca="false">COUNTIF($A$2:$A$114,D5)</f>
        <v>0</v>
      </c>
      <c r="F5" s="0" t="n">
        <f aca="false">COUNTIF($B$2:$B$32,D5)</f>
        <v>1</v>
      </c>
      <c r="G5" s="0" t="n">
        <f aca="false">E5-F5</f>
        <v>-1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B6" s="0" t="s">
        <v>8</v>
      </c>
      <c r="D6" s="12" t="s">
        <v>5</v>
      </c>
      <c r="E6" s="0" t="n">
        <f aca="false">COUNTIF($A$2:$A$114,D6)</f>
        <v>1</v>
      </c>
      <c r="F6" s="0" t="n">
        <f aca="false">COUNTIF($B$2:$B$32,D6)</f>
        <v>0</v>
      </c>
      <c r="G6" s="0" t="n">
        <f aca="false">E6-F6</f>
        <v>1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B7" s="0" t="s">
        <v>3</v>
      </c>
      <c r="D7" s="12" t="s">
        <v>6</v>
      </c>
      <c r="E7" s="0" t="n">
        <f aca="false">COUNTIF($A$2:$A$114,D7)</f>
        <v>0</v>
      </c>
      <c r="F7" s="0" t="n">
        <f aca="false">COUNTIF($B$2:$B$32,D7)</f>
        <v>2</v>
      </c>
      <c r="G7" s="0" t="n">
        <f aca="false">E7-F7</f>
        <v>-2</v>
      </c>
      <c r="H7" s="0" t="str">
        <f aca="false">IF(G7&gt;0,D7,"")</f>
        <v/>
      </c>
      <c r="I7" s="0" t="str">
        <f aca="false">IF(G7&lt;0,D7,"")</f>
        <v>Colombia</v>
      </c>
    </row>
    <row r="8" customFormat="false" ht="13.8" hidden="false" customHeight="false" outlineLevel="0" collapsed="false">
      <c r="B8" s="0" t="s">
        <v>4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B9" s="0" t="s">
        <v>13</v>
      </c>
      <c r="D9" s="12" t="s">
        <v>8</v>
      </c>
      <c r="E9" s="0" t="n">
        <f aca="false">COUNTIF($A$2:$A$114,D9)</f>
        <v>0</v>
      </c>
      <c r="F9" s="0" t="n">
        <f aca="false">COUNTIF($B$2:$B$32,D9)</f>
        <v>1</v>
      </c>
      <c r="G9" s="0" t="n">
        <f aca="false">E9-F9</f>
        <v>-1</v>
      </c>
      <c r="H9" s="0" t="str">
        <f aca="false">IF(G9&gt;0,D9,"")</f>
        <v/>
      </c>
      <c r="I9" s="0" t="str">
        <f aca="false">IF(G9&lt;0,D9,"")</f>
        <v>Ecuador</v>
      </c>
    </row>
    <row r="10" customFormat="false" ht="13.8" hidden="false" customHeight="false" outlineLevel="0" collapsed="false"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D13" s="12" t="s">
        <v>12</v>
      </c>
      <c r="E13" s="0" t="n">
        <f aca="false">COUNTIF($A$2:$A$114,D13)</f>
        <v>0</v>
      </c>
      <c r="F13" s="0" t="n">
        <f aca="false">COUNTIF($B$2:$B$32,D13)</f>
        <v>0</v>
      </c>
      <c r="G13" s="0" t="n">
        <f aca="false">E13-F13</f>
        <v>0</v>
      </c>
      <c r="H13" s="0" t="str">
        <f aca="false">IF(G13&gt;0,D13,"")</f>
        <v/>
      </c>
      <c r="I13" s="0" t="str">
        <f aca="false">IF(G13&lt;0,D13,"")</f>
        <v/>
      </c>
    </row>
    <row r="14" customFormat="false" ht="13.8" hidden="false" customHeight="false" outlineLevel="0" collapsed="false">
      <c r="D14" s="12" t="s">
        <v>13</v>
      </c>
      <c r="E14" s="0" t="n">
        <f aca="false">COUNTIF($A$2:$A$114,D14)</f>
        <v>0</v>
      </c>
      <c r="F14" s="0" t="n">
        <f aca="false">COUNTIF($B$2:$B$32,D14)</f>
        <v>1</v>
      </c>
      <c r="G14" s="0" t="n">
        <f aca="false">E14-F14</f>
        <v>-1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D15" s="12" t="s">
        <v>14</v>
      </c>
      <c r="E15" s="0" t="n">
        <f aca="false">COUNTIF($A$2:$A$114,D15)</f>
        <v>0</v>
      </c>
      <c r="F15" s="0" t="n">
        <f aca="false">COUNTIF($B$2:$B$32,D15)</f>
        <v>0</v>
      </c>
      <c r="G15" s="0" t="n">
        <f aca="false">E15-F15</f>
        <v>0</v>
      </c>
      <c r="H15" s="0" t="str">
        <f aca="false">IF(G15&gt;0,D15,"")</f>
        <v/>
      </c>
      <c r="I15" s="0" t="str">
        <f aca="false">IF(G15&lt;0,D15,"")</f>
        <v/>
      </c>
    </row>
    <row r="16" customFormat="false" ht="13.8" hidden="false" customHeight="false" outlineLevel="0" collapsed="false"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D17" s="12" t="s">
        <v>16</v>
      </c>
      <c r="E17" s="0" t="n">
        <f aca="false">COUNTIF($A$2:$A$114,D17)</f>
        <v>0</v>
      </c>
      <c r="F17" s="0" t="n">
        <f aca="false">COUNTIF($B$2:$B$32,D17)</f>
        <v>1</v>
      </c>
      <c r="G17" s="0" t="n">
        <f aca="false">E17-F17</f>
        <v>-1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5</v>
      </c>
      <c r="B2" s="0" t="s">
        <v>4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4</v>
      </c>
      <c r="B3" s="0" t="s">
        <v>13</v>
      </c>
      <c r="D3" s="12" t="s">
        <v>2</v>
      </c>
      <c r="E3" s="0" t="n">
        <f aca="false">COUNTIF($A$2:$A$200,D3)</f>
        <v>13</v>
      </c>
      <c r="F3" s="0" t="n">
        <f aca="false">COUNTIF($B$2:$B$200,D3)</f>
        <v>14</v>
      </c>
      <c r="G3" s="0" t="n">
        <f aca="false">E3-F3</f>
        <v>-1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5</v>
      </c>
      <c r="B4" s="0" t="s">
        <v>2</v>
      </c>
      <c r="D4" s="12" t="s">
        <v>3</v>
      </c>
      <c r="E4" s="0" t="n">
        <f aca="false">COUNTIF($A$2:$A$114,D4)</f>
        <v>13</v>
      </c>
      <c r="F4" s="0" t="n">
        <f aca="false">COUNTIF($B$2:$B$32,D4)</f>
        <v>1</v>
      </c>
      <c r="G4" s="0" t="n">
        <f aca="false">E4-F4</f>
        <v>12</v>
      </c>
      <c r="H4" s="0" t="str">
        <f aca="false">IF(G4&gt;0,D4,"")</f>
        <v>Bolivia</v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4</v>
      </c>
      <c r="B5" s="0" t="s">
        <v>13</v>
      </c>
      <c r="D5" s="12" t="s">
        <v>4</v>
      </c>
      <c r="E5" s="0" t="n">
        <f aca="false">COUNTIF($A$2:$A$114,D5)</f>
        <v>9</v>
      </c>
      <c r="F5" s="0" t="n">
        <f aca="false">COUNTIF($B$2:$B$32,D5)</f>
        <v>6</v>
      </c>
      <c r="G5" s="0" t="n">
        <f aca="false">E5-F5</f>
        <v>3</v>
      </c>
      <c r="H5" s="0" t="str">
        <f aca="false">IF(G5&gt;0,D5,"")</f>
        <v>Brazil</v>
      </c>
      <c r="I5" s="0" t="str">
        <f aca="false">IF(G5&lt;0,D5,"")</f>
        <v/>
      </c>
    </row>
    <row r="6" customFormat="false" ht="13.8" hidden="false" customHeight="false" outlineLevel="0" collapsed="false">
      <c r="A6" s="0" t="s">
        <v>2</v>
      </c>
      <c r="B6" s="0" t="s">
        <v>2</v>
      </c>
      <c r="D6" s="12" t="s">
        <v>5</v>
      </c>
      <c r="E6" s="0" t="n">
        <f aca="false">COUNTIF($A$2:$A$114,D6)</f>
        <v>18</v>
      </c>
      <c r="F6" s="0" t="n">
        <f aca="false">COUNTIF($B$2:$B$32,D6)</f>
        <v>4</v>
      </c>
      <c r="G6" s="0" t="n">
        <f aca="false">E6-F6</f>
        <v>14</v>
      </c>
      <c r="H6" s="0" t="str">
        <f aca="false">IF(G6&gt;0,D6,"")</f>
        <v>Chile</v>
      </c>
      <c r="I6" s="0" t="str">
        <f aca="false">IF(G6&lt;0,D6,"")</f>
        <v/>
      </c>
    </row>
    <row r="7" customFormat="false" ht="13.8" hidden="false" customHeight="false" outlineLevel="0" collapsed="false">
      <c r="A7" s="0" t="s">
        <v>2</v>
      </c>
      <c r="B7" s="0" t="s">
        <v>13</v>
      </c>
      <c r="D7" s="12" t="s">
        <v>6</v>
      </c>
      <c r="E7" s="0" t="n">
        <f aca="false">COUNTIF($A$2:$A$114,D7)</f>
        <v>6</v>
      </c>
      <c r="F7" s="0" t="n">
        <f aca="false">COUNTIF($B$2:$B$32,D7)</f>
        <v>1</v>
      </c>
      <c r="G7" s="0" t="n">
        <f aca="false">E7-F7</f>
        <v>5</v>
      </c>
      <c r="H7" s="0" t="str">
        <f aca="false">IF(G7&gt;0,D7,"")</f>
        <v>Colombia</v>
      </c>
      <c r="I7" s="0" t="str">
        <f aca="false">IF(G7&lt;0,D7,"")</f>
        <v/>
      </c>
    </row>
    <row r="8" customFormat="false" ht="13.8" hidden="false" customHeight="false" outlineLevel="0" collapsed="false">
      <c r="A8" s="0" t="s">
        <v>5</v>
      </c>
      <c r="B8" s="0" t="s">
        <v>2</v>
      </c>
      <c r="D8" s="12" t="s">
        <v>7</v>
      </c>
      <c r="E8" s="0" t="n">
        <f aca="false">COUNTIF($A$2:$A$114,D8)</f>
        <v>1</v>
      </c>
      <c r="F8" s="0" t="n">
        <f aca="false">COUNTIF($B$2:$B$32,D8)</f>
        <v>0</v>
      </c>
      <c r="G8" s="0" t="n">
        <f aca="false">E8-F8</f>
        <v>1</v>
      </c>
      <c r="H8" s="0" t="str">
        <f aca="false">IF(G8&gt;0,D8,"")</f>
        <v>Costa Rica</v>
      </c>
      <c r="I8" s="0" t="str">
        <f aca="false">IF(G8&lt;0,D8,"")</f>
        <v/>
      </c>
    </row>
    <row r="9" customFormat="false" ht="13.8" hidden="false" customHeight="false" outlineLevel="0" collapsed="false">
      <c r="A9" s="0" t="s">
        <v>4</v>
      </c>
      <c r="B9" s="0" t="s">
        <v>13</v>
      </c>
      <c r="D9" s="12" t="s">
        <v>8</v>
      </c>
      <c r="E9" s="0" t="n">
        <f aca="false">COUNTIF($A$2:$A$114,D9)</f>
        <v>13</v>
      </c>
      <c r="F9" s="0" t="n">
        <f aca="false">COUNTIF($B$2:$B$32,D9)</f>
        <v>0</v>
      </c>
      <c r="G9" s="0" t="n">
        <f aca="false">E9-F9</f>
        <v>13</v>
      </c>
      <c r="H9" s="0" t="str">
        <f aca="false">IF(G9&gt;0,D9,"")</f>
        <v>Ecuador</v>
      </c>
      <c r="I9" s="0" t="str">
        <f aca="false">IF(G9&lt;0,D9,"")</f>
        <v/>
      </c>
    </row>
    <row r="10" customFormat="false" ht="13.8" hidden="false" customHeight="false" outlineLevel="0" collapsed="false">
      <c r="A10" s="0" t="s">
        <v>5</v>
      </c>
      <c r="B10" s="0" t="s">
        <v>5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A11" s="0" t="s">
        <v>4</v>
      </c>
      <c r="B11" s="0" t="s">
        <v>4</v>
      </c>
      <c r="D11" s="12" t="s">
        <v>10</v>
      </c>
      <c r="E11" s="0" t="n">
        <f aca="false">COUNTIF($A$2:$A$114,D11)</f>
        <v>1</v>
      </c>
      <c r="F11" s="0" t="n">
        <f aca="false">COUNTIF($B$2:$B$32,D11)</f>
        <v>0</v>
      </c>
      <c r="G11" s="0" t="n">
        <f aca="false">E11-F11</f>
        <v>1</v>
      </c>
      <c r="H11" s="0" t="str">
        <f aca="false">IF(G11&gt;0,D11,"")</f>
        <v>Jamaica</v>
      </c>
      <c r="I11" s="0" t="str">
        <f aca="false">IF(G11&lt;0,D11,"")</f>
        <v/>
      </c>
    </row>
    <row r="12" customFormat="false" ht="13.8" hidden="false" customHeight="false" outlineLevel="0" collapsed="false">
      <c r="A12" s="0" t="s">
        <v>5</v>
      </c>
      <c r="B12" s="0" t="s">
        <v>14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A13" s="0" t="s">
        <v>2</v>
      </c>
      <c r="B13" s="0" t="s">
        <v>2</v>
      </c>
      <c r="D13" s="12" t="s">
        <v>12</v>
      </c>
      <c r="E13" s="0" t="n">
        <f aca="false">COUNTIF($A$2:$A$114,D13)</f>
        <v>1</v>
      </c>
      <c r="F13" s="0" t="n">
        <f aca="false">COUNTIF($B$2:$B$32,D13)</f>
        <v>0</v>
      </c>
      <c r="G13" s="0" t="n">
        <f aca="false">E13-F13</f>
        <v>1</v>
      </c>
      <c r="H13" s="0" t="str">
        <f aca="false">IF(G13&gt;0,D13,"")</f>
        <v>México</v>
      </c>
      <c r="I13" s="0" t="str">
        <f aca="false">IF(G13&lt;0,D13,"")</f>
        <v/>
      </c>
    </row>
    <row r="14" customFormat="false" ht="13.8" hidden="false" customHeight="false" outlineLevel="0" collapsed="false">
      <c r="A14" s="0" t="s">
        <v>13</v>
      </c>
      <c r="B14" s="0" t="s">
        <v>4</v>
      </c>
      <c r="D14" s="12" t="s">
        <v>13</v>
      </c>
      <c r="E14" s="0" t="n">
        <f aca="false">COUNTIF($A$2:$A$114,D14)</f>
        <v>14</v>
      </c>
      <c r="F14" s="0" t="n">
        <f aca="false">COUNTIF($B$2:$B$32,D14)</f>
        <v>6</v>
      </c>
      <c r="G14" s="0" t="n">
        <f aca="false">E14-F14</f>
        <v>8</v>
      </c>
      <c r="H14" s="0" t="str">
        <f aca="false">IF(G14&gt;0,D14,"")</f>
        <v>Paraguay</v>
      </c>
      <c r="I14" s="0" t="str">
        <f aca="false">IF(G14&lt;0,D14,"")</f>
        <v/>
      </c>
    </row>
    <row r="15" customFormat="false" ht="13.8" hidden="false" customHeight="false" outlineLevel="0" collapsed="false">
      <c r="A15" s="0" t="s">
        <v>4</v>
      </c>
      <c r="B15" s="0" t="s">
        <v>5</v>
      </c>
      <c r="D15" s="12" t="s">
        <v>14</v>
      </c>
      <c r="E15" s="0" t="n">
        <f aca="false">COUNTIF($A$2:$A$114,D15)</f>
        <v>12</v>
      </c>
      <c r="F15" s="0" t="n">
        <f aca="false">COUNTIF($B$2:$B$32,D15)</f>
        <v>4</v>
      </c>
      <c r="G15" s="0" t="n">
        <f aca="false">E15-F15</f>
        <v>8</v>
      </c>
      <c r="H15" s="0" t="str">
        <f aca="false">IF(G15&gt;0,D15,"")</f>
        <v>Peru</v>
      </c>
      <c r="I15" s="0" t="str">
        <f aca="false">IF(G15&lt;0,D15,"")</f>
        <v/>
      </c>
    </row>
    <row r="16" customFormat="false" ht="13.8" hidden="false" customHeight="false" outlineLevel="0" collapsed="false">
      <c r="A16" s="0" t="s">
        <v>2</v>
      </c>
      <c r="B16" s="0" t="s">
        <v>2</v>
      </c>
      <c r="D16" s="12" t="s">
        <v>15</v>
      </c>
      <c r="E16" s="0" t="n">
        <v>1</v>
      </c>
      <c r="F16" s="0" t="n">
        <f aca="false">COUNTIF($B$2:$B$32,D16)</f>
        <v>0</v>
      </c>
      <c r="G16" s="0" t="n">
        <f aca="false">E16-F16</f>
        <v>1</v>
      </c>
      <c r="H16" s="0" t="str">
        <f aca="false">IF(G16&gt;0,D16,"")</f>
        <v>U.S.A.</v>
      </c>
      <c r="I16" s="0" t="str">
        <f aca="false">IF(G16&lt;0,D16,"")</f>
        <v/>
      </c>
    </row>
    <row r="17" customFormat="false" ht="13.8" hidden="false" customHeight="false" outlineLevel="0" collapsed="false">
      <c r="A17" s="0" t="s">
        <v>5</v>
      </c>
      <c r="B17" s="0" t="s">
        <v>4</v>
      </c>
      <c r="D17" s="12" t="s">
        <v>16</v>
      </c>
      <c r="E17" s="0" t="n">
        <f aca="false">COUNTIF($A$2:$A$114,D17)</f>
        <v>0</v>
      </c>
      <c r="F17" s="0" t="n">
        <f aca="false">COUNTIF($B$2:$B$32,D17)</f>
        <v>0</v>
      </c>
      <c r="G17" s="0" t="n">
        <f aca="false">E17-F17</f>
        <v>0</v>
      </c>
      <c r="H17" s="0" t="str">
        <f aca="false">IF(G17&gt;0,D17,"")</f>
        <v/>
      </c>
      <c r="I17" s="0" t="str">
        <f aca="false">IF(G17&lt;0,D17,"")</f>
        <v/>
      </c>
    </row>
    <row r="18" customFormat="false" ht="13.8" hidden="false" customHeight="false" outlineLevel="0" collapsed="false">
      <c r="A18" s="0" t="s">
        <v>13</v>
      </c>
      <c r="B18" s="0" t="s">
        <v>2</v>
      </c>
      <c r="D18" s="12" t="s">
        <v>18</v>
      </c>
      <c r="E18" s="0" t="n">
        <f aca="false">COUNTIF($A$2:$A$114,D18)</f>
        <v>6</v>
      </c>
      <c r="F18" s="0" t="n">
        <f aca="false">COUNTIF($B$2:$B$32,D18)</f>
        <v>0</v>
      </c>
      <c r="G18" s="0" t="n">
        <f aca="false">E18-F18</f>
        <v>6</v>
      </c>
      <c r="H18" s="0" t="str">
        <f aca="false">IF(G18&gt;0,D18,"")</f>
        <v>Venezuela</v>
      </c>
      <c r="I18" s="0" t="str">
        <f aca="false">IF(G18&lt;0,D18,"")</f>
        <v/>
      </c>
    </row>
    <row r="19" customFormat="false" ht="13.8" hidden="false" customHeight="false" outlineLevel="0" collapsed="false">
      <c r="A19" s="0" t="s">
        <v>5</v>
      </c>
      <c r="B19" s="0" t="s">
        <v>13</v>
      </c>
    </row>
    <row r="20" customFormat="false" ht="13.8" hidden="false" customHeight="false" outlineLevel="0" collapsed="false">
      <c r="A20" s="0" t="s">
        <v>2</v>
      </c>
      <c r="B20" s="0" t="s">
        <v>13</v>
      </c>
    </row>
    <row r="21" customFormat="false" ht="13.8" hidden="false" customHeight="false" outlineLevel="0" collapsed="false">
      <c r="A21" s="0" t="s">
        <v>3</v>
      </c>
      <c r="B21" s="0" t="s">
        <v>2</v>
      </c>
    </row>
    <row r="22" customFormat="false" ht="13.8" hidden="false" customHeight="false" outlineLevel="0" collapsed="false">
      <c r="A22" s="0" t="s">
        <v>13</v>
      </c>
      <c r="B22" s="0" t="s">
        <v>3</v>
      </c>
    </row>
    <row r="23" customFormat="false" ht="13.8" hidden="false" customHeight="false" outlineLevel="0" collapsed="false">
      <c r="A23" s="0" t="s">
        <v>14</v>
      </c>
      <c r="B23" s="0" t="s">
        <v>4</v>
      </c>
    </row>
    <row r="24" customFormat="false" ht="13.8" hidden="false" customHeight="false" outlineLevel="0" collapsed="false">
      <c r="A24" s="0" t="s">
        <v>3</v>
      </c>
      <c r="B24" s="0" t="s">
        <v>14</v>
      </c>
    </row>
    <row r="25" customFormat="false" ht="13.8" hidden="false" customHeight="false" outlineLevel="0" collapsed="false">
      <c r="A25" s="0" t="s">
        <v>3</v>
      </c>
      <c r="B25" s="0" t="s">
        <v>5</v>
      </c>
    </row>
    <row r="26" customFormat="false" ht="13.8" hidden="false" customHeight="false" outlineLevel="0" collapsed="false">
      <c r="A26" s="0" t="s">
        <v>14</v>
      </c>
      <c r="B26" s="0" t="s">
        <v>5</v>
      </c>
    </row>
    <row r="27" customFormat="false" ht="13.8" hidden="false" customHeight="false" outlineLevel="0" collapsed="false">
      <c r="A27" s="0" t="s">
        <v>14</v>
      </c>
      <c r="B27" s="0" t="s">
        <v>4</v>
      </c>
    </row>
    <row r="28" customFormat="false" ht="13.8" hidden="false" customHeight="false" outlineLevel="0" collapsed="false">
      <c r="A28" s="0" t="s">
        <v>5</v>
      </c>
      <c r="B28" s="0" t="s">
        <v>2</v>
      </c>
    </row>
    <row r="29" customFormat="false" ht="13.8" hidden="false" customHeight="false" outlineLevel="0" collapsed="false">
      <c r="A29" s="0" t="s">
        <v>2</v>
      </c>
      <c r="B29" s="0" t="s">
        <v>14</v>
      </c>
    </row>
    <row r="30" customFormat="false" ht="13.8" hidden="false" customHeight="false" outlineLevel="0" collapsed="false">
      <c r="A30" s="0" t="s">
        <v>14</v>
      </c>
      <c r="B30" s="0" t="s">
        <v>6</v>
      </c>
    </row>
    <row r="31" customFormat="false" ht="13.8" hidden="false" customHeight="false" outlineLevel="0" collapsed="false">
      <c r="A31" s="0" t="s">
        <v>2</v>
      </c>
      <c r="B31" s="0" t="s">
        <v>2</v>
      </c>
    </row>
    <row r="32" customFormat="false" ht="13.8" hidden="false" customHeight="false" outlineLevel="0" collapsed="false">
      <c r="A32" s="0" t="s">
        <v>8</v>
      </c>
      <c r="B32" s="0" t="s">
        <v>14</v>
      </c>
    </row>
    <row r="33" customFormat="false" ht="13.8" hidden="false" customHeight="false" outlineLevel="0" collapsed="false">
      <c r="A33" s="0" t="s">
        <v>5</v>
      </c>
      <c r="B33" s="0" t="s">
        <v>4</v>
      </c>
    </row>
    <row r="34" customFormat="false" ht="13.8" hidden="false" customHeight="false" outlineLevel="0" collapsed="false">
      <c r="A34" s="0" t="s">
        <v>13</v>
      </c>
      <c r="B34" s="0" t="s">
        <v>2</v>
      </c>
    </row>
    <row r="35" customFormat="false" ht="13.8" hidden="false" customHeight="false" outlineLevel="0" collapsed="false">
      <c r="A35" s="0" t="s">
        <v>8</v>
      </c>
      <c r="B35" s="0" t="s">
        <v>5</v>
      </c>
    </row>
    <row r="36" customFormat="false" ht="13.8" hidden="false" customHeight="false" outlineLevel="0" collapsed="false">
      <c r="A36" s="0" t="s">
        <v>5</v>
      </c>
      <c r="B36" s="0" t="s">
        <v>6</v>
      </c>
    </row>
    <row r="37" customFormat="false" ht="13.8" hidden="false" customHeight="false" outlineLevel="0" collapsed="false">
      <c r="A37" s="0" t="s">
        <v>14</v>
      </c>
      <c r="B37" s="0" t="s">
        <v>8</v>
      </c>
    </row>
    <row r="38" customFormat="false" ht="13.8" hidden="false" customHeight="false" outlineLevel="0" collapsed="false">
      <c r="A38" s="0" t="s">
        <v>5</v>
      </c>
      <c r="B38" s="0" t="s">
        <v>5</v>
      </c>
    </row>
    <row r="39" customFormat="false" ht="13.8" hidden="false" customHeight="false" outlineLevel="0" collapsed="false">
      <c r="A39" s="0" t="s">
        <v>8</v>
      </c>
      <c r="B39" s="0" t="s">
        <v>8</v>
      </c>
    </row>
    <row r="40" customFormat="false" ht="13.8" hidden="false" customHeight="false" outlineLevel="0" collapsed="false">
      <c r="A40" s="0" t="s">
        <v>4</v>
      </c>
      <c r="B40" s="0" t="s">
        <v>2</v>
      </c>
    </row>
    <row r="41" customFormat="false" ht="13.8" hidden="false" customHeight="false" outlineLevel="0" collapsed="false">
      <c r="A41" s="0" t="s">
        <v>13</v>
      </c>
      <c r="B41" s="0" t="s">
        <v>4</v>
      </c>
    </row>
    <row r="42" customFormat="false" ht="13.8" hidden="false" customHeight="false" outlineLevel="0" collapsed="false">
      <c r="A42" s="0" t="s">
        <v>14</v>
      </c>
      <c r="B42" s="0" t="s">
        <v>8</v>
      </c>
    </row>
    <row r="43" customFormat="false" ht="13.8" hidden="false" customHeight="false" outlineLevel="0" collapsed="false">
      <c r="A43" s="0" t="s">
        <v>2</v>
      </c>
      <c r="B43" s="0" t="s">
        <v>14</v>
      </c>
    </row>
    <row r="44" customFormat="false" ht="13.8" hidden="false" customHeight="false" outlineLevel="0" collapsed="false">
      <c r="A44" s="0" t="s">
        <v>8</v>
      </c>
      <c r="B44" s="0" t="s">
        <v>3</v>
      </c>
    </row>
    <row r="45" customFormat="false" ht="13.8" hidden="false" customHeight="false" outlineLevel="0" collapsed="false">
      <c r="A45" s="0" t="s">
        <v>6</v>
      </c>
      <c r="B45" s="0" t="s">
        <v>6</v>
      </c>
    </row>
    <row r="46" customFormat="false" ht="13.8" hidden="false" customHeight="false" outlineLevel="0" collapsed="false">
      <c r="A46" s="0" t="s">
        <v>3</v>
      </c>
      <c r="B46" s="0" t="s">
        <v>2</v>
      </c>
    </row>
    <row r="47" customFormat="false" ht="13.8" hidden="false" customHeight="false" outlineLevel="0" collapsed="false">
      <c r="A47" s="0" t="s">
        <v>5</v>
      </c>
      <c r="B47" s="0" t="s">
        <v>4</v>
      </c>
    </row>
    <row r="48" customFormat="false" ht="13.8" hidden="false" customHeight="false" outlineLevel="0" collapsed="false">
      <c r="A48" s="0" t="s">
        <v>3</v>
      </c>
      <c r="B48" s="0" t="s">
        <v>9</v>
      </c>
    </row>
    <row r="49" customFormat="false" ht="13.8" hidden="false" customHeight="false" outlineLevel="0" collapsed="false">
      <c r="A49" s="0" t="s">
        <v>6</v>
      </c>
      <c r="B49" s="0" t="s">
        <v>12</v>
      </c>
    </row>
    <row r="50" customFormat="false" ht="13.8" hidden="false" customHeight="false" outlineLevel="0" collapsed="false">
      <c r="A50" s="0" t="s">
        <v>5</v>
      </c>
      <c r="B50" s="0" t="s">
        <v>2</v>
      </c>
    </row>
    <row r="51" customFormat="false" ht="13.8" hidden="false" customHeight="false" outlineLevel="0" collapsed="false">
      <c r="A51" s="0" t="s">
        <v>3</v>
      </c>
      <c r="B51" s="0" t="s">
        <v>14</v>
      </c>
    </row>
    <row r="52" customFormat="false" ht="13.8" hidden="false" customHeight="false" outlineLevel="0" collapsed="false">
      <c r="A52" s="0" t="s">
        <v>8</v>
      </c>
      <c r="B52" s="0" t="s">
        <v>12</v>
      </c>
    </row>
    <row r="53" customFormat="false" ht="13.8" hidden="false" customHeight="false" outlineLevel="0" collapsed="false">
      <c r="A53" s="0" t="s">
        <v>14</v>
      </c>
      <c r="B53" s="0" t="s">
        <v>2</v>
      </c>
    </row>
    <row r="54" customFormat="false" ht="13.8" hidden="false" customHeight="false" outlineLevel="0" collapsed="false">
      <c r="A54" s="0" t="s">
        <v>8</v>
      </c>
    </row>
    <row r="55" customFormat="false" ht="13.8" hidden="false" customHeight="false" outlineLevel="0" collapsed="false">
      <c r="A55" s="0" t="s">
        <v>13</v>
      </c>
    </row>
    <row r="56" customFormat="false" ht="13.8" hidden="false" customHeight="false" outlineLevel="0" collapsed="false">
      <c r="A56" s="0" t="s">
        <v>3</v>
      </c>
    </row>
    <row r="57" customFormat="false" ht="13.8" hidden="false" customHeight="false" outlineLevel="0" collapsed="false">
      <c r="A57" s="0" t="s">
        <v>8</v>
      </c>
    </row>
    <row r="58" customFormat="false" ht="13.8" hidden="false" customHeight="false" outlineLevel="0" collapsed="false">
      <c r="A58" s="0" t="s">
        <v>14</v>
      </c>
    </row>
    <row r="59" customFormat="false" ht="13.8" hidden="false" customHeight="false" outlineLevel="0" collapsed="false">
      <c r="A59" s="0" t="s">
        <v>13</v>
      </c>
    </row>
    <row r="60" customFormat="false" ht="13.8" hidden="false" customHeight="false" outlineLevel="0" collapsed="false">
      <c r="A60" s="0" t="s">
        <v>8</v>
      </c>
    </row>
    <row r="61" customFormat="false" ht="13.8" hidden="false" customHeight="false" outlineLevel="0" collapsed="false">
      <c r="A61" s="0" t="s">
        <v>13</v>
      </c>
    </row>
    <row r="62" customFormat="false" ht="13.8" hidden="false" customHeight="false" outlineLevel="0" collapsed="false">
      <c r="A62" s="0" t="s">
        <v>14</v>
      </c>
    </row>
    <row r="63" customFormat="false" ht="13.8" hidden="false" customHeight="false" outlineLevel="0" collapsed="false">
      <c r="A63" s="0" t="s">
        <v>5</v>
      </c>
    </row>
    <row r="64" customFormat="false" ht="13.8" hidden="false" customHeight="false" outlineLevel="0" collapsed="false">
      <c r="A64" s="0" t="s">
        <v>2</v>
      </c>
    </row>
    <row r="65" customFormat="false" ht="13.8" hidden="false" customHeight="false" outlineLevel="0" collapsed="false">
      <c r="A65" s="0" t="s">
        <v>8</v>
      </c>
    </row>
    <row r="66" customFormat="false" ht="13.8" hidden="false" customHeight="false" outlineLevel="0" collapsed="false">
      <c r="A66" s="0" t="s">
        <v>14</v>
      </c>
    </row>
    <row r="67" customFormat="false" ht="13.8" hidden="false" customHeight="false" outlineLevel="0" collapsed="false">
      <c r="A67" s="0" t="s">
        <v>4</v>
      </c>
    </row>
    <row r="68" customFormat="false" ht="13.8" hidden="false" customHeight="false" outlineLevel="0" collapsed="false">
      <c r="A68" s="0" t="s">
        <v>5</v>
      </c>
    </row>
    <row r="69" customFormat="false" ht="13.8" hidden="false" customHeight="false" outlineLevel="0" collapsed="false">
      <c r="A69" s="0" t="s">
        <v>3</v>
      </c>
    </row>
    <row r="70" customFormat="false" ht="13.8" hidden="false" customHeight="false" outlineLevel="0" collapsed="false">
      <c r="A70" s="0" t="s">
        <v>13</v>
      </c>
    </row>
    <row r="71" customFormat="false" ht="13.8" hidden="false" customHeight="false" outlineLevel="0" collapsed="false">
      <c r="A71" s="0" t="s">
        <v>8</v>
      </c>
    </row>
    <row r="72" customFormat="false" ht="13.8" hidden="false" customHeight="false" outlineLevel="0" collapsed="false">
      <c r="A72" s="0" t="s">
        <v>4</v>
      </c>
    </row>
    <row r="73" customFormat="false" ht="13.8" hidden="false" customHeight="false" outlineLevel="0" collapsed="false">
      <c r="A73" s="0" t="s">
        <v>2</v>
      </c>
    </row>
    <row r="74" customFormat="false" ht="13.8" hidden="false" customHeight="false" outlineLevel="0" collapsed="false">
      <c r="A74" s="0" t="s">
        <v>3</v>
      </c>
    </row>
    <row r="75" customFormat="false" ht="13.8" hidden="false" customHeight="false" outlineLevel="0" collapsed="false">
      <c r="A75" s="0" t="s">
        <v>18</v>
      </c>
    </row>
    <row r="76" customFormat="false" ht="13.8" hidden="false" customHeight="false" outlineLevel="0" collapsed="false">
      <c r="A76" s="0" t="s">
        <v>13</v>
      </c>
    </row>
    <row r="77" customFormat="false" ht="13.8" hidden="false" customHeight="false" outlineLevel="0" collapsed="false">
      <c r="A77" s="0" t="s">
        <v>2</v>
      </c>
    </row>
    <row r="78" customFormat="false" ht="13.8" hidden="false" customHeight="false" outlineLevel="0" collapsed="false">
      <c r="A78" s="0" t="s">
        <v>6</v>
      </c>
    </row>
    <row r="79" customFormat="false" ht="13.8" hidden="false" customHeight="false" outlineLevel="0" collapsed="false">
      <c r="A79" s="0" t="s">
        <v>8</v>
      </c>
    </row>
    <row r="80" customFormat="false" ht="13.8" hidden="false" customHeight="false" outlineLevel="0" collapsed="false">
      <c r="A80" s="0" t="s">
        <v>5</v>
      </c>
    </row>
    <row r="81" customFormat="false" ht="13.8" hidden="false" customHeight="false" outlineLevel="0" collapsed="false">
      <c r="A81" s="0" t="s">
        <v>18</v>
      </c>
    </row>
    <row r="82" customFormat="false" ht="13.8" hidden="false" customHeight="false" outlineLevel="0" collapsed="false">
      <c r="A82" s="0" t="s">
        <v>18</v>
      </c>
    </row>
    <row r="83" customFormat="false" ht="13.8" hidden="false" customHeight="false" outlineLevel="0" collapsed="false">
      <c r="A83" s="0" t="s">
        <v>14</v>
      </c>
    </row>
    <row r="84" customFormat="false" ht="13.8" hidden="false" customHeight="false" outlineLevel="0" collapsed="false">
      <c r="A84" s="0" t="s">
        <v>4</v>
      </c>
    </row>
    <row r="85" customFormat="false" ht="13.8" hidden="false" customHeight="false" outlineLevel="0" collapsed="false">
      <c r="A85" s="0" t="s">
        <v>2</v>
      </c>
    </row>
    <row r="86" customFormat="false" ht="13.8" hidden="false" customHeight="false" outlineLevel="0" collapsed="false">
      <c r="A86" s="0" t="s">
        <v>5</v>
      </c>
    </row>
    <row r="87" customFormat="false" ht="13.8" hidden="false" customHeight="false" outlineLevel="0" collapsed="false">
      <c r="A87" s="0" t="s">
        <v>3</v>
      </c>
    </row>
    <row r="88" customFormat="false" ht="13.8" hidden="false" customHeight="false" outlineLevel="0" collapsed="false">
      <c r="A88" s="0" t="s">
        <v>5</v>
      </c>
    </row>
    <row r="89" customFormat="false" ht="13.8" hidden="false" customHeight="false" outlineLevel="0" collapsed="false">
      <c r="A89" s="0" t="s">
        <v>13</v>
      </c>
    </row>
    <row r="90" customFormat="false" ht="13.8" hidden="false" customHeight="false" outlineLevel="0" collapsed="false">
      <c r="A90" s="0" t="s">
        <v>2</v>
      </c>
    </row>
    <row r="91" customFormat="false" ht="13.8" hidden="false" customHeight="false" outlineLevel="0" collapsed="false">
      <c r="A91" s="0" t="s">
        <v>6</v>
      </c>
    </row>
    <row r="92" customFormat="false" ht="13.8" hidden="false" customHeight="false" outlineLevel="0" collapsed="false">
      <c r="A92" s="0" t="s">
        <v>17</v>
      </c>
    </row>
    <row r="93" customFormat="false" ht="13.8" hidden="false" customHeight="false" outlineLevel="0" collapsed="false">
      <c r="A93" s="0" t="s">
        <v>18</v>
      </c>
    </row>
    <row r="94" customFormat="false" ht="13.8" hidden="false" customHeight="false" outlineLevel="0" collapsed="false">
      <c r="A94" s="0" t="s">
        <v>13</v>
      </c>
    </row>
    <row r="95" customFormat="false" ht="13.8" hidden="false" customHeight="false" outlineLevel="0" collapsed="false">
      <c r="A95" s="0" t="s">
        <v>3</v>
      </c>
    </row>
    <row r="96" customFormat="false" ht="13.8" hidden="false" customHeight="false" outlineLevel="0" collapsed="false">
      <c r="A96" s="0" t="s">
        <v>6</v>
      </c>
    </row>
    <row r="97" customFormat="false" ht="13.8" hidden="false" customHeight="false" outlineLevel="0" collapsed="false">
      <c r="A97" s="0" t="s">
        <v>18</v>
      </c>
    </row>
    <row r="98" customFormat="false" ht="13.8" hidden="false" customHeight="false" outlineLevel="0" collapsed="false">
      <c r="A98" s="0" t="s">
        <v>8</v>
      </c>
    </row>
    <row r="99" customFormat="false" ht="13.8" hidden="false" customHeight="false" outlineLevel="0" collapsed="false">
      <c r="A99" s="0" t="s">
        <v>3</v>
      </c>
    </row>
    <row r="100" customFormat="false" ht="13.8" hidden="false" customHeight="false" outlineLevel="0" collapsed="false">
      <c r="A100" s="0" t="s">
        <v>7</v>
      </c>
    </row>
    <row r="101" customFormat="false" ht="13.8" hidden="false" customHeight="false" outlineLevel="0" collapsed="false">
      <c r="A101" s="0" t="s">
        <v>8</v>
      </c>
    </row>
    <row r="102" customFormat="false" ht="13.8" hidden="false" customHeight="false" outlineLevel="0" collapsed="false">
      <c r="A102" s="0" t="s">
        <v>13</v>
      </c>
    </row>
    <row r="103" customFormat="false" ht="13.8" hidden="false" customHeight="false" outlineLevel="0" collapsed="false">
      <c r="A103" s="0" t="s">
        <v>6</v>
      </c>
    </row>
    <row r="104" customFormat="false" ht="13.8" hidden="false" customHeight="false" outlineLevel="0" collapsed="false">
      <c r="A104" s="0" t="s">
        <v>3</v>
      </c>
    </row>
    <row r="105" customFormat="false" ht="13.8" hidden="false" customHeight="false" outlineLevel="0" collapsed="false">
      <c r="A105" s="0" t="s">
        <v>18</v>
      </c>
    </row>
    <row r="106" customFormat="false" ht="13.8" hidden="false" customHeight="false" outlineLevel="0" collapsed="false">
      <c r="A106" s="0" t="s">
        <v>12</v>
      </c>
    </row>
    <row r="107" customFormat="false" ht="13.8" hidden="false" customHeight="false" outlineLevel="0" collapsed="false">
      <c r="A107" s="0" t="s">
        <v>14</v>
      </c>
    </row>
    <row r="108" customFormat="false" ht="13.8" hidden="false" customHeight="false" outlineLevel="0" collapsed="false">
      <c r="A108" s="0" t="s">
        <v>13</v>
      </c>
    </row>
    <row r="109" customFormat="false" ht="13.8" hidden="false" customHeight="false" outlineLevel="0" collapsed="false">
      <c r="A109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RowHeight="13.8"/>
  <cols>
    <col collapsed="false" hidden="false" max="2" min="1" style="0" width="10.5344129554656"/>
    <col collapsed="false" hidden="false" max="3" min="3" style="0" width="12.1902834008097"/>
    <col collapsed="false" hidden="false" max="4" min="4" style="0" width="13.0971659919028"/>
    <col collapsed="false" hidden="false" max="1025" min="5" style="0" width="10.5344129554656"/>
  </cols>
  <sheetData>
    <row r="1" customFormat="false" ht="13.8" hidden="false" customHeight="false" outlineLevel="0" collapsed="false">
      <c r="A1" s="0" t="s">
        <v>160</v>
      </c>
      <c r="B1" s="0" t="s">
        <v>161</v>
      </c>
    </row>
    <row r="2" customFormat="false" ht="13.8" hidden="false" customHeight="false" outlineLevel="0" collapsed="false">
      <c r="A2" s="0" t="s">
        <v>3</v>
      </c>
      <c r="B2" s="0" t="s">
        <v>5</v>
      </c>
      <c r="E2" s="0" t="s">
        <v>160</v>
      </c>
      <c r="F2" s="0" t="s">
        <v>161</v>
      </c>
      <c r="H2" s="0" t="s">
        <v>162</v>
      </c>
      <c r="I2" s="0" t="s">
        <v>163</v>
      </c>
    </row>
    <row r="3" customFormat="false" ht="13.8" hidden="false" customHeight="false" outlineLevel="0" collapsed="false">
      <c r="A3" s="0" t="s">
        <v>14</v>
      </c>
      <c r="B3" s="0" t="s">
        <v>16</v>
      </c>
      <c r="D3" s="12" t="s">
        <v>2</v>
      </c>
      <c r="E3" s="0" t="n">
        <f aca="false">COUNTIF($A$2:$A$200,D3)</f>
        <v>0</v>
      </c>
      <c r="F3" s="0" t="n">
        <f aca="false">COUNTIF($B$2:$B$200,D3)</f>
        <v>4</v>
      </c>
      <c r="G3" s="0" t="n">
        <f aca="false">E3-F3</f>
        <v>-4</v>
      </c>
      <c r="H3" s="0" t="str">
        <f aca="false">IF(G3&gt;0,D3,"")</f>
        <v/>
      </c>
      <c r="I3" s="0" t="str">
        <f aca="false">IF(G3&lt;0,D3,"")</f>
        <v>Argentina</v>
      </c>
    </row>
    <row r="4" customFormat="false" ht="13.8" hidden="false" customHeight="false" outlineLevel="0" collapsed="false">
      <c r="A4" s="0" t="s">
        <v>8</v>
      </c>
      <c r="B4" s="0" t="s">
        <v>2</v>
      </c>
      <c r="D4" s="12" t="s">
        <v>3</v>
      </c>
      <c r="E4" s="0" t="n">
        <f aca="false">COUNTIF($A$2:$A$114,D4)</f>
        <v>1</v>
      </c>
      <c r="F4" s="0" t="n">
        <f aca="false">COUNTIF($B$2:$B$32,D4)</f>
        <v>1</v>
      </c>
      <c r="G4" s="0" t="n">
        <f aca="false">E4-F4</f>
        <v>0</v>
      </c>
      <c r="H4" s="0" t="str">
        <f aca="false">IF(G4&gt;0,D4,"")</f>
        <v/>
      </c>
      <c r="I4" s="0" t="str">
        <f aca="false">IF(G4&lt;0,D4,"")</f>
        <v/>
      </c>
    </row>
    <row r="5" customFormat="false" ht="13.8" hidden="false" customHeight="false" outlineLevel="0" collapsed="false">
      <c r="A5" s="0" t="s">
        <v>5</v>
      </c>
      <c r="B5" s="0" t="s">
        <v>13</v>
      </c>
      <c r="D5" s="12" t="s">
        <v>4</v>
      </c>
      <c r="E5" s="0" t="n">
        <f aca="false">COUNTIF($A$2:$A$114,D5)</f>
        <v>0</v>
      </c>
      <c r="F5" s="0" t="n">
        <f aca="false">COUNTIF($B$2:$B$32,D5)</f>
        <v>5</v>
      </c>
      <c r="G5" s="0" t="n">
        <f aca="false">E5-F5</f>
        <v>-5</v>
      </c>
      <c r="H5" s="0" t="str">
        <f aca="false">IF(G5&gt;0,D5,"")</f>
        <v/>
      </c>
      <c r="I5" s="0" t="str">
        <f aca="false">IF(G5&lt;0,D5,"")</f>
        <v>Brazil</v>
      </c>
    </row>
    <row r="6" customFormat="false" ht="13.8" hidden="false" customHeight="false" outlineLevel="0" collapsed="false">
      <c r="A6" s="0" t="s">
        <v>6</v>
      </c>
      <c r="B6" s="0" t="s">
        <v>4</v>
      </c>
      <c r="D6" s="12" t="s">
        <v>5</v>
      </c>
      <c r="E6" s="0" t="n">
        <f aca="false">COUNTIF($A$2:$A$114,D6)</f>
        <v>1</v>
      </c>
      <c r="F6" s="0" t="n">
        <f aca="false">COUNTIF($B$2:$B$32,D6)</f>
        <v>6</v>
      </c>
      <c r="G6" s="0" t="n">
        <f aca="false">E6-F6</f>
        <v>-5</v>
      </c>
      <c r="H6" s="0" t="str">
        <f aca="false">IF(G6&gt;0,D6,"")</f>
        <v/>
      </c>
      <c r="I6" s="0" t="str">
        <f aca="false">IF(G6&lt;0,D6,"")</f>
        <v>Chile</v>
      </c>
    </row>
    <row r="7" customFormat="false" ht="13.8" hidden="false" customHeight="false" outlineLevel="0" collapsed="false">
      <c r="B7" s="0" t="s">
        <v>2</v>
      </c>
      <c r="D7" s="12" t="s">
        <v>6</v>
      </c>
      <c r="E7" s="0" t="n">
        <f aca="false">COUNTIF($A$2:$A$114,D7)</f>
        <v>1</v>
      </c>
      <c r="F7" s="0" t="n">
        <f aca="false">COUNTIF($B$2:$B$32,D7)</f>
        <v>2</v>
      </c>
      <c r="G7" s="0" t="n">
        <f aca="false">E7-F7</f>
        <v>-1</v>
      </c>
      <c r="H7" s="0" t="str">
        <f aca="false">IF(G7&gt;0,D7,"")</f>
        <v/>
      </c>
      <c r="I7" s="0" t="str">
        <f aca="false">IF(G7&lt;0,D7,"")</f>
        <v>Colombia</v>
      </c>
    </row>
    <row r="8" customFormat="false" ht="13.8" hidden="false" customHeight="false" outlineLevel="0" collapsed="false">
      <c r="B8" s="0" t="s">
        <v>2</v>
      </c>
      <c r="D8" s="12" t="s">
        <v>7</v>
      </c>
      <c r="E8" s="0" t="n">
        <f aca="false">COUNTIF($A$2:$A$114,D8)</f>
        <v>0</v>
      </c>
      <c r="F8" s="0" t="n">
        <f aca="false">COUNTIF($B$2:$B$32,D8)</f>
        <v>0</v>
      </c>
      <c r="G8" s="0" t="n">
        <f aca="false">E8-F8</f>
        <v>0</v>
      </c>
      <c r="H8" s="0" t="str">
        <f aca="false">IF(G8&gt;0,D8,"")</f>
        <v/>
      </c>
      <c r="I8" s="0" t="str">
        <f aca="false">IF(G8&lt;0,D8,"")</f>
        <v/>
      </c>
    </row>
    <row r="9" customFormat="false" ht="13.8" hidden="false" customHeight="false" outlineLevel="0" collapsed="false">
      <c r="B9" s="0" t="s">
        <v>4</v>
      </c>
      <c r="D9" s="12" t="s">
        <v>8</v>
      </c>
      <c r="E9" s="0" t="n">
        <f aca="false">COUNTIF($A$2:$A$114,D9)</f>
        <v>1</v>
      </c>
      <c r="F9" s="0" t="n">
        <f aca="false">COUNTIF($B$2:$B$32,D9)</f>
        <v>1</v>
      </c>
      <c r="G9" s="0" t="n">
        <f aca="false">E9-F9</f>
        <v>0</v>
      </c>
      <c r="H9" s="0" t="str">
        <f aca="false">IF(G9&gt;0,D9,"")</f>
        <v/>
      </c>
      <c r="I9" s="0" t="str">
        <f aca="false">IF(G9&lt;0,D9,"")</f>
        <v/>
      </c>
    </row>
    <row r="10" customFormat="false" ht="13.8" hidden="false" customHeight="false" outlineLevel="0" collapsed="false">
      <c r="B10" s="0" t="s">
        <v>6</v>
      </c>
      <c r="D10" s="12" t="s">
        <v>9</v>
      </c>
      <c r="E10" s="0" t="n">
        <f aca="false">COUNTIF($A$2:$A$114,D10)</f>
        <v>0</v>
      </c>
      <c r="F10" s="0" t="n">
        <f aca="false">COUNTIF($B$2:$B$32,D10)</f>
        <v>0</v>
      </c>
      <c r="G10" s="0" t="n">
        <f aca="false">E10-F10</f>
        <v>0</v>
      </c>
      <c r="H10" s="0" t="str">
        <f aca="false">IF(G10&gt;0,D10,"")</f>
        <v/>
      </c>
      <c r="I10" s="0" t="str">
        <f aca="false">IF(G10&lt;0,D10,"")</f>
        <v/>
      </c>
    </row>
    <row r="11" customFormat="false" ht="13.8" hidden="false" customHeight="false" outlineLevel="0" collapsed="false">
      <c r="B11" s="0" t="s">
        <v>5</v>
      </c>
      <c r="D11" s="12" t="s">
        <v>10</v>
      </c>
      <c r="E11" s="0" t="n">
        <f aca="false">COUNTIF($A$2:$A$114,D11)</f>
        <v>0</v>
      </c>
      <c r="F11" s="0" t="n">
        <f aca="false">COUNTIF($B$2:$B$32,D11)</f>
        <v>0</v>
      </c>
      <c r="G11" s="0" t="n">
        <f aca="false">E11-F11</f>
        <v>0</v>
      </c>
      <c r="H11" s="0" t="str">
        <f aca="false">IF(G11&gt;0,D11,"")</f>
        <v/>
      </c>
      <c r="I11" s="0" t="str">
        <f aca="false">IF(G11&lt;0,D11,"")</f>
        <v/>
      </c>
    </row>
    <row r="12" customFormat="false" ht="13.8" hidden="false" customHeight="false" outlineLevel="0" collapsed="false">
      <c r="B12" s="0" t="s">
        <v>16</v>
      </c>
      <c r="D12" s="12" t="s">
        <v>11</v>
      </c>
      <c r="E12" s="0" t="n">
        <f aca="false">COUNTIF($A$2:$A$114,D12)</f>
        <v>0</v>
      </c>
      <c r="F12" s="0" t="n">
        <f aca="false">COUNTIF($B$2:$B$32,D12)</f>
        <v>0</v>
      </c>
      <c r="G12" s="0" t="n">
        <f aca="false">E12-F12</f>
        <v>0</v>
      </c>
      <c r="H12" s="0" t="str">
        <f aca="false">IF(G12&gt;0,D12,"")</f>
        <v/>
      </c>
      <c r="I12" s="0" t="str">
        <f aca="false">IF(G12&lt;0,D12,"")</f>
        <v/>
      </c>
    </row>
    <row r="13" customFormat="false" ht="13.8" hidden="false" customHeight="false" outlineLevel="0" collapsed="false">
      <c r="B13" s="0" t="s">
        <v>5</v>
      </c>
      <c r="D13" s="12" t="s">
        <v>12</v>
      </c>
      <c r="E13" s="0" t="n">
        <f aca="false">COUNTIF($A$2:$A$114,D13)</f>
        <v>0</v>
      </c>
      <c r="F13" s="0" t="n">
        <f aca="false">COUNTIF($B$2:$B$32,D13)</f>
        <v>1</v>
      </c>
      <c r="G13" s="0" t="n">
        <f aca="false">E13-F13</f>
        <v>-1</v>
      </c>
      <c r="H13" s="0" t="str">
        <f aca="false">IF(G13&gt;0,D13,"")</f>
        <v/>
      </c>
      <c r="I13" s="0" t="str">
        <f aca="false">IF(G13&lt;0,D13,"")</f>
        <v>México</v>
      </c>
    </row>
    <row r="14" customFormat="false" ht="13.8" hidden="false" customHeight="false" outlineLevel="0" collapsed="false">
      <c r="B14" s="0" t="s">
        <v>16</v>
      </c>
      <c r="D14" s="12" t="s">
        <v>13</v>
      </c>
      <c r="E14" s="0" t="n">
        <f aca="false">COUNTIF($A$2:$A$114,D14)</f>
        <v>0</v>
      </c>
      <c r="F14" s="0" t="n">
        <f aca="false">COUNTIF($B$2:$B$32,D14)</f>
        <v>4</v>
      </c>
      <c r="G14" s="0" t="n">
        <f aca="false">E14-F14</f>
        <v>-4</v>
      </c>
      <c r="H14" s="0" t="str">
        <f aca="false">IF(G14&gt;0,D14,"")</f>
        <v/>
      </c>
      <c r="I14" s="0" t="str">
        <f aca="false">IF(G14&lt;0,D14,"")</f>
        <v>Paraguay</v>
      </c>
    </row>
    <row r="15" customFormat="false" ht="13.8" hidden="false" customHeight="false" outlineLevel="0" collapsed="false">
      <c r="B15" s="0" t="s">
        <v>4</v>
      </c>
      <c r="D15" s="12" t="s">
        <v>14</v>
      </c>
      <c r="E15" s="0" t="n">
        <f aca="false">COUNTIF($A$2:$A$114,D15)</f>
        <v>1</v>
      </c>
      <c r="F15" s="0" t="n">
        <f aca="false">COUNTIF($B$2:$B$32,D15)</f>
        <v>2</v>
      </c>
      <c r="G15" s="0" t="n">
        <f aca="false">E15-F15</f>
        <v>-1</v>
      </c>
      <c r="H15" s="0" t="str">
        <f aca="false">IF(G15&gt;0,D15,"")</f>
        <v/>
      </c>
      <c r="I15" s="0" t="str">
        <f aca="false">IF(G15&lt;0,D15,"")</f>
        <v>Peru</v>
      </c>
    </row>
    <row r="16" customFormat="false" ht="13.8" hidden="false" customHeight="false" outlineLevel="0" collapsed="false">
      <c r="B16" s="0" t="s">
        <v>5</v>
      </c>
      <c r="D16" s="12" t="s">
        <v>15</v>
      </c>
      <c r="E16" s="0" t="n">
        <f aca="false">COUNTIF($A$2:$A$114,D16)</f>
        <v>0</v>
      </c>
      <c r="F16" s="0" t="n">
        <f aca="false">COUNTIF($B$2:$B$32,D16)</f>
        <v>0</v>
      </c>
      <c r="G16" s="0" t="n">
        <f aca="false">E16-F16</f>
        <v>0</v>
      </c>
      <c r="H16" s="0" t="str">
        <f aca="false">IF(G16&gt;0,D16,"")</f>
        <v/>
      </c>
      <c r="I16" s="0" t="str">
        <f aca="false">IF(G16&lt;0,D16,"")</f>
        <v/>
      </c>
    </row>
    <row r="17" customFormat="false" ht="13.8" hidden="false" customHeight="false" outlineLevel="0" collapsed="false">
      <c r="B17" s="0" t="s">
        <v>4</v>
      </c>
      <c r="D17" s="12" t="s">
        <v>16</v>
      </c>
      <c r="E17" s="0" t="n">
        <f aca="false">COUNTIF($A$2:$A$114,D17)</f>
        <v>0</v>
      </c>
      <c r="F17" s="0" t="n">
        <f aca="false">COUNTIF($B$2:$B$32,D17)</f>
        <v>5</v>
      </c>
      <c r="G17" s="0" t="n">
        <f aca="false">E17-F17</f>
        <v>-5</v>
      </c>
      <c r="H17" s="0" t="str">
        <f aca="false">IF(G17&gt;0,D17,"")</f>
        <v/>
      </c>
      <c r="I17" s="0" t="str">
        <f aca="false">IF(G17&lt;0,D17,"")</f>
        <v>Uruguay</v>
      </c>
    </row>
    <row r="18" customFormat="false" ht="13.8" hidden="false" customHeight="false" outlineLevel="0" collapsed="false">
      <c r="B18" s="0" t="s">
        <v>6</v>
      </c>
      <c r="D18" s="12" t="s">
        <v>18</v>
      </c>
      <c r="E18" s="0" t="n">
        <f aca="false">COUNTIF($A$2:$A$114,D18)</f>
        <v>0</v>
      </c>
      <c r="F18" s="0" t="n">
        <f aca="false">COUNTIF($B$2:$B$32,D18)</f>
        <v>0</v>
      </c>
      <c r="G18" s="0" t="n">
        <f aca="false">E18-F18</f>
        <v>0</v>
      </c>
      <c r="H18" s="0" t="str">
        <f aca="false">IF(G18&gt;0,D18,"")</f>
        <v/>
      </c>
      <c r="I18" s="0" t="str">
        <f aca="false">IF(G18&lt;0,D18,"")</f>
        <v/>
      </c>
    </row>
    <row r="19" customFormat="false" ht="13.8" hidden="false" customHeight="false" outlineLevel="0" collapsed="false">
      <c r="B19" s="0" t="s">
        <v>13</v>
      </c>
    </row>
    <row r="20" customFormat="false" ht="13.8" hidden="false" customHeight="false" outlineLevel="0" collapsed="false">
      <c r="B20" s="0" t="s">
        <v>5</v>
      </c>
    </row>
    <row r="21" customFormat="false" ht="13.8" hidden="false" customHeight="false" outlineLevel="0" collapsed="false">
      <c r="B21" s="0" t="s">
        <v>2</v>
      </c>
    </row>
    <row r="22" customFormat="false" ht="13.8" hidden="false" customHeight="false" outlineLevel="0" collapsed="false">
      <c r="B22" s="0" t="s">
        <v>13</v>
      </c>
    </row>
    <row r="23" customFormat="false" ht="13.8" hidden="false" customHeight="false" outlineLevel="0" collapsed="false">
      <c r="B23" s="0" t="s">
        <v>14</v>
      </c>
    </row>
    <row r="24" customFormat="false" ht="13.8" hidden="false" customHeight="false" outlineLevel="0" collapsed="false">
      <c r="B24" s="0" t="s">
        <v>8</v>
      </c>
    </row>
    <row r="25" customFormat="false" ht="13.8" hidden="false" customHeight="false" outlineLevel="0" collapsed="false">
      <c r="B25" s="0" t="s">
        <v>16</v>
      </c>
    </row>
    <row r="26" customFormat="false" ht="13.8" hidden="false" customHeight="false" outlineLevel="0" collapsed="false">
      <c r="B26" s="0" t="s">
        <v>12</v>
      </c>
    </row>
    <row r="27" customFormat="false" ht="13.8" hidden="false" customHeight="false" outlineLevel="0" collapsed="false">
      <c r="B27" s="0" t="s">
        <v>13</v>
      </c>
    </row>
    <row r="28" customFormat="false" ht="13.8" hidden="false" customHeight="false" outlineLevel="0" collapsed="false">
      <c r="B28" s="0" t="s">
        <v>3</v>
      </c>
    </row>
    <row r="29" customFormat="false" ht="13.8" hidden="false" customHeight="false" outlineLevel="0" collapsed="false">
      <c r="B29" s="0" t="s">
        <v>16</v>
      </c>
    </row>
    <row r="30" customFormat="false" ht="13.8" hidden="false" customHeight="false" outlineLevel="0" collapsed="false">
      <c r="B30" s="0" t="s">
        <v>14</v>
      </c>
    </row>
    <row r="31" customFormat="false" ht="13.8" hidden="false" customHeight="false" outlineLevel="0" collapsed="false">
      <c r="B31" s="0" t="s">
        <v>4</v>
      </c>
    </row>
    <row r="32" customFormat="false" ht="13.8" hidden="false" customHeight="false" outlineLevel="0" collapsed="false">
      <c r="B32" s="0" t="s">
        <v>5</v>
      </c>
    </row>
    <row r="33" customFormat="false" ht="13.8" hidden="false" customHeight="false" outlineLevel="0" collapsed="false">
      <c r="B33" s="0" t="s">
        <v>12</v>
      </c>
    </row>
    <row r="34" customFormat="false" ht="13.8" hidden="false" customHeight="false" outlineLevel="0" collapsed="false">
      <c r="B34" s="0" t="s">
        <v>6</v>
      </c>
    </row>
    <row r="35" customFormat="false" ht="13.8" hidden="false" customHeight="false" outlineLevel="0" collapsed="false">
      <c r="B35" s="0" t="s">
        <v>5</v>
      </c>
    </row>
    <row r="36" customFormat="false" ht="13.8" hidden="false" customHeight="false" outlineLevel="0" collapsed="false">
      <c r="B36" s="0" t="s">
        <v>8</v>
      </c>
    </row>
    <row r="37" customFormat="false" ht="13.8" hidden="false" customHeight="false" outlineLevel="0" collapsed="false">
      <c r="B37" s="0" t="s">
        <v>6</v>
      </c>
    </row>
    <row r="38" customFormat="false" ht="13.8" hidden="false" customHeight="false" outlineLevel="0" collapsed="false">
      <c r="B38" s="0" t="s">
        <v>14</v>
      </c>
    </row>
    <row r="39" customFormat="false" ht="13.8" hidden="false" customHeight="false" outlineLevel="0" collapsed="false">
      <c r="B39" s="0" t="s">
        <v>16</v>
      </c>
    </row>
    <row r="40" customFormat="false" ht="13.8" hidden="false" customHeight="false" outlineLevel="0" collapsed="false">
      <c r="B40" s="0" t="s">
        <v>14</v>
      </c>
    </row>
    <row r="41" customFormat="false" ht="13.8" hidden="false" customHeight="false" outlineLevel="0" collapsed="false">
      <c r="B41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LibreOffice/4.4.4.3$Linux_X86_64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2015-07-17T16:03:08Z</dcterms:created>
  <dc:creator>Andres Mauricio Clavijo Abril</dc:creator>
  <dc:language>en-US</dc:language>
  <dcterms:modified xsi:type="dcterms:W3CDTF">2015-07-20T14:47:33Z</dcterms:modified>
  <cp:revision>19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