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1180" windowHeight="9855"/>
  </bookViews>
  <sheets>
    <sheet name="GEIH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2" i="1"/>
  <c r="N1" i="1"/>
  <c r="O1" i="1"/>
  <c r="P1" i="1"/>
  <c r="Q1" i="1"/>
  <c r="R1" i="1"/>
  <c r="M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2" i="1"/>
  <c r="L1" i="1"/>
  <c r="K1" i="1"/>
</calcChain>
</file>

<file path=xl/sharedStrings.xml><?xml version="1.0" encoding="utf-8"?>
<sst xmlns="http://schemas.openxmlformats.org/spreadsheetml/2006/main" count="174" uniqueCount="22">
  <si>
    <t>Year</t>
  </si>
  <si>
    <t>Month</t>
  </si>
  <si>
    <t>Title</t>
  </si>
  <si>
    <t>TGP</t>
  </si>
  <si>
    <t>TO</t>
  </si>
  <si>
    <t>TD</t>
  </si>
  <si>
    <t>TS_Subj</t>
  </si>
  <si>
    <t>TS_Obj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</si>
  <si>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</si>
  <si>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</si>
  <si>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</si>
  <si>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</si>
  <si>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</si>
  <si>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</si>
  <si>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</si>
  <si>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</si>
  <si>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</si>
  <si>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</si>
  <si>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</si>
  <si>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</si>
  <si>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JSON Title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</si>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</sst>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5"/>
  <sheetViews>
    <sheetView tabSelected="1" topLeftCell="K1" workbookViewId="0">
      <selection activeCell="L165" sqref="K2:L165"/>
    </sheetView>
  </sheetViews>
  <sheetFormatPr baseColWidth="10" defaultRowHeight="15" x14ac:dyDescent="0.25"/>
  <cols>
    <col min="1" max="1" width="5" bestFit="1" customWidth="1"/>
    <col min="2" max="2" width="6.85546875" bestFit="1" customWidth="1"/>
    <col min="3" max="3" width="5" bestFit="1" customWidth="1"/>
    <col min="4" max="8" width="12" bestFit="1" customWidth="1"/>
    <col min="9" max="9" width="3.85546875" customWidth="1"/>
    <col min="10" max="10" width="10" bestFit="1" customWidth="1"/>
    <col min="11" max="11" width="22.42578125" bestFit="1" customWidth="1"/>
    <col min="13" max="13" width="12.140625" customWidth="1"/>
    <col min="14" max="17" width="12.42578125" bestFit="1" customWidth="1"/>
    <col min="18" max="18" width="33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  <c r="J1" t="s">
        <v>20</v>
      </c>
      <c r="K1" t="str">
        <f>$I$1&amp;A1&amp;$I$1</f>
        <v>"Year"</v>
      </c>
      <c r="L1" t="str">
        <f>$I$1&amp;B1&amp;$I$1</f>
        <v>"Month"</v>
      </c>
      <c r="M1" t="str">
        <f>";"&amp;$I$1&amp;C1&amp;$I$1&amp;":"</f>
        <v>;"Title":</v>
      </c>
      <c r="N1" t="str">
        <f t="shared" ref="N1:R1" si="0">";"&amp;$I$1&amp;D1&amp;$I$1&amp;":"</f>
        <v>;"TGP":</v>
      </c>
      <c r="O1" t="str">
        <f t="shared" si="0"/>
        <v>;"TO":</v>
      </c>
      <c r="P1" t="str">
        <f t="shared" si="0"/>
        <v>;"TD":</v>
      </c>
      <c r="Q1" t="str">
        <f t="shared" si="0"/>
        <v>;"TS_Subj":</v>
      </c>
      <c r="R1" t="str">
        <f t="shared" si="0"/>
        <v>;"TS_Obj":</v>
      </c>
    </row>
    <row r="2" spans="1:18" x14ac:dyDescent="0.25">
      <c r="A2">
        <v>2001</v>
      </c>
      <c r="B2">
        <v>1</v>
      </c>
      <c r="C2" t="s">
        <v>8</v>
      </c>
      <c r="D2">
        <v>63.631898030000002</v>
      </c>
      <c r="E2">
        <v>53.008759879999999</v>
      </c>
      <c r="F2">
        <v>16.694679669999999</v>
      </c>
      <c r="G2">
        <v>32.325011099999998</v>
      </c>
      <c r="H2">
        <v>11.67456801</v>
      </c>
      <c r="J2" t="str">
        <f>$I$1&amp;C2&amp;$I$1</f>
        <v>"ene"</v>
      </c>
      <c r="K2" t="str">
        <f>IF(B2=1,"{"&amp;$K$1&amp;":"&amp;A2&amp;";"&amp;$I$1&amp;"Months"&amp;$I$1&amp;":[","")</f>
        <v>{"Year":2001;"Months":[</v>
      </c>
      <c r="L2" s="1" t="str">
        <f>"{"&amp;$L$1&amp;":"&amp;B2&amp;$M$1&amp;J2&amp;$N$1&amp;D2&amp;$O$1&amp;E2&amp;$P$1&amp;F2&amp;$Q$1&amp;G2&amp;$R$1&amp;H2&amp;"}"&amp;IF(B2=12,"]};",";")</f>
        <v>{"Month":1;"Title":"ene";"TGP":63,63189803;"TO":53,00875988;"TD":16,69467967;"TS_Subj":32,3250111;"TS_Obj":11,67456801};</v>
      </c>
      <c r="M2" s="1"/>
      <c r="N2" s="1"/>
      <c r="O2" s="1"/>
      <c r="P2" s="1"/>
      <c r="Q2" s="1"/>
      <c r="R2" s="1"/>
    </row>
    <row r="3" spans="1:18" x14ac:dyDescent="0.25">
      <c r="A3">
        <v>2001</v>
      </c>
      <c r="B3">
        <v>2</v>
      </c>
      <c r="C3" t="s">
        <v>9</v>
      </c>
      <c r="D3">
        <v>63.74625923</v>
      </c>
      <c r="E3">
        <v>52.713679569999996</v>
      </c>
      <c r="F3">
        <v>17.30702286</v>
      </c>
      <c r="G3">
        <v>31.450466179999999</v>
      </c>
      <c r="H3">
        <v>11.62610862</v>
      </c>
      <c r="J3" t="str">
        <f t="shared" ref="J3:J66" si="1">$I$1&amp;C3&amp;$I$1</f>
        <v>"feb"</v>
      </c>
      <c r="K3" t="str">
        <f t="shared" ref="K3:K66" si="2">IF(B3=1,"{"&amp;$K$1&amp;":"&amp;A3&amp;";"&amp;$I$1&amp;"Months"&amp;$I$1&amp;":[","")</f>
        <v/>
      </c>
      <c r="L3" s="1" t="str">
        <f t="shared" ref="L3:L66" si="3">"{"&amp;$L$1&amp;":"&amp;B3&amp;$M$1&amp;J3&amp;$N$1&amp;D3&amp;$O$1&amp;E3&amp;$P$1&amp;F3&amp;$Q$1&amp;G3&amp;$R$1&amp;H3&amp;"}"&amp;IF(B3=12,"]};",";")</f>
        <v>{"Month":2;"Title":"feb";"TGP":63,74625923;"TO":52,71367957;"TD":17,30702286;"TS_Subj":31,45046618;"TS_Obj":11,62610862};</v>
      </c>
    </row>
    <row r="4" spans="1:18" x14ac:dyDescent="0.25">
      <c r="A4">
        <v>2001</v>
      </c>
      <c r="B4">
        <v>3</v>
      </c>
      <c r="C4" t="s">
        <v>10</v>
      </c>
      <c r="D4">
        <v>62.895728939999998</v>
      </c>
      <c r="E4">
        <v>53.017919329999998</v>
      </c>
      <c r="F4">
        <v>15.705056239999999</v>
      </c>
      <c r="G4">
        <v>31.19450887</v>
      </c>
      <c r="H4">
        <v>11.624612279999999</v>
      </c>
      <c r="J4" t="str">
        <f t="shared" si="1"/>
        <v>"mar"</v>
      </c>
      <c r="K4" t="str">
        <f t="shared" si="2"/>
        <v/>
      </c>
      <c r="L4" s="1" t="str">
        <f t="shared" si="3"/>
        <v>{"Month":3;"Title":"mar";"TGP":62,89572894;"TO":53,01791933;"TD":15,70505624;"TS_Subj":31,19450887;"TS_Obj":11,62461228};</v>
      </c>
    </row>
    <row r="5" spans="1:18" x14ac:dyDescent="0.25">
      <c r="A5">
        <v>2001</v>
      </c>
      <c r="B5">
        <v>4</v>
      </c>
      <c r="C5" t="s">
        <v>11</v>
      </c>
      <c r="D5">
        <v>60.244058449999997</v>
      </c>
      <c r="E5">
        <v>51.454532100000002</v>
      </c>
      <c r="F5">
        <v>14.58986427</v>
      </c>
      <c r="G5">
        <v>25.80128715</v>
      </c>
      <c r="H5">
        <v>10.525956320000001</v>
      </c>
      <c r="J5" t="str">
        <f t="shared" si="1"/>
        <v>"abr"</v>
      </c>
      <c r="K5" t="str">
        <f t="shared" si="2"/>
        <v/>
      </c>
      <c r="L5" s="1" t="str">
        <f t="shared" si="3"/>
        <v>{"Month":4;"Title":"abr";"TGP":60,24405845;"TO":51,4545321;"TD":14,58986427;"TS_Subj":25,80128715;"TS_Obj":10,52595632};</v>
      </c>
    </row>
    <row r="6" spans="1:18" x14ac:dyDescent="0.25">
      <c r="A6">
        <v>2001</v>
      </c>
      <c r="B6">
        <v>5</v>
      </c>
      <c r="C6" t="s">
        <v>12</v>
      </c>
      <c r="D6">
        <v>59.730406770000002</v>
      </c>
      <c r="E6">
        <v>51.232980759999997</v>
      </c>
      <c r="F6">
        <v>14.22629858</v>
      </c>
      <c r="G6">
        <v>26.103968330000001</v>
      </c>
      <c r="H6">
        <v>10.279028390000001</v>
      </c>
      <c r="J6" t="str">
        <f t="shared" si="1"/>
        <v>"may"</v>
      </c>
      <c r="K6" t="str">
        <f t="shared" si="2"/>
        <v/>
      </c>
      <c r="L6" s="1" t="str">
        <f t="shared" si="3"/>
        <v>{"Month":5;"Title":"may";"TGP":59,73040677;"TO":51,23298076;"TD":14,22629858;"TS_Subj":26,10396833;"TS_Obj":10,27902839};</v>
      </c>
    </row>
    <row r="7" spans="1:18" x14ac:dyDescent="0.25">
      <c r="A7">
        <v>2001</v>
      </c>
      <c r="B7">
        <v>6</v>
      </c>
      <c r="C7" t="s">
        <v>13</v>
      </c>
      <c r="D7">
        <v>61.061620840000003</v>
      </c>
      <c r="E7">
        <v>51.760687779999998</v>
      </c>
      <c r="F7">
        <v>15.23204417</v>
      </c>
      <c r="G7">
        <v>24.59731219</v>
      </c>
      <c r="H7">
        <v>9.8448519710000006</v>
      </c>
      <c r="J7" t="str">
        <f t="shared" si="1"/>
        <v>"jun"</v>
      </c>
      <c r="K7" t="str">
        <f t="shared" si="2"/>
        <v/>
      </c>
      <c r="L7" s="1" t="str">
        <f t="shared" si="3"/>
        <v>{"Month":6;"Title":"jun";"TGP":61,06162084;"TO":51,76068778;"TD":15,23204417;"TS_Subj":24,59731219;"TS_Obj":9,844851971};</v>
      </c>
    </row>
    <row r="8" spans="1:18" x14ac:dyDescent="0.25">
      <c r="A8">
        <v>2001</v>
      </c>
      <c r="B8">
        <v>7</v>
      </c>
      <c r="C8" t="s">
        <v>14</v>
      </c>
      <c r="D8">
        <v>61.305124890000002</v>
      </c>
      <c r="E8">
        <v>52.095925520000002</v>
      </c>
      <c r="F8">
        <v>15.02190785</v>
      </c>
      <c r="G8">
        <v>34.595653009999999</v>
      </c>
      <c r="H8">
        <v>14.28005727</v>
      </c>
      <c r="J8" t="str">
        <f t="shared" si="1"/>
        <v>"jul"</v>
      </c>
      <c r="K8" t="str">
        <f t="shared" si="2"/>
        <v/>
      </c>
      <c r="L8" s="1" t="str">
        <f t="shared" si="3"/>
        <v>{"Month":7;"Title":"jul";"TGP":61,30512489;"TO":52,09592552;"TD":15,02190785;"TS_Subj":34,59565301;"TS_Obj":14,28005727};</v>
      </c>
    </row>
    <row r="9" spans="1:18" x14ac:dyDescent="0.25">
      <c r="A9">
        <v>2001</v>
      </c>
      <c r="B9">
        <v>8</v>
      </c>
      <c r="C9" t="s">
        <v>15</v>
      </c>
      <c r="D9">
        <v>62.066349029999998</v>
      </c>
      <c r="E9">
        <v>52.937852509999999</v>
      </c>
      <c r="F9">
        <v>14.70763676</v>
      </c>
      <c r="G9">
        <v>33.833130259999997</v>
      </c>
      <c r="H9">
        <v>12.94197529</v>
      </c>
      <c r="J9" t="str">
        <f t="shared" si="1"/>
        <v>"ago"</v>
      </c>
      <c r="K9" t="str">
        <f t="shared" si="2"/>
        <v/>
      </c>
      <c r="L9" s="1" t="str">
        <f t="shared" si="3"/>
        <v>{"Month":8;"Title":"ago";"TGP":62,06634903;"TO":52,93785251;"TD":14,70763676;"TS_Subj":33,83313026;"TS_Obj":12,94197529};</v>
      </c>
    </row>
    <row r="10" spans="1:18" x14ac:dyDescent="0.25">
      <c r="A10">
        <v>2001</v>
      </c>
      <c r="B10">
        <v>9</v>
      </c>
      <c r="C10" t="s">
        <v>16</v>
      </c>
      <c r="D10">
        <v>62.853391049999999</v>
      </c>
      <c r="E10">
        <v>53.87760737</v>
      </c>
      <c r="F10">
        <v>14.28050822</v>
      </c>
      <c r="G10">
        <v>35.265382959999997</v>
      </c>
      <c r="H10">
        <v>13.7249319</v>
      </c>
      <c r="J10" t="str">
        <f t="shared" si="1"/>
        <v>"sep"</v>
      </c>
      <c r="K10" t="str">
        <f t="shared" si="2"/>
        <v/>
      </c>
      <c r="L10" s="1" t="str">
        <f t="shared" si="3"/>
        <v>{"Month":9;"Title":"sep";"TGP":62,85339105;"TO":53,87760737;"TD":14,28050822;"TS_Subj":35,26538296;"TS_Obj":13,7249319};</v>
      </c>
    </row>
    <row r="11" spans="1:18" x14ac:dyDescent="0.25">
      <c r="A11">
        <v>2001</v>
      </c>
      <c r="B11">
        <v>10</v>
      </c>
      <c r="C11" t="s">
        <v>17</v>
      </c>
      <c r="D11">
        <v>63.001971589999997</v>
      </c>
      <c r="E11">
        <v>53.812826200000003</v>
      </c>
      <c r="F11">
        <v>14.58548328</v>
      </c>
      <c r="G11">
        <v>36.040025280000002</v>
      </c>
      <c r="H11">
        <v>12.69302259</v>
      </c>
      <c r="J11" t="str">
        <f t="shared" si="1"/>
        <v>"oct"</v>
      </c>
      <c r="K11" t="str">
        <f t="shared" si="2"/>
        <v/>
      </c>
      <c r="L11" s="1" t="str">
        <f t="shared" si="3"/>
        <v>{"Month":10;"Title":"oct";"TGP":63,00197159;"TO":53,8128262;"TD":14,58548328;"TS_Subj":36,04002528;"TS_Obj":12,69302259};</v>
      </c>
    </row>
    <row r="12" spans="1:18" x14ac:dyDescent="0.25">
      <c r="A12">
        <v>2001</v>
      </c>
      <c r="B12">
        <v>11</v>
      </c>
      <c r="C12" t="s">
        <v>18</v>
      </c>
      <c r="D12">
        <v>64.693124240000003</v>
      </c>
      <c r="E12">
        <v>55.926154089999997</v>
      </c>
      <c r="F12">
        <v>13.551631009999999</v>
      </c>
      <c r="G12">
        <v>37.807232990000003</v>
      </c>
      <c r="H12">
        <v>12.567019139999999</v>
      </c>
      <c r="J12" t="str">
        <f t="shared" si="1"/>
        <v>"nov"</v>
      </c>
      <c r="K12" t="str">
        <f t="shared" si="2"/>
        <v/>
      </c>
      <c r="L12" s="1" t="str">
        <f t="shared" si="3"/>
        <v>{"Month":11;"Title":"nov";"TGP":64,69312424;"TO":55,92615409;"TD":13,55163101;"TS_Subj":37,80723299;"TS_Obj":12,56701914};</v>
      </c>
    </row>
    <row r="13" spans="1:18" x14ac:dyDescent="0.25">
      <c r="A13">
        <v>2001</v>
      </c>
      <c r="B13">
        <v>12</v>
      </c>
      <c r="C13" t="s">
        <v>19</v>
      </c>
      <c r="D13">
        <v>64.104822519999999</v>
      </c>
      <c r="E13">
        <v>55.233152779999998</v>
      </c>
      <c r="F13">
        <v>13.839317210000001</v>
      </c>
      <c r="G13">
        <v>31.384942769999999</v>
      </c>
      <c r="H13">
        <v>9.7701722409999991</v>
      </c>
      <c r="J13" t="str">
        <f t="shared" si="1"/>
        <v>"dic"</v>
      </c>
      <c r="K13" t="str">
        <f t="shared" si="2"/>
        <v/>
      </c>
      <c r="L13" s="1" t="str">
        <f t="shared" si="3"/>
        <v>{"Month":12;"Title":"dic";"TGP":64,10482252;"TO":55,23315278;"TD":13,83931721;"TS_Subj":31,38494277;"TS_Obj":9,770172241}]};</v>
      </c>
    </row>
    <row r="14" spans="1:18" x14ac:dyDescent="0.25">
      <c r="A14">
        <v>2002</v>
      </c>
      <c r="B14">
        <v>1</v>
      </c>
      <c r="C14" t="s">
        <v>8</v>
      </c>
      <c r="D14">
        <v>63.550478150000004</v>
      </c>
      <c r="E14">
        <v>52.192283240000002</v>
      </c>
      <c r="F14">
        <v>17.872713529999999</v>
      </c>
      <c r="G14">
        <v>34.482607100000003</v>
      </c>
      <c r="H14">
        <v>12.41749364</v>
      </c>
      <c r="J14" t="str">
        <f t="shared" si="1"/>
        <v>"ene"</v>
      </c>
      <c r="K14" t="str">
        <f t="shared" si="2"/>
        <v>{"Year":2002;"Months":[</v>
      </c>
      <c r="L14" s="1" t="str">
        <f t="shared" si="3"/>
        <v>{"Month":1;"Title":"ene";"TGP":63,55047815;"TO":52,19228324;"TD":17,87271353;"TS_Subj":34,4826071;"TS_Obj":12,41749364};</v>
      </c>
    </row>
    <row r="15" spans="1:18" x14ac:dyDescent="0.25">
      <c r="A15">
        <v>2002</v>
      </c>
      <c r="B15">
        <v>2</v>
      </c>
      <c r="C15" t="s">
        <v>9</v>
      </c>
      <c r="D15">
        <v>62.655273880000003</v>
      </c>
      <c r="E15">
        <v>52.721781319999998</v>
      </c>
      <c r="F15">
        <v>15.854205520000001</v>
      </c>
      <c r="G15">
        <v>34.354327820000002</v>
      </c>
      <c r="H15">
        <v>14.697883149999999</v>
      </c>
      <c r="J15" t="str">
        <f t="shared" si="1"/>
        <v>"feb"</v>
      </c>
      <c r="K15" t="str">
        <f t="shared" si="2"/>
        <v/>
      </c>
      <c r="L15" s="1" t="str">
        <f t="shared" si="3"/>
        <v>{"Month":2;"Title":"feb";"TGP":62,65527388;"TO":52,72178132;"TD":15,85420552;"TS_Subj":34,35432782;"TS_Obj":14,69788315};</v>
      </c>
    </row>
    <row r="16" spans="1:18" x14ac:dyDescent="0.25">
      <c r="A16">
        <v>2002</v>
      </c>
      <c r="B16">
        <v>3</v>
      </c>
      <c r="C16" t="s">
        <v>10</v>
      </c>
      <c r="D16">
        <v>61.790014460000002</v>
      </c>
      <c r="E16">
        <v>52.549987639999998</v>
      </c>
      <c r="F16">
        <v>14.953915930000001</v>
      </c>
      <c r="G16">
        <v>33.374682040000003</v>
      </c>
      <c r="H16">
        <v>13.541754770000001</v>
      </c>
      <c r="J16" t="str">
        <f t="shared" si="1"/>
        <v>"mar"</v>
      </c>
      <c r="K16" t="str">
        <f t="shared" si="2"/>
        <v/>
      </c>
      <c r="L16" s="1" t="str">
        <f t="shared" si="3"/>
        <v>{"Month":3;"Title":"mar";"TGP":61,79001446;"TO":52,54998764;"TD":14,95391593;"TS_Subj":33,37468204;"TS_Obj":13,54175477};</v>
      </c>
    </row>
    <row r="17" spans="1:12" x14ac:dyDescent="0.25">
      <c r="A17">
        <v>2002</v>
      </c>
      <c r="B17">
        <v>4</v>
      </c>
      <c r="C17" t="s">
        <v>11</v>
      </c>
      <c r="D17">
        <v>62.835646830000002</v>
      </c>
      <c r="E17">
        <v>52.601180730000003</v>
      </c>
      <c r="F17">
        <v>16.28767526</v>
      </c>
      <c r="G17">
        <v>34.05739543</v>
      </c>
      <c r="H17">
        <v>13.29851972</v>
      </c>
      <c r="J17" t="str">
        <f t="shared" si="1"/>
        <v>"abr"</v>
      </c>
      <c r="K17" t="str">
        <f t="shared" si="2"/>
        <v/>
      </c>
      <c r="L17" s="1" t="str">
        <f t="shared" si="3"/>
        <v>{"Month":4;"Title":"abr";"TGP":62,83564683;"TO":52,60118073;"TD":16,28767526;"TS_Subj":34,05739543;"TS_Obj":13,29851972};</v>
      </c>
    </row>
    <row r="18" spans="1:12" x14ac:dyDescent="0.25">
      <c r="A18">
        <v>2002</v>
      </c>
      <c r="B18">
        <v>5</v>
      </c>
      <c r="C18" t="s">
        <v>12</v>
      </c>
      <c r="D18">
        <v>61.955256949999999</v>
      </c>
      <c r="E18">
        <v>53.017994260000002</v>
      </c>
      <c r="F18">
        <v>14.42535005</v>
      </c>
      <c r="G18">
        <v>35.135253329999998</v>
      </c>
      <c r="H18">
        <v>13.15915107</v>
      </c>
      <c r="J18" t="str">
        <f t="shared" si="1"/>
        <v>"may"</v>
      </c>
      <c r="K18" t="str">
        <f t="shared" si="2"/>
        <v/>
      </c>
      <c r="L18" s="1" t="str">
        <f t="shared" si="3"/>
        <v>{"Month":5;"Title":"may";"TGP":61,95525695;"TO":53,01799426;"TD":14,42535005;"TS_Subj":35,13525333;"TS_Obj":13,15915107};</v>
      </c>
    </row>
    <row r="19" spans="1:12" x14ac:dyDescent="0.25">
      <c r="A19">
        <v>2002</v>
      </c>
      <c r="B19">
        <v>6</v>
      </c>
      <c r="C19" t="s">
        <v>13</v>
      </c>
      <c r="D19">
        <v>61.285743869999997</v>
      </c>
      <c r="E19">
        <v>51.32525819</v>
      </c>
      <c r="F19">
        <v>16.252532890000001</v>
      </c>
      <c r="G19">
        <v>35.656041889999997</v>
      </c>
      <c r="H19">
        <v>12.744990749999999</v>
      </c>
      <c r="J19" t="str">
        <f t="shared" si="1"/>
        <v>"jun"</v>
      </c>
      <c r="K19" t="str">
        <f t="shared" si="2"/>
        <v/>
      </c>
      <c r="L19" s="1" t="str">
        <f t="shared" si="3"/>
        <v>{"Month":6;"Title":"jun";"TGP":61,28574387;"TO":51,32525819;"TD":16,25253289;"TS_Subj":35,65604189;"TS_Obj":12,74499075};</v>
      </c>
    </row>
    <row r="20" spans="1:12" x14ac:dyDescent="0.25">
      <c r="A20">
        <v>2002</v>
      </c>
      <c r="B20">
        <v>7</v>
      </c>
      <c r="C20" t="s">
        <v>14</v>
      </c>
      <c r="D20">
        <v>62.40877347</v>
      </c>
      <c r="E20">
        <v>52.792645110000002</v>
      </c>
      <c r="F20">
        <v>15.4082957</v>
      </c>
      <c r="G20">
        <v>36.88115363</v>
      </c>
      <c r="H20">
        <v>13.086229100000001</v>
      </c>
      <c r="J20" t="str">
        <f t="shared" si="1"/>
        <v>"jul"</v>
      </c>
      <c r="K20" t="str">
        <f t="shared" si="2"/>
        <v/>
      </c>
      <c r="L20" s="1" t="str">
        <f t="shared" si="3"/>
        <v>{"Month":7;"Title":"jul";"TGP":62,40877347;"TO":52,79264511;"TD":15,4082957;"TS_Subj":36,88115363;"TS_Obj":13,0862291};</v>
      </c>
    </row>
    <row r="21" spans="1:12" x14ac:dyDescent="0.25">
      <c r="A21">
        <v>2002</v>
      </c>
      <c r="B21">
        <v>8</v>
      </c>
      <c r="C21" t="s">
        <v>15</v>
      </c>
      <c r="D21">
        <v>61.272438260000001</v>
      </c>
      <c r="E21">
        <v>51.601089539999997</v>
      </c>
      <c r="F21">
        <v>15.784174739999999</v>
      </c>
      <c r="G21">
        <v>36.07884705</v>
      </c>
      <c r="H21">
        <v>13.99628899</v>
      </c>
      <c r="J21" t="str">
        <f t="shared" si="1"/>
        <v>"ago"</v>
      </c>
      <c r="K21" t="str">
        <f t="shared" si="2"/>
        <v/>
      </c>
      <c r="L21" s="1" t="str">
        <f t="shared" si="3"/>
        <v>{"Month":8;"Title":"ago";"TGP":61,27243826;"TO":51,60108954;"TD":15,78417474;"TS_Subj":36,07884705;"TS_Obj":13,99628899};</v>
      </c>
    </row>
    <row r="22" spans="1:12" x14ac:dyDescent="0.25">
      <c r="A22">
        <v>2002</v>
      </c>
      <c r="B22">
        <v>9</v>
      </c>
      <c r="C22" t="s">
        <v>16</v>
      </c>
      <c r="D22">
        <v>61.074674600000002</v>
      </c>
      <c r="E22">
        <v>52.18497739</v>
      </c>
      <c r="F22">
        <v>14.55545571</v>
      </c>
      <c r="G22">
        <v>35.384552939999999</v>
      </c>
      <c r="H22">
        <v>13.75326578</v>
      </c>
      <c r="J22" t="str">
        <f t="shared" si="1"/>
        <v>"sep"</v>
      </c>
      <c r="K22" t="str">
        <f t="shared" si="2"/>
        <v/>
      </c>
      <c r="L22" s="1" t="str">
        <f t="shared" si="3"/>
        <v>{"Month":9;"Title":"sep";"TGP":61,0746746;"TO":52,18497739;"TD":14,55545571;"TS_Subj":35,38455294;"TS_Obj":13,75326578};</v>
      </c>
    </row>
    <row r="23" spans="1:12" x14ac:dyDescent="0.25">
      <c r="A23">
        <v>2002</v>
      </c>
      <c r="B23">
        <v>10</v>
      </c>
      <c r="C23" t="s">
        <v>17</v>
      </c>
      <c r="D23">
        <v>63.229244489999999</v>
      </c>
      <c r="E23">
        <v>53.86577484</v>
      </c>
      <c r="F23">
        <v>14.80876409</v>
      </c>
      <c r="G23">
        <v>36.531377990000003</v>
      </c>
      <c r="H23">
        <v>12.477776159999999</v>
      </c>
      <c r="J23" t="str">
        <f t="shared" si="1"/>
        <v>"oct"</v>
      </c>
      <c r="K23" t="str">
        <f t="shared" si="2"/>
        <v/>
      </c>
      <c r="L23" s="1" t="str">
        <f t="shared" si="3"/>
        <v>{"Month":10;"Title":"oct";"TGP":63,22924449;"TO":53,86577484;"TD":14,80876409;"TS_Subj":36,53137799;"TS_Obj":12,47777616};</v>
      </c>
    </row>
    <row r="24" spans="1:12" x14ac:dyDescent="0.25">
      <c r="A24">
        <v>2002</v>
      </c>
      <c r="B24">
        <v>11</v>
      </c>
      <c r="C24" t="s">
        <v>18</v>
      </c>
      <c r="D24">
        <v>62.923978089999999</v>
      </c>
      <c r="E24">
        <v>53.669361379999998</v>
      </c>
      <c r="F24">
        <v>14.70761544</v>
      </c>
      <c r="G24">
        <v>34.713219500000001</v>
      </c>
      <c r="H24">
        <v>10.71333175</v>
      </c>
      <c r="J24" t="str">
        <f t="shared" si="1"/>
        <v>"nov"</v>
      </c>
      <c r="K24" t="str">
        <f t="shared" si="2"/>
        <v/>
      </c>
      <c r="L24" s="1" t="str">
        <f t="shared" si="3"/>
        <v>{"Month":11;"Title":"nov";"TGP":62,92397809;"TO":53,66936138;"TD":14,70761544;"TS_Subj":34,7132195;"TS_Obj":10,71333175};</v>
      </c>
    </row>
    <row r="25" spans="1:12" x14ac:dyDescent="0.25">
      <c r="A25">
        <v>2002</v>
      </c>
      <c r="B25">
        <v>12</v>
      </c>
      <c r="C25" t="s">
        <v>19</v>
      </c>
      <c r="D25">
        <v>62.022396290000003</v>
      </c>
      <c r="E25">
        <v>52.239621139999997</v>
      </c>
      <c r="F25">
        <v>15.7729772</v>
      </c>
      <c r="G25">
        <v>30.366310949999999</v>
      </c>
      <c r="H25">
        <v>9.2384251670000008</v>
      </c>
      <c r="J25" t="str">
        <f t="shared" si="1"/>
        <v>"dic"</v>
      </c>
      <c r="K25" t="str">
        <f t="shared" si="2"/>
        <v/>
      </c>
      <c r="L25" s="1" t="str">
        <f t="shared" si="3"/>
        <v>{"Month":12;"Title":"dic";"TGP":62,02239629;"TO":52,23962114;"TD":15,7729772;"TS_Subj":30,36631095;"TS_Obj":9,238425167}]};</v>
      </c>
    </row>
    <row r="26" spans="1:12" x14ac:dyDescent="0.25">
      <c r="A26">
        <v>2003</v>
      </c>
      <c r="B26">
        <v>1</v>
      </c>
      <c r="C26" t="s">
        <v>8</v>
      </c>
      <c r="D26">
        <v>61.934547109999997</v>
      </c>
      <c r="E26">
        <v>51.953746070000001</v>
      </c>
      <c r="F26">
        <v>16.115078749999999</v>
      </c>
      <c r="G26">
        <v>29.7909513</v>
      </c>
      <c r="H26">
        <v>10.29352111</v>
      </c>
      <c r="J26" t="str">
        <f t="shared" si="1"/>
        <v>"ene"</v>
      </c>
      <c r="K26" t="str">
        <f t="shared" si="2"/>
        <v>{"Year":2003;"Months":[</v>
      </c>
      <c r="L26" s="1" t="str">
        <f t="shared" si="3"/>
        <v>{"Month":1;"Title":"ene";"TGP":61,93454711;"TO":51,95374607;"TD":16,11507875;"TS_Subj":29,7909513;"TS_Obj":10,29352111};</v>
      </c>
    </row>
    <row r="27" spans="1:12" x14ac:dyDescent="0.25">
      <c r="A27">
        <v>2003</v>
      </c>
      <c r="B27">
        <v>2</v>
      </c>
      <c r="C27" t="s">
        <v>9</v>
      </c>
      <c r="D27">
        <v>62.79254598</v>
      </c>
      <c r="E27">
        <v>52.568698840000003</v>
      </c>
      <c r="F27">
        <v>16.281949149999999</v>
      </c>
      <c r="G27">
        <v>28.56501239</v>
      </c>
      <c r="H27">
        <v>11.38279412</v>
      </c>
      <c r="J27" t="str">
        <f t="shared" si="1"/>
        <v>"feb"</v>
      </c>
      <c r="K27" t="str">
        <f t="shared" si="2"/>
        <v/>
      </c>
      <c r="L27" s="1" t="str">
        <f t="shared" si="3"/>
        <v>{"Month":2;"Title":"feb";"TGP":62,79254598;"TO":52,56869884;"TD":16,28194915;"TS_Subj":28,56501239;"TS_Obj":11,38279412};</v>
      </c>
    </row>
    <row r="28" spans="1:12" x14ac:dyDescent="0.25">
      <c r="A28">
        <v>2003</v>
      </c>
      <c r="B28">
        <v>3</v>
      </c>
      <c r="C28" t="s">
        <v>10</v>
      </c>
      <c r="D28">
        <v>62.592654940000003</v>
      </c>
      <c r="E28">
        <v>54.465923930000002</v>
      </c>
      <c r="F28">
        <v>12.98352182</v>
      </c>
      <c r="G28">
        <v>29.009443279999999</v>
      </c>
      <c r="H28">
        <v>10.824586610000001</v>
      </c>
      <c r="J28" t="str">
        <f t="shared" si="1"/>
        <v>"mar"</v>
      </c>
      <c r="K28" t="str">
        <f t="shared" si="2"/>
        <v/>
      </c>
      <c r="L28" s="1" t="str">
        <f t="shared" si="3"/>
        <v>{"Month":3;"Title":"mar";"TGP":62,59265494;"TO":54,46592393;"TD":12,98352182;"TS_Subj":29,00944328;"TS_Obj":10,82458661};</v>
      </c>
    </row>
    <row r="29" spans="1:12" x14ac:dyDescent="0.25">
      <c r="A29">
        <v>2003</v>
      </c>
      <c r="B29">
        <v>4</v>
      </c>
      <c r="C29" t="s">
        <v>11</v>
      </c>
      <c r="D29">
        <v>62.61566878</v>
      </c>
      <c r="E29">
        <v>53.347827950000003</v>
      </c>
      <c r="F29">
        <v>14.801152829999999</v>
      </c>
      <c r="G29">
        <v>32.46575095</v>
      </c>
      <c r="H29">
        <v>12.70401393</v>
      </c>
      <c r="J29" t="str">
        <f t="shared" si="1"/>
        <v>"abr"</v>
      </c>
      <c r="K29" t="str">
        <f t="shared" si="2"/>
        <v/>
      </c>
      <c r="L29" s="1" t="str">
        <f t="shared" si="3"/>
        <v>{"Month":4;"Title":"abr";"TGP":62,61566878;"TO":53,34782795;"TD":14,80115283;"TS_Subj":32,46575095;"TS_Obj":12,70401393};</v>
      </c>
    </row>
    <row r="30" spans="1:12" x14ac:dyDescent="0.25">
      <c r="A30">
        <v>2003</v>
      </c>
      <c r="B30">
        <v>5</v>
      </c>
      <c r="C30" t="s">
        <v>12</v>
      </c>
      <c r="D30">
        <v>63.019677790000003</v>
      </c>
      <c r="E30">
        <v>54.89453821</v>
      </c>
      <c r="F30">
        <v>12.893025039999999</v>
      </c>
      <c r="G30">
        <v>33.333374620000001</v>
      </c>
      <c r="H30">
        <v>12.211142130000001</v>
      </c>
      <c r="J30" t="str">
        <f t="shared" si="1"/>
        <v>"may"</v>
      </c>
      <c r="K30" t="str">
        <f t="shared" si="2"/>
        <v/>
      </c>
      <c r="L30" s="1" t="str">
        <f t="shared" si="3"/>
        <v>{"Month":5;"Title":"may";"TGP":63,01967779;"TO":54,89453821;"TD":12,89302504;"TS_Subj":33,33337462;"TS_Obj":12,21114213};</v>
      </c>
    </row>
    <row r="31" spans="1:12" x14ac:dyDescent="0.25">
      <c r="A31">
        <v>2003</v>
      </c>
      <c r="B31">
        <v>6</v>
      </c>
      <c r="C31" t="s">
        <v>13</v>
      </c>
      <c r="D31">
        <v>61.18357194</v>
      </c>
      <c r="E31">
        <v>52.534857500000001</v>
      </c>
      <c r="F31">
        <v>14.13568081</v>
      </c>
      <c r="G31">
        <v>33.353872150000001</v>
      </c>
      <c r="H31">
        <v>13.03218959</v>
      </c>
      <c r="J31" t="str">
        <f t="shared" si="1"/>
        <v>"jun"</v>
      </c>
      <c r="K31" t="str">
        <f t="shared" si="2"/>
        <v/>
      </c>
      <c r="L31" s="1" t="str">
        <f t="shared" si="3"/>
        <v>{"Month":6;"Title":"jun";"TGP":61,18357194;"TO":52,5348575;"TD":14,13568081;"TS_Subj":33,35387215;"TS_Obj":13,03218959};</v>
      </c>
    </row>
    <row r="32" spans="1:12" x14ac:dyDescent="0.25">
      <c r="A32">
        <v>2003</v>
      </c>
      <c r="B32">
        <v>7</v>
      </c>
      <c r="C32" t="s">
        <v>14</v>
      </c>
      <c r="D32">
        <v>61.909747789999997</v>
      </c>
      <c r="E32">
        <v>52.967897520000001</v>
      </c>
      <c r="F32">
        <v>14.443364069999999</v>
      </c>
      <c r="G32">
        <v>33.495635229999998</v>
      </c>
      <c r="H32">
        <v>12.915188499999999</v>
      </c>
      <c r="J32" t="str">
        <f t="shared" si="1"/>
        <v>"jul"</v>
      </c>
      <c r="K32" t="str">
        <f t="shared" si="2"/>
        <v/>
      </c>
      <c r="L32" s="1" t="str">
        <f t="shared" si="3"/>
        <v>{"Month":7;"Title":"jul";"TGP":61,90974779;"TO":52,96789752;"TD":14,44336407;"TS_Subj":33,49563523;"TS_Obj":12,9151885};</v>
      </c>
    </row>
    <row r="33" spans="1:12" x14ac:dyDescent="0.25">
      <c r="A33">
        <v>2003</v>
      </c>
      <c r="B33">
        <v>8</v>
      </c>
      <c r="C33" t="s">
        <v>15</v>
      </c>
      <c r="D33">
        <v>63.276250480000002</v>
      </c>
      <c r="E33">
        <v>54.143220739999997</v>
      </c>
      <c r="F33">
        <v>14.43358237</v>
      </c>
      <c r="G33">
        <v>33.347363100000003</v>
      </c>
      <c r="H33">
        <v>13.57370901</v>
      </c>
      <c r="J33" t="str">
        <f t="shared" si="1"/>
        <v>"ago"</v>
      </c>
      <c r="K33" t="str">
        <f t="shared" si="2"/>
        <v/>
      </c>
      <c r="L33" s="1" t="str">
        <f t="shared" si="3"/>
        <v>{"Month":8;"Title":"ago";"TGP":63,27625048;"TO":54,14322074;"TD":14,43358237;"TS_Subj":33,3473631;"TS_Obj":13,57370901};</v>
      </c>
    </row>
    <row r="34" spans="1:12" x14ac:dyDescent="0.25">
      <c r="A34">
        <v>2003</v>
      </c>
      <c r="B34">
        <v>9</v>
      </c>
      <c r="C34" t="s">
        <v>16</v>
      </c>
      <c r="D34">
        <v>63.312190919999999</v>
      </c>
      <c r="E34">
        <v>54.28463696</v>
      </c>
      <c r="F34">
        <v>14.258787440000001</v>
      </c>
      <c r="G34">
        <v>32.618937729999999</v>
      </c>
      <c r="H34">
        <v>14.6479973</v>
      </c>
      <c r="J34" t="str">
        <f t="shared" si="1"/>
        <v>"sep"</v>
      </c>
      <c r="K34" t="str">
        <f t="shared" si="2"/>
        <v/>
      </c>
      <c r="L34" s="1" t="str">
        <f t="shared" si="3"/>
        <v>{"Month":9;"Title":"sep";"TGP":63,31219092;"TO":54,28463696;"TD":14,25878744;"TS_Subj":32,61893773;"TS_Obj":14,6479973};</v>
      </c>
    </row>
    <row r="35" spans="1:12" x14ac:dyDescent="0.25">
      <c r="A35">
        <v>2003</v>
      </c>
      <c r="B35">
        <v>10</v>
      </c>
      <c r="C35" t="s">
        <v>17</v>
      </c>
      <c r="D35">
        <v>64.308245389999996</v>
      </c>
      <c r="E35">
        <v>55.4974585</v>
      </c>
      <c r="F35">
        <v>13.70086656</v>
      </c>
      <c r="G35">
        <v>33.382514559999997</v>
      </c>
      <c r="H35">
        <v>10.904147310000001</v>
      </c>
      <c r="J35" t="str">
        <f t="shared" si="1"/>
        <v>"oct"</v>
      </c>
      <c r="K35" t="str">
        <f t="shared" si="2"/>
        <v/>
      </c>
      <c r="L35" s="1" t="str">
        <f t="shared" si="3"/>
        <v>{"Month":10;"Title":"oct";"TGP":64,30824539;"TO":55,4974585;"TD":13,70086656;"TS_Subj":33,38251456;"TS_Obj":10,90414731};</v>
      </c>
    </row>
    <row r="36" spans="1:12" x14ac:dyDescent="0.25">
      <c r="A36">
        <v>2003</v>
      </c>
      <c r="B36">
        <v>11</v>
      </c>
      <c r="C36" t="s">
        <v>18</v>
      </c>
      <c r="D36">
        <v>63.816077550000003</v>
      </c>
      <c r="E36">
        <v>55.576348209999999</v>
      </c>
      <c r="F36">
        <v>12.911682539999999</v>
      </c>
      <c r="G36">
        <v>35.135262220000001</v>
      </c>
      <c r="H36">
        <v>12.314941340000001</v>
      </c>
      <c r="J36" t="str">
        <f t="shared" si="1"/>
        <v>"nov"</v>
      </c>
      <c r="K36" t="str">
        <f t="shared" si="2"/>
        <v/>
      </c>
      <c r="L36" s="1" t="str">
        <f t="shared" si="3"/>
        <v>{"Month":11;"Title":"nov";"TGP":63,81607755;"TO":55,57634821;"TD":12,91168254;"TS_Subj":35,13526222;"TS_Obj":12,31494134};</v>
      </c>
    </row>
    <row r="37" spans="1:12" x14ac:dyDescent="0.25">
      <c r="A37">
        <v>2003</v>
      </c>
      <c r="B37">
        <v>12</v>
      </c>
      <c r="C37" t="s">
        <v>19</v>
      </c>
      <c r="D37">
        <v>62.888920880000001</v>
      </c>
      <c r="E37">
        <v>55.225549139999998</v>
      </c>
      <c r="F37">
        <v>12.185562129999999</v>
      </c>
      <c r="G37">
        <v>32.071210899999997</v>
      </c>
      <c r="H37">
        <v>9.3862433109999994</v>
      </c>
      <c r="J37" t="str">
        <f t="shared" si="1"/>
        <v>"dic"</v>
      </c>
      <c r="K37" t="str">
        <f t="shared" si="2"/>
        <v/>
      </c>
      <c r="L37" s="1" t="str">
        <f t="shared" si="3"/>
        <v>{"Month":12;"Title":"dic";"TGP":62,88892088;"TO":55,22554914;"TD":12,18556213;"TS_Subj":32,0712109;"TS_Obj":9,386243311}]};</v>
      </c>
    </row>
    <row r="38" spans="1:12" x14ac:dyDescent="0.25">
      <c r="A38">
        <v>2004</v>
      </c>
      <c r="B38">
        <v>1</v>
      </c>
      <c r="C38" t="s">
        <v>8</v>
      </c>
      <c r="D38">
        <v>62.809597060000002</v>
      </c>
      <c r="E38">
        <v>52.130038939999999</v>
      </c>
      <c r="F38">
        <v>17.003072509999999</v>
      </c>
      <c r="G38">
        <v>30.881501050000001</v>
      </c>
      <c r="H38">
        <v>11.06806976</v>
      </c>
      <c r="J38" t="str">
        <f t="shared" si="1"/>
        <v>"ene"</v>
      </c>
      <c r="K38" t="str">
        <f t="shared" si="2"/>
        <v>{"Year":2004;"Months":[</v>
      </c>
      <c r="L38" s="1" t="str">
        <f t="shared" si="3"/>
        <v>{"Month":1;"Title":"ene";"TGP":62,80959706;"TO":52,13003894;"TD":17,00307251;"TS_Subj":30,88150105;"TS_Obj":11,06806976};</v>
      </c>
    </row>
    <row r="39" spans="1:12" x14ac:dyDescent="0.25">
      <c r="A39">
        <v>2004</v>
      </c>
      <c r="B39">
        <v>2</v>
      </c>
      <c r="C39" t="s">
        <v>9</v>
      </c>
      <c r="D39">
        <v>62.303493590000002</v>
      </c>
      <c r="E39">
        <v>52.52956889</v>
      </c>
      <c r="F39">
        <v>15.68759781</v>
      </c>
      <c r="G39">
        <v>31.797738209999999</v>
      </c>
      <c r="H39">
        <v>12.571108049999999</v>
      </c>
      <c r="J39" t="str">
        <f t="shared" si="1"/>
        <v>"feb"</v>
      </c>
      <c r="K39" t="str">
        <f t="shared" si="2"/>
        <v/>
      </c>
      <c r="L39" s="1" t="str">
        <f t="shared" si="3"/>
        <v>{"Month":2;"Title":"feb";"TGP":62,30349359;"TO":52,52956889;"TD":15,68759781;"TS_Subj":31,79773821;"TS_Obj":12,57110805};</v>
      </c>
    </row>
    <row r="40" spans="1:12" x14ac:dyDescent="0.25">
      <c r="A40">
        <v>2004</v>
      </c>
      <c r="B40">
        <v>3</v>
      </c>
      <c r="C40" t="s">
        <v>10</v>
      </c>
      <c r="D40">
        <v>62.176037970000003</v>
      </c>
      <c r="E40">
        <v>53.70527542</v>
      </c>
      <c r="F40">
        <v>13.62383777</v>
      </c>
      <c r="G40">
        <v>29.89627248</v>
      </c>
      <c r="H40">
        <v>11.48970735</v>
      </c>
      <c r="J40" t="str">
        <f t="shared" si="1"/>
        <v>"mar"</v>
      </c>
      <c r="K40" t="str">
        <f t="shared" si="2"/>
        <v/>
      </c>
      <c r="L40" s="1" t="str">
        <f t="shared" si="3"/>
        <v>{"Month":3;"Title":"mar";"TGP":62,17603797;"TO":53,70527542;"TD":13,62383777;"TS_Subj":29,89627248;"TS_Obj":11,48970735};</v>
      </c>
    </row>
    <row r="41" spans="1:12" x14ac:dyDescent="0.25">
      <c r="A41">
        <v>2004</v>
      </c>
      <c r="B41">
        <v>4</v>
      </c>
      <c r="C41" t="s">
        <v>11</v>
      </c>
      <c r="D41">
        <v>61.758869160000003</v>
      </c>
      <c r="E41">
        <v>52.694460280000001</v>
      </c>
      <c r="F41">
        <v>14.67709659</v>
      </c>
      <c r="G41">
        <v>32.528845529999998</v>
      </c>
      <c r="H41">
        <v>12.925739480000001</v>
      </c>
      <c r="J41" t="str">
        <f t="shared" si="1"/>
        <v>"abr"</v>
      </c>
      <c r="K41" t="str">
        <f t="shared" si="2"/>
        <v/>
      </c>
      <c r="L41" s="1" t="str">
        <f t="shared" si="3"/>
        <v>{"Month":4;"Title":"abr";"TGP":61,75886916;"TO":52,69446028;"TD":14,67709659;"TS_Subj":32,52884553;"TS_Obj":12,92573948};</v>
      </c>
    </row>
    <row r="42" spans="1:12" x14ac:dyDescent="0.25">
      <c r="A42">
        <v>2004</v>
      </c>
      <c r="B42">
        <v>5</v>
      </c>
      <c r="C42" t="s">
        <v>12</v>
      </c>
      <c r="D42">
        <v>61.585982170000001</v>
      </c>
      <c r="E42">
        <v>53.116470419999999</v>
      </c>
      <c r="F42">
        <v>13.7523369</v>
      </c>
      <c r="G42">
        <v>34.048289560000001</v>
      </c>
      <c r="H42">
        <v>13.54498613</v>
      </c>
      <c r="J42" t="str">
        <f t="shared" si="1"/>
        <v>"may"</v>
      </c>
      <c r="K42" t="str">
        <f t="shared" si="2"/>
        <v/>
      </c>
      <c r="L42" s="1" t="str">
        <f t="shared" si="3"/>
        <v>{"Month":5;"Title":"may";"TGP":61,58598217;"TO":53,11647042;"TD":13,7523369;"TS_Subj":34,04828956;"TS_Obj":13,54498613};</v>
      </c>
    </row>
    <row r="43" spans="1:12" x14ac:dyDescent="0.25">
      <c r="A43">
        <v>2004</v>
      </c>
      <c r="B43">
        <v>6</v>
      </c>
      <c r="C43" t="s">
        <v>13</v>
      </c>
      <c r="D43">
        <v>59.989656170000003</v>
      </c>
      <c r="E43">
        <v>51.59369014</v>
      </c>
      <c r="F43">
        <v>13.995689540000001</v>
      </c>
      <c r="G43">
        <v>31.532504370000002</v>
      </c>
      <c r="H43">
        <v>11.630758760000001</v>
      </c>
      <c r="J43" t="str">
        <f t="shared" si="1"/>
        <v>"jun"</v>
      </c>
      <c r="K43" t="str">
        <f t="shared" si="2"/>
        <v/>
      </c>
      <c r="L43" s="1" t="str">
        <f t="shared" si="3"/>
        <v>{"Month":6;"Title":"jun";"TGP":59,98965617;"TO":51,59369014;"TD":13,99568954;"TS_Subj":31,53250437;"TS_Obj":11,63075876};</v>
      </c>
    </row>
    <row r="44" spans="1:12" x14ac:dyDescent="0.25">
      <c r="A44">
        <v>2004</v>
      </c>
      <c r="B44">
        <v>7</v>
      </c>
      <c r="C44" t="s">
        <v>14</v>
      </c>
      <c r="D44">
        <v>61.476021500000002</v>
      </c>
      <c r="E44">
        <v>53.520997039999997</v>
      </c>
      <c r="F44">
        <v>12.94004436</v>
      </c>
      <c r="G44">
        <v>32.257129720000002</v>
      </c>
      <c r="H44">
        <v>14.008600120000001</v>
      </c>
      <c r="J44" t="str">
        <f t="shared" si="1"/>
        <v>"jul"</v>
      </c>
      <c r="K44" t="str">
        <f t="shared" si="2"/>
        <v/>
      </c>
      <c r="L44" s="1" t="str">
        <f t="shared" si="3"/>
        <v>{"Month":7;"Title":"jul";"TGP":61,4760215;"TO":53,52099704;"TD":12,94004436;"TS_Subj":32,25712972;"TS_Obj":14,00860012};</v>
      </c>
    </row>
    <row r="45" spans="1:12" x14ac:dyDescent="0.25">
      <c r="A45">
        <v>2004</v>
      </c>
      <c r="B45">
        <v>8</v>
      </c>
      <c r="C45" t="s">
        <v>15</v>
      </c>
      <c r="D45">
        <v>60.711442650000002</v>
      </c>
      <c r="E45">
        <v>52.767282850000001</v>
      </c>
      <c r="F45">
        <v>13.08511124</v>
      </c>
      <c r="G45">
        <v>31.180031970000002</v>
      </c>
      <c r="H45">
        <v>13.29657976</v>
      </c>
      <c r="J45" t="str">
        <f t="shared" si="1"/>
        <v>"ago"</v>
      </c>
      <c r="K45" t="str">
        <f t="shared" si="2"/>
        <v/>
      </c>
      <c r="L45" s="1" t="str">
        <f t="shared" si="3"/>
        <v>{"Month":8;"Title":"ago";"TGP":60,71144265;"TO":52,76728285;"TD":13,08511124;"TS_Subj":31,18003197;"TS_Obj":13,29657976};</v>
      </c>
    </row>
    <row r="46" spans="1:12" x14ac:dyDescent="0.25">
      <c r="A46">
        <v>2004</v>
      </c>
      <c r="B46">
        <v>9</v>
      </c>
      <c r="C46" t="s">
        <v>16</v>
      </c>
      <c r="D46">
        <v>60.655195370000001</v>
      </c>
      <c r="E46">
        <v>53.064399870000003</v>
      </c>
      <c r="F46">
        <v>12.51466664</v>
      </c>
      <c r="G46">
        <v>31.955432470000002</v>
      </c>
      <c r="H46">
        <v>14.52206616</v>
      </c>
      <c r="J46" t="str">
        <f t="shared" si="1"/>
        <v>"sep"</v>
      </c>
      <c r="K46" t="str">
        <f t="shared" si="2"/>
        <v/>
      </c>
      <c r="L46" s="1" t="str">
        <f t="shared" si="3"/>
        <v>{"Month":9;"Title":"sep";"TGP":60,65519537;"TO":53,06439987;"TD":12,51466664;"TS_Subj":31,95543247;"TS_Obj":14,52206616};</v>
      </c>
    </row>
    <row r="47" spans="1:12" x14ac:dyDescent="0.25">
      <c r="A47">
        <v>2004</v>
      </c>
      <c r="B47">
        <v>10</v>
      </c>
      <c r="C47" t="s">
        <v>17</v>
      </c>
      <c r="D47">
        <v>61.550040850000002</v>
      </c>
      <c r="E47">
        <v>53.798314750000003</v>
      </c>
      <c r="F47">
        <v>12.594185149999999</v>
      </c>
      <c r="G47">
        <v>32.171179309999999</v>
      </c>
      <c r="H47">
        <v>10.73700243</v>
      </c>
      <c r="J47" t="str">
        <f t="shared" si="1"/>
        <v>"oct"</v>
      </c>
      <c r="K47" t="str">
        <f t="shared" si="2"/>
        <v/>
      </c>
      <c r="L47" s="1" t="str">
        <f t="shared" si="3"/>
        <v>{"Month":10;"Title":"oct";"TGP":61,55004085;"TO":53,79831475;"TD":12,59418515;"TS_Subj":32,17117931;"TS_Obj":10,73700243};</v>
      </c>
    </row>
    <row r="48" spans="1:12" x14ac:dyDescent="0.25">
      <c r="A48">
        <v>2004</v>
      </c>
      <c r="B48">
        <v>11</v>
      </c>
      <c r="C48" t="s">
        <v>18</v>
      </c>
      <c r="D48">
        <v>61.657552789999997</v>
      </c>
      <c r="E48">
        <v>54.39615869</v>
      </c>
      <c r="F48">
        <v>11.77697423</v>
      </c>
      <c r="G48">
        <v>32.152334449999998</v>
      </c>
      <c r="H48">
        <v>9.8198290480000008</v>
      </c>
      <c r="J48" t="str">
        <f t="shared" si="1"/>
        <v>"nov"</v>
      </c>
      <c r="K48" t="str">
        <f t="shared" si="2"/>
        <v/>
      </c>
      <c r="L48" s="1" t="str">
        <f t="shared" si="3"/>
        <v>{"Month":11;"Title":"nov";"TGP":61,65755279;"TO":54,39615869;"TD":11,77697423;"TS_Subj":32,15233445;"TS_Obj":9,819829048};</v>
      </c>
    </row>
    <row r="49" spans="1:12" x14ac:dyDescent="0.25">
      <c r="A49">
        <v>2004</v>
      </c>
      <c r="B49">
        <v>12</v>
      </c>
      <c r="C49" t="s">
        <v>19</v>
      </c>
      <c r="D49">
        <v>60.907715570000001</v>
      </c>
      <c r="E49">
        <v>53.555701480000003</v>
      </c>
      <c r="F49">
        <v>12.07074345</v>
      </c>
      <c r="G49">
        <v>30.799728810000001</v>
      </c>
      <c r="H49">
        <v>9.5398913600000004</v>
      </c>
      <c r="J49" t="str">
        <f t="shared" si="1"/>
        <v>"dic"</v>
      </c>
      <c r="K49" t="str">
        <f t="shared" si="2"/>
        <v/>
      </c>
      <c r="L49" s="1" t="str">
        <f t="shared" si="3"/>
        <v>{"Month":12;"Title":"dic";"TGP":60,90771557;"TO":53,55570148;"TD":12,07074345;"TS_Subj":30,79972881;"TS_Obj":9,53989136}]};</v>
      </c>
    </row>
    <row r="50" spans="1:12" x14ac:dyDescent="0.25">
      <c r="A50">
        <v>2005</v>
      </c>
      <c r="B50">
        <v>1</v>
      </c>
      <c r="C50" t="s">
        <v>8</v>
      </c>
      <c r="D50">
        <v>60.366113890000001</v>
      </c>
      <c r="E50">
        <v>52.386731849999997</v>
      </c>
      <c r="F50">
        <v>13.218313269999999</v>
      </c>
      <c r="G50">
        <v>28.84762315</v>
      </c>
      <c r="H50">
        <v>11.309720260000001</v>
      </c>
      <c r="J50" t="str">
        <f t="shared" si="1"/>
        <v>"ene"</v>
      </c>
      <c r="K50" t="str">
        <f t="shared" si="2"/>
        <v>{"Year":2005;"Months":[</v>
      </c>
      <c r="L50" s="1" t="str">
        <f t="shared" si="3"/>
        <v>{"Month":1;"Title":"ene";"TGP":60,36611389;"TO":52,38673185;"TD":13,21831327;"TS_Subj":28,84762315;"TS_Obj":11,30972026};</v>
      </c>
    </row>
    <row r="51" spans="1:12" x14ac:dyDescent="0.25">
      <c r="A51">
        <v>2005</v>
      </c>
      <c r="B51">
        <v>2</v>
      </c>
      <c r="C51" t="s">
        <v>9</v>
      </c>
      <c r="D51">
        <v>60.26378029</v>
      </c>
      <c r="E51">
        <v>51.688717850000003</v>
      </c>
      <c r="F51">
        <v>14.229214280000001</v>
      </c>
      <c r="G51">
        <v>30.717366989999999</v>
      </c>
      <c r="H51">
        <v>12.46070091</v>
      </c>
      <c r="J51" t="str">
        <f t="shared" si="1"/>
        <v>"feb"</v>
      </c>
      <c r="K51" t="str">
        <f t="shared" si="2"/>
        <v/>
      </c>
      <c r="L51" s="1" t="str">
        <f t="shared" si="3"/>
        <v>{"Month":2;"Title":"feb";"TGP":60,26378029;"TO":51,68871785;"TD":14,22921428;"TS_Subj":30,71736699;"TS_Obj":12,46070091};</v>
      </c>
    </row>
    <row r="52" spans="1:12" x14ac:dyDescent="0.25">
      <c r="A52">
        <v>2005</v>
      </c>
      <c r="B52">
        <v>3</v>
      </c>
      <c r="C52" t="s">
        <v>10</v>
      </c>
      <c r="D52">
        <v>59.959981599999999</v>
      </c>
      <c r="E52">
        <v>52.196145059999999</v>
      </c>
      <c r="F52">
        <v>12.94836377</v>
      </c>
      <c r="G52">
        <v>29.784016959999999</v>
      </c>
      <c r="H52">
        <v>12.42579682</v>
      </c>
      <c r="J52" t="str">
        <f t="shared" si="1"/>
        <v>"mar"</v>
      </c>
      <c r="K52" t="str">
        <f t="shared" si="2"/>
        <v/>
      </c>
      <c r="L52" s="1" t="str">
        <f t="shared" si="3"/>
        <v>{"Month":3;"Title":"mar";"TGP":59,9599816;"TO":52,19614506;"TD":12,94836377;"TS_Subj":29,78401696;"TS_Obj":12,42579682};</v>
      </c>
    </row>
    <row r="53" spans="1:12" x14ac:dyDescent="0.25">
      <c r="A53">
        <v>2005</v>
      </c>
      <c r="B53">
        <v>4</v>
      </c>
      <c r="C53" t="s">
        <v>11</v>
      </c>
      <c r="D53">
        <v>60.084099250000001</v>
      </c>
      <c r="E53">
        <v>52.837265539999997</v>
      </c>
      <c r="F53">
        <v>12.06115063</v>
      </c>
      <c r="G53">
        <v>32.041777580000002</v>
      </c>
      <c r="H53">
        <v>12.56358416</v>
      </c>
      <c r="J53" t="str">
        <f t="shared" si="1"/>
        <v>"abr"</v>
      </c>
      <c r="K53" t="str">
        <f t="shared" si="2"/>
        <v/>
      </c>
      <c r="L53" s="1" t="str">
        <f t="shared" si="3"/>
        <v>{"Month":4;"Title":"abr";"TGP":60,08409925;"TO":52,83726554;"TD":12,06115063;"TS_Subj":32,04177758;"TS_Obj":12,56358416};</v>
      </c>
    </row>
    <row r="54" spans="1:12" x14ac:dyDescent="0.25">
      <c r="A54">
        <v>2005</v>
      </c>
      <c r="B54">
        <v>5</v>
      </c>
      <c r="C54" t="s">
        <v>12</v>
      </c>
      <c r="D54">
        <v>60.262329520000002</v>
      </c>
      <c r="E54">
        <v>52.846809929999999</v>
      </c>
      <c r="F54">
        <v>12.305398159999999</v>
      </c>
      <c r="G54">
        <v>33.921779350000001</v>
      </c>
      <c r="H54">
        <v>13.141157890000001</v>
      </c>
      <c r="J54" t="str">
        <f t="shared" si="1"/>
        <v>"may"</v>
      </c>
      <c r="K54" t="str">
        <f t="shared" si="2"/>
        <v/>
      </c>
      <c r="L54" s="1" t="str">
        <f t="shared" si="3"/>
        <v>{"Month":5;"Title":"may";"TGP":60,26232952;"TO":52,84680993;"TD":12,30539816;"TS_Subj":33,92177935;"TS_Obj":13,14115789};</v>
      </c>
    </row>
    <row r="55" spans="1:12" x14ac:dyDescent="0.25">
      <c r="A55">
        <v>2005</v>
      </c>
      <c r="B55">
        <v>6</v>
      </c>
      <c r="C55" t="s">
        <v>13</v>
      </c>
      <c r="D55">
        <v>59.361984509999999</v>
      </c>
      <c r="E55">
        <v>52.521528549999999</v>
      </c>
      <c r="F55">
        <v>11.523293929999999</v>
      </c>
      <c r="G55">
        <v>31.924701769999999</v>
      </c>
      <c r="H55">
        <v>13.402598360000001</v>
      </c>
      <c r="J55" t="str">
        <f t="shared" si="1"/>
        <v>"jun"</v>
      </c>
      <c r="K55" t="str">
        <f t="shared" si="2"/>
        <v/>
      </c>
      <c r="L55" s="1" t="str">
        <f t="shared" si="3"/>
        <v>{"Month":6;"Title":"jun";"TGP":59,36198451;"TO":52,52152855;"TD":11,52329393;"TS_Subj":31,92470177;"TS_Obj":13,40259836};</v>
      </c>
    </row>
    <row r="56" spans="1:12" x14ac:dyDescent="0.25">
      <c r="A56">
        <v>2005</v>
      </c>
      <c r="B56">
        <v>7</v>
      </c>
      <c r="C56" t="s">
        <v>14</v>
      </c>
      <c r="D56">
        <v>61.421992500000002</v>
      </c>
      <c r="E56">
        <v>54.053757400000002</v>
      </c>
      <c r="F56">
        <v>11.99608609</v>
      </c>
      <c r="G56">
        <v>33.914453260000002</v>
      </c>
      <c r="H56">
        <v>14.78596098</v>
      </c>
      <c r="J56" t="str">
        <f t="shared" si="1"/>
        <v>"jul"</v>
      </c>
      <c r="K56" t="str">
        <f t="shared" si="2"/>
        <v/>
      </c>
      <c r="L56" s="1" t="str">
        <f t="shared" si="3"/>
        <v>{"Month":7;"Title":"jul";"TGP":61,4219925;"TO":54,0537574;"TD":11,99608609;"TS_Subj":33,91445326;"TS_Obj":14,78596098};</v>
      </c>
    </row>
    <row r="57" spans="1:12" x14ac:dyDescent="0.25">
      <c r="A57">
        <v>2005</v>
      </c>
      <c r="B57">
        <v>8</v>
      </c>
      <c r="C57" t="s">
        <v>15</v>
      </c>
      <c r="D57">
        <v>60.122669639999998</v>
      </c>
      <c r="E57">
        <v>53.055625759999998</v>
      </c>
      <c r="F57">
        <v>11.754379910000001</v>
      </c>
      <c r="G57">
        <v>32.93230767</v>
      </c>
      <c r="H57">
        <v>13.624664299999999</v>
      </c>
      <c r="J57" t="str">
        <f t="shared" si="1"/>
        <v>"ago"</v>
      </c>
      <c r="K57" t="str">
        <f t="shared" si="2"/>
        <v/>
      </c>
      <c r="L57" s="1" t="str">
        <f t="shared" si="3"/>
        <v>{"Month":8;"Title":"ago";"TGP":60,12266964;"TO":53,05562576;"TD":11,75437991;"TS_Subj":32,93230767;"TS_Obj":13,6246643};</v>
      </c>
    </row>
    <row r="58" spans="1:12" x14ac:dyDescent="0.25">
      <c r="A58">
        <v>2005</v>
      </c>
      <c r="B58">
        <v>9</v>
      </c>
      <c r="C58" t="s">
        <v>16</v>
      </c>
      <c r="D58">
        <v>60.431030030000002</v>
      </c>
      <c r="E58">
        <v>53.679823470000002</v>
      </c>
      <c r="F58">
        <v>11.1717549</v>
      </c>
      <c r="G58">
        <v>32.966238619999999</v>
      </c>
      <c r="H58">
        <v>13.492661610000001</v>
      </c>
      <c r="J58" t="str">
        <f t="shared" si="1"/>
        <v>"sep"</v>
      </c>
      <c r="K58" t="str">
        <f t="shared" si="2"/>
        <v/>
      </c>
      <c r="L58" s="1" t="str">
        <f t="shared" si="3"/>
        <v>{"Month":9;"Title":"sep";"TGP":60,43103003;"TO":53,67982347;"TD":11,1717549;"TS_Subj":32,96623862;"TS_Obj":13,49266161};</v>
      </c>
    </row>
    <row r="59" spans="1:12" x14ac:dyDescent="0.25">
      <c r="A59">
        <v>2005</v>
      </c>
      <c r="B59">
        <v>10</v>
      </c>
      <c r="C59" t="s">
        <v>17</v>
      </c>
      <c r="D59">
        <v>61.549205440000001</v>
      </c>
      <c r="E59">
        <v>55.421974769999999</v>
      </c>
      <c r="F59">
        <v>9.9550118080000001</v>
      </c>
      <c r="G59">
        <v>32.417997380000003</v>
      </c>
      <c r="H59">
        <v>9.7880397899999991</v>
      </c>
      <c r="J59" t="str">
        <f t="shared" si="1"/>
        <v>"oct"</v>
      </c>
      <c r="K59" t="str">
        <f t="shared" si="2"/>
        <v/>
      </c>
      <c r="L59" s="1" t="str">
        <f t="shared" si="3"/>
        <v>{"Month":10;"Title":"oct";"TGP":61,54920544;"TO":55,42197477;"TD":9,955011808;"TS_Subj":32,41799738;"TS_Obj":9,78803979};</v>
      </c>
    </row>
    <row r="60" spans="1:12" x14ac:dyDescent="0.25">
      <c r="A60">
        <v>2005</v>
      </c>
      <c r="B60">
        <v>11</v>
      </c>
      <c r="C60" t="s">
        <v>18</v>
      </c>
      <c r="D60">
        <v>60.909651259999997</v>
      </c>
      <c r="E60">
        <v>54.692361959999999</v>
      </c>
      <c r="F60">
        <v>10.207395979999999</v>
      </c>
      <c r="G60">
        <v>31.48247297</v>
      </c>
      <c r="H60">
        <v>9.7636845460000004</v>
      </c>
      <c r="J60" t="str">
        <f t="shared" si="1"/>
        <v>"nov"</v>
      </c>
      <c r="K60" t="str">
        <f t="shared" si="2"/>
        <v/>
      </c>
      <c r="L60" s="1" t="str">
        <f t="shared" si="3"/>
        <v>{"Month":11;"Title":"nov";"TGP":60,90965126;"TO":54,69236196;"TD":10,20739598;"TS_Subj":31,48247297;"TS_Obj":9,763684546};</v>
      </c>
    </row>
    <row r="61" spans="1:12" x14ac:dyDescent="0.25">
      <c r="A61">
        <v>2005</v>
      </c>
      <c r="B61">
        <v>12</v>
      </c>
      <c r="C61" t="s">
        <v>19</v>
      </c>
      <c r="D61">
        <v>61.518993299999998</v>
      </c>
      <c r="E61">
        <v>55.161383569999998</v>
      </c>
      <c r="F61">
        <v>10.334385190000001</v>
      </c>
      <c r="G61">
        <v>31.401694769999999</v>
      </c>
      <c r="H61">
        <v>9.4292244069999995</v>
      </c>
      <c r="J61" t="str">
        <f t="shared" si="1"/>
        <v>"dic"</v>
      </c>
      <c r="K61" t="str">
        <f t="shared" si="2"/>
        <v/>
      </c>
      <c r="L61" s="1" t="str">
        <f t="shared" si="3"/>
        <v>{"Month":12;"Title":"dic";"TGP":61,5189933;"TO":55,16138357;"TD":10,33438519;"TS_Subj":31,40169477;"TS_Obj":9,429224407}]};</v>
      </c>
    </row>
    <row r="62" spans="1:12" x14ac:dyDescent="0.25">
      <c r="A62">
        <v>2006</v>
      </c>
      <c r="B62">
        <v>1</v>
      </c>
      <c r="C62" t="s">
        <v>8</v>
      </c>
      <c r="D62">
        <v>60.11532261</v>
      </c>
      <c r="E62">
        <v>52.05478351</v>
      </c>
      <c r="F62">
        <v>13.408460180000001</v>
      </c>
      <c r="G62">
        <v>28.37319286</v>
      </c>
      <c r="H62">
        <v>11.30965286</v>
      </c>
      <c r="J62" t="str">
        <f t="shared" si="1"/>
        <v>"ene"</v>
      </c>
      <c r="K62" t="str">
        <f t="shared" si="2"/>
        <v>{"Year":2006;"Months":[</v>
      </c>
      <c r="L62" s="1" t="str">
        <f t="shared" si="3"/>
        <v>{"Month":1;"Title":"ene";"TGP":60,11532261;"TO":52,05478351;"TD":13,40846018;"TS_Subj":28,37319286;"TS_Obj":11,30965286};</v>
      </c>
    </row>
    <row r="63" spans="1:12" x14ac:dyDescent="0.25">
      <c r="A63">
        <v>2006</v>
      </c>
      <c r="B63">
        <v>2</v>
      </c>
      <c r="C63" t="s">
        <v>9</v>
      </c>
      <c r="D63">
        <v>60.411543270000003</v>
      </c>
      <c r="E63">
        <v>52.558280140000001</v>
      </c>
      <c r="F63">
        <v>12.999601739999999</v>
      </c>
      <c r="G63">
        <v>30.531271929999999</v>
      </c>
      <c r="H63">
        <v>12.8632881</v>
      </c>
      <c r="J63" t="str">
        <f t="shared" si="1"/>
        <v>"feb"</v>
      </c>
      <c r="K63" t="str">
        <f t="shared" si="2"/>
        <v/>
      </c>
      <c r="L63" s="1" t="str">
        <f t="shared" si="3"/>
        <v>{"Month":2;"Title":"feb";"TGP":60,41154327;"TO":52,55828014;"TD":12,99960174;"TS_Subj":30,53127193;"TS_Obj":12,8632881};</v>
      </c>
    </row>
    <row r="64" spans="1:12" x14ac:dyDescent="0.25">
      <c r="A64">
        <v>2006</v>
      </c>
      <c r="B64">
        <v>3</v>
      </c>
      <c r="C64" t="s">
        <v>10</v>
      </c>
      <c r="D64">
        <v>60.861194599999997</v>
      </c>
      <c r="E64">
        <v>53.957040480000003</v>
      </c>
      <c r="F64">
        <v>11.344098929999999</v>
      </c>
      <c r="G64">
        <v>30.328801869999999</v>
      </c>
      <c r="H64">
        <v>13.981603959999999</v>
      </c>
      <c r="J64" t="str">
        <f t="shared" si="1"/>
        <v>"mar"</v>
      </c>
      <c r="K64" t="str">
        <f t="shared" si="2"/>
        <v/>
      </c>
      <c r="L64" s="1" t="str">
        <f t="shared" si="3"/>
        <v>{"Month":3;"Title":"mar";"TGP":60,8611946;"TO":53,95704048;"TD":11,34409893;"TS_Subj":30,32880187;"TS_Obj":13,98160396};</v>
      </c>
    </row>
    <row r="65" spans="1:12" x14ac:dyDescent="0.25">
      <c r="A65">
        <v>2006</v>
      </c>
      <c r="B65">
        <v>4</v>
      </c>
      <c r="C65" t="s">
        <v>11</v>
      </c>
      <c r="D65">
        <v>59.168051759999997</v>
      </c>
      <c r="E65">
        <v>52.062034169999997</v>
      </c>
      <c r="F65">
        <v>12.00988942</v>
      </c>
      <c r="G65">
        <v>31.751242139999999</v>
      </c>
      <c r="H65">
        <v>12.20089115</v>
      </c>
      <c r="J65" t="str">
        <f t="shared" si="1"/>
        <v>"abr"</v>
      </c>
      <c r="K65" t="str">
        <f t="shared" si="2"/>
        <v/>
      </c>
      <c r="L65" s="1" t="str">
        <f t="shared" si="3"/>
        <v>{"Month":4;"Title":"abr";"TGP":59,16805176;"TO":52,06203417;"TD":12,00988942;"TS_Subj":31,75124214;"TS_Obj":12,20089115};</v>
      </c>
    </row>
    <row r="66" spans="1:12" x14ac:dyDescent="0.25">
      <c r="A66">
        <v>2006</v>
      </c>
      <c r="B66">
        <v>5</v>
      </c>
      <c r="C66" t="s">
        <v>12</v>
      </c>
      <c r="D66">
        <v>59.775216870000001</v>
      </c>
      <c r="E66">
        <v>52.671721810000001</v>
      </c>
      <c r="F66">
        <v>11.883684430000001</v>
      </c>
      <c r="G66">
        <v>34.645237309999999</v>
      </c>
      <c r="H66">
        <v>13.694272939999999</v>
      </c>
      <c r="J66" t="str">
        <f t="shared" si="1"/>
        <v>"may"</v>
      </c>
      <c r="K66" t="str">
        <f t="shared" si="2"/>
        <v/>
      </c>
      <c r="L66" s="1" t="str">
        <f t="shared" si="3"/>
        <v>{"Month":5;"Title":"may";"TGP":59,77521687;"TO":52,67172181;"TD":11,88368443;"TS_Subj":34,64523731;"TS_Obj":13,69427294};</v>
      </c>
    </row>
    <row r="67" spans="1:12" x14ac:dyDescent="0.25">
      <c r="A67">
        <v>2006</v>
      </c>
      <c r="B67">
        <v>6</v>
      </c>
      <c r="C67" t="s">
        <v>13</v>
      </c>
      <c r="D67">
        <v>60.670241670000003</v>
      </c>
      <c r="E67">
        <v>54.234890470000003</v>
      </c>
      <c r="F67">
        <v>10.6070967</v>
      </c>
      <c r="G67">
        <v>34.752448289999997</v>
      </c>
      <c r="H67">
        <v>14.3076945</v>
      </c>
      <c r="J67" t="str">
        <f t="shared" ref="J67:J130" si="4">$I$1&amp;C67&amp;$I$1</f>
        <v>"jun"</v>
      </c>
      <c r="K67" t="str">
        <f t="shared" ref="K67:K130" si="5">IF(B67=1,"{"&amp;$K$1&amp;":"&amp;A67&amp;";"&amp;$I$1&amp;"Months"&amp;$I$1&amp;":[","")</f>
        <v/>
      </c>
      <c r="L67" s="1" t="str">
        <f t="shared" ref="L67:L130" si="6">"{"&amp;$L$1&amp;":"&amp;B67&amp;$M$1&amp;J67&amp;$N$1&amp;D67&amp;$O$1&amp;E67&amp;$P$1&amp;F67&amp;$Q$1&amp;G67&amp;$R$1&amp;H67&amp;"}"&amp;IF(B67=12,"]};",";")</f>
        <v>{"Month":6;"Title":"jun";"TGP":60,67024167;"TO":54,23489047;"TD":10,6070967;"TS_Subj":34,75244829;"TS_Obj":14,3076945};</v>
      </c>
    </row>
    <row r="68" spans="1:12" x14ac:dyDescent="0.25">
      <c r="A68">
        <v>2006</v>
      </c>
      <c r="B68">
        <v>7</v>
      </c>
      <c r="C68" t="s">
        <v>14</v>
      </c>
      <c r="D68">
        <v>60.331633119999999</v>
      </c>
      <c r="E68">
        <v>52.857065640000002</v>
      </c>
      <c r="F68">
        <v>12.38913501</v>
      </c>
      <c r="G68">
        <v>29.622515079999999</v>
      </c>
      <c r="H68">
        <v>10.070549440000001</v>
      </c>
      <c r="J68" t="str">
        <f t="shared" si="4"/>
        <v>"jul"</v>
      </c>
      <c r="K68" t="str">
        <f t="shared" si="5"/>
        <v/>
      </c>
      <c r="L68" s="1" t="str">
        <f t="shared" si="6"/>
        <v>{"Month":7;"Title":"jul";"TGP":60,33163312;"TO":52,85706564;"TD":12,38913501;"TS_Subj":29,62251508;"TS_Obj":10,07054944};</v>
      </c>
    </row>
    <row r="69" spans="1:12" x14ac:dyDescent="0.25">
      <c r="A69">
        <v>2006</v>
      </c>
      <c r="B69">
        <v>8</v>
      </c>
      <c r="C69" t="s">
        <v>15</v>
      </c>
      <c r="D69">
        <v>58.334308700000001</v>
      </c>
      <c r="E69">
        <v>50.872056069999999</v>
      </c>
      <c r="F69">
        <v>12.792219190000001</v>
      </c>
      <c r="G69">
        <v>42.412131819999999</v>
      </c>
      <c r="H69">
        <v>11.94228451</v>
      </c>
      <c r="J69" t="str">
        <f t="shared" si="4"/>
        <v>"ago"</v>
      </c>
      <c r="K69" t="str">
        <f t="shared" si="5"/>
        <v/>
      </c>
      <c r="L69" s="1" t="str">
        <f t="shared" si="6"/>
        <v>{"Month":8;"Title":"ago";"TGP":58,3343087;"TO":50,87205607;"TD":12,79221919;"TS_Subj":42,41213182;"TS_Obj":11,94228451};</v>
      </c>
    </row>
    <row r="70" spans="1:12" x14ac:dyDescent="0.25">
      <c r="A70">
        <v>2006</v>
      </c>
      <c r="B70">
        <v>9</v>
      </c>
      <c r="C70" t="s">
        <v>16</v>
      </c>
      <c r="D70">
        <v>57.382126460000002</v>
      </c>
      <c r="E70">
        <v>49.985471420000003</v>
      </c>
      <c r="F70">
        <v>12.890167079999999</v>
      </c>
      <c r="G70">
        <v>36.192970770000002</v>
      </c>
      <c r="H70">
        <v>9.4339685180000004</v>
      </c>
      <c r="J70" t="str">
        <f t="shared" si="4"/>
        <v>"sep"</v>
      </c>
      <c r="K70" t="str">
        <f t="shared" si="5"/>
        <v/>
      </c>
      <c r="L70" s="1" t="str">
        <f t="shared" si="6"/>
        <v>{"Month":9;"Title":"sep";"TGP":57,38212646;"TO":49,98547142;"TD":12,89016708;"TS_Subj":36,19297077;"TS_Obj":9,433968518};</v>
      </c>
    </row>
    <row r="71" spans="1:12" x14ac:dyDescent="0.25">
      <c r="A71">
        <v>2006</v>
      </c>
      <c r="B71">
        <v>10</v>
      </c>
      <c r="C71" t="s">
        <v>17</v>
      </c>
      <c r="D71">
        <v>57.762931600000002</v>
      </c>
      <c r="E71">
        <v>51.204105679999998</v>
      </c>
      <c r="F71">
        <v>11.35472642</v>
      </c>
      <c r="G71">
        <v>37.701597280000001</v>
      </c>
      <c r="H71">
        <v>9.7520934209999997</v>
      </c>
      <c r="J71" t="str">
        <f t="shared" si="4"/>
        <v>"oct"</v>
      </c>
      <c r="K71" t="str">
        <f t="shared" si="5"/>
        <v/>
      </c>
      <c r="L71" s="1" t="str">
        <f t="shared" si="6"/>
        <v>{"Month":10;"Title":"oct";"TGP":57,7629316;"TO":51,20410568;"TD":11,35472642;"TS_Subj":37,70159728;"TS_Obj":9,752093421};</v>
      </c>
    </row>
    <row r="72" spans="1:12" x14ac:dyDescent="0.25">
      <c r="A72">
        <v>2006</v>
      </c>
      <c r="B72">
        <v>11</v>
      </c>
      <c r="C72" t="s">
        <v>18</v>
      </c>
      <c r="D72">
        <v>57.064595109999999</v>
      </c>
      <c r="E72">
        <v>50.822794440000003</v>
      </c>
      <c r="F72">
        <v>10.93813188</v>
      </c>
      <c r="G72">
        <v>35.275472110000003</v>
      </c>
      <c r="H72">
        <v>9.3346759929999994</v>
      </c>
      <c r="J72" t="str">
        <f t="shared" si="4"/>
        <v>"nov"</v>
      </c>
      <c r="K72" t="str">
        <f t="shared" si="5"/>
        <v/>
      </c>
      <c r="L72" s="1" t="str">
        <f t="shared" si="6"/>
        <v>{"Month":11;"Title":"nov";"TGP":57,06459511;"TO":50,82279444;"TD":10,93813188;"TS_Subj":35,27547211;"TS_Obj":9,334675993};</v>
      </c>
    </row>
    <row r="73" spans="1:12" x14ac:dyDescent="0.25">
      <c r="A73">
        <v>2006</v>
      </c>
      <c r="B73">
        <v>12</v>
      </c>
      <c r="C73" t="s">
        <v>19</v>
      </c>
      <c r="D73">
        <v>57.676749190000002</v>
      </c>
      <c r="E73">
        <v>50.880836379999998</v>
      </c>
      <c r="F73">
        <v>11.78275451</v>
      </c>
      <c r="G73">
        <v>35.926898020000003</v>
      </c>
      <c r="H73">
        <v>8.1770110809999998</v>
      </c>
      <c r="J73" t="str">
        <f t="shared" si="4"/>
        <v>"dic"</v>
      </c>
      <c r="K73" t="str">
        <f t="shared" si="5"/>
        <v/>
      </c>
      <c r="L73" s="1" t="str">
        <f t="shared" si="6"/>
        <v>{"Month":12;"Title":"dic";"TGP":57,67674919;"TO":50,88083638;"TD":11,78275451;"TS_Subj":35,92689802;"TS_Obj":8,177011081}]};</v>
      </c>
    </row>
    <row r="74" spans="1:12" x14ac:dyDescent="0.25">
      <c r="A74">
        <v>2007</v>
      </c>
      <c r="B74">
        <v>1</v>
      </c>
      <c r="C74" t="s">
        <v>8</v>
      </c>
      <c r="D74">
        <v>56.868328230000003</v>
      </c>
      <c r="E74">
        <v>48.966305259999999</v>
      </c>
      <c r="F74">
        <v>13.895296760000001</v>
      </c>
      <c r="G74">
        <v>31.683278619999999</v>
      </c>
      <c r="H74">
        <v>8.2622278100000006</v>
      </c>
      <c r="J74" t="str">
        <f t="shared" si="4"/>
        <v>"ene"</v>
      </c>
      <c r="K74" t="str">
        <f t="shared" si="5"/>
        <v>{"Year":2007;"Months":[</v>
      </c>
      <c r="L74" s="1" t="str">
        <f t="shared" si="6"/>
        <v>{"Month":1;"Title":"ene";"TGP":56,86832823;"TO":48,96630526;"TD":13,89529676;"TS_Subj":31,68327862;"TS_Obj":8,26222781};</v>
      </c>
    </row>
    <row r="75" spans="1:12" x14ac:dyDescent="0.25">
      <c r="A75">
        <v>2007</v>
      </c>
      <c r="B75">
        <v>2</v>
      </c>
      <c r="C75" t="s">
        <v>9</v>
      </c>
      <c r="D75">
        <v>58.748649890000003</v>
      </c>
      <c r="E75">
        <v>51.213443339999998</v>
      </c>
      <c r="F75">
        <v>12.82617306</v>
      </c>
      <c r="G75">
        <v>34.556621159999999</v>
      </c>
      <c r="H75">
        <v>9.3360779740000002</v>
      </c>
      <c r="J75" t="str">
        <f t="shared" si="4"/>
        <v>"feb"</v>
      </c>
      <c r="K75" t="str">
        <f t="shared" si="5"/>
        <v/>
      </c>
      <c r="L75" s="1" t="str">
        <f t="shared" si="6"/>
        <v>{"Month":2;"Title":"feb";"TGP":58,74864989;"TO":51,21344334;"TD":12,82617306;"TS_Subj":34,55662116;"TS_Obj":9,336077974};</v>
      </c>
    </row>
    <row r="76" spans="1:12" x14ac:dyDescent="0.25">
      <c r="A76">
        <v>2007</v>
      </c>
      <c r="B76">
        <v>3</v>
      </c>
      <c r="C76" t="s">
        <v>10</v>
      </c>
      <c r="D76">
        <v>57.254619859999998</v>
      </c>
      <c r="E76">
        <v>50.425606180000003</v>
      </c>
      <c r="F76">
        <v>11.92744036</v>
      </c>
      <c r="G76">
        <v>33.774197280000003</v>
      </c>
      <c r="H76">
        <v>8.8267600949999991</v>
      </c>
      <c r="J76" t="str">
        <f t="shared" si="4"/>
        <v>"mar"</v>
      </c>
      <c r="K76" t="str">
        <f t="shared" si="5"/>
        <v/>
      </c>
      <c r="L76" s="1" t="str">
        <f t="shared" si="6"/>
        <v>{"Month":3;"Title":"mar";"TGP":57,25461986;"TO":50,42560618;"TD":11,92744036;"TS_Subj":33,77419728;"TS_Obj":8,826760095};</v>
      </c>
    </row>
    <row r="77" spans="1:12" x14ac:dyDescent="0.25">
      <c r="A77">
        <v>2007</v>
      </c>
      <c r="B77">
        <v>4</v>
      </c>
      <c r="C77" t="s">
        <v>11</v>
      </c>
      <c r="D77">
        <v>58.697595059999998</v>
      </c>
      <c r="E77">
        <v>52.297346820000001</v>
      </c>
      <c r="F77">
        <v>10.90377088</v>
      </c>
      <c r="G77">
        <v>34.9461783</v>
      </c>
      <c r="H77">
        <v>9.3861397620000009</v>
      </c>
      <c r="J77" t="str">
        <f t="shared" si="4"/>
        <v>"abr"</v>
      </c>
      <c r="K77" t="str">
        <f t="shared" si="5"/>
        <v/>
      </c>
      <c r="L77" s="1" t="str">
        <f t="shared" si="6"/>
        <v>{"Month":4;"Title":"abr";"TGP":58,69759506;"TO":52,29734682;"TD":10,90377088;"TS_Subj":34,9461783;"TS_Obj":9,386139762};</v>
      </c>
    </row>
    <row r="78" spans="1:12" x14ac:dyDescent="0.25">
      <c r="A78">
        <v>2007</v>
      </c>
      <c r="B78">
        <v>5</v>
      </c>
      <c r="C78" t="s">
        <v>12</v>
      </c>
      <c r="D78">
        <v>57.731366049999998</v>
      </c>
      <c r="E78">
        <v>51.075594340000002</v>
      </c>
      <c r="F78">
        <v>11.5288658</v>
      </c>
      <c r="G78">
        <v>35.194918899999998</v>
      </c>
      <c r="H78">
        <v>9.3989997209999991</v>
      </c>
      <c r="J78" t="str">
        <f t="shared" si="4"/>
        <v>"may"</v>
      </c>
      <c r="K78" t="str">
        <f t="shared" si="5"/>
        <v/>
      </c>
      <c r="L78" s="1" t="str">
        <f t="shared" si="6"/>
        <v>{"Month":5;"Title":"may";"TGP":57,73136605;"TO":51,07559434;"TD":11,5288658;"TS_Subj":35,1949189;"TS_Obj":9,398999721};</v>
      </c>
    </row>
    <row r="79" spans="1:12" x14ac:dyDescent="0.25">
      <c r="A79">
        <v>2007</v>
      </c>
      <c r="B79">
        <v>6</v>
      </c>
      <c r="C79" t="s">
        <v>13</v>
      </c>
      <c r="D79">
        <v>58.011330149999999</v>
      </c>
      <c r="E79">
        <v>51.534466129999998</v>
      </c>
      <c r="F79">
        <v>11.16483113</v>
      </c>
      <c r="G79">
        <v>35.169619310000002</v>
      </c>
      <c r="H79">
        <v>9.1400682339999992</v>
      </c>
      <c r="J79" t="str">
        <f t="shared" si="4"/>
        <v>"jun"</v>
      </c>
      <c r="K79" t="str">
        <f t="shared" si="5"/>
        <v/>
      </c>
      <c r="L79" s="1" t="str">
        <f t="shared" si="6"/>
        <v>{"Month":6;"Title":"jun";"TGP":58,01133015;"TO":51,53446613;"TD":11,16483113;"TS_Subj":35,16961931;"TS_Obj":9,140068234};</v>
      </c>
    </row>
    <row r="80" spans="1:12" x14ac:dyDescent="0.25">
      <c r="A80">
        <v>2007</v>
      </c>
      <c r="B80">
        <v>7</v>
      </c>
      <c r="C80" t="s">
        <v>14</v>
      </c>
      <c r="D80">
        <v>57.788725919999997</v>
      </c>
      <c r="E80">
        <v>51.339788499999997</v>
      </c>
      <c r="F80">
        <v>11.15951312</v>
      </c>
      <c r="G80">
        <v>36.310828780000001</v>
      </c>
      <c r="H80">
        <v>9.5235757450000005</v>
      </c>
      <c r="J80" t="str">
        <f t="shared" si="4"/>
        <v>"jul"</v>
      </c>
      <c r="K80" t="str">
        <f t="shared" si="5"/>
        <v/>
      </c>
      <c r="L80" s="1" t="str">
        <f t="shared" si="6"/>
        <v>{"Month":7;"Title":"jul";"TGP":57,78872592;"TO":51,3397885;"TD":11,15951312;"TS_Subj":36,31082878;"TS_Obj":9,523575745};</v>
      </c>
    </row>
    <row r="81" spans="1:12" x14ac:dyDescent="0.25">
      <c r="A81">
        <v>2007</v>
      </c>
      <c r="B81">
        <v>8</v>
      </c>
      <c r="C81" t="s">
        <v>15</v>
      </c>
      <c r="D81">
        <v>57.424680500000001</v>
      </c>
      <c r="E81">
        <v>51.262215380000001</v>
      </c>
      <c r="F81">
        <v>10.731387740000001</v>
      </c>
      <c r="G81">
        <v>36.443582079999999</v>
      </c>
      <c r="H81">
        <v>9.5423932570000005</v>
      </c>
      <c r="J81" t="str">
        <f t="shared" si="4"/>
        <v>"ago"</v>
      </c>
      <c r="K81" t="str">
        <f t="shared" si="5"/>
        <v/>
      </c>
      <c r="L81" s="1" t="str">
        <f t="shared" si="6"/>
        <v>{"Month":8;"Title":"ago";"TGP":57,4246805;"TO":51,26221538;"TD":10,73138774;"TS_Subj":36,44358208;"TS_Obj":9,542393257};</v>
      </c>
    </row>
    <row r="82" spans="1:12" x14ac:dyDescent="0.25">
      <c r="A82">
        <v>2007</v>
      </c>
      <c r="B82">
        <v>9</v>
      </c>
      <c r="C82" t="s">
        <v>16</v>
      </c>
      <c r="D82">
        <v>58.39554322</v>
      </c>
      <c r="E82">
        <v>52.067644129999998</v>
      </c>
      <c r="F82">
        <v>10.836275779999999</v>
      </c>
      <c r="G82">
        <v>36.765226630000001</v>
      </c>
      <c r="H82">
        <v>9.1476850970000001</v>
      </c>
      <c r="J82" t="str">
        <f t="shared" si="4"/>
        <v>"sep"</v>
      </c>
      <c r="K82" t="str">
        <f t="shared" si="5"/>
        <v/>
      </c>
      <c r="L82" s="1" t="str">
        <f t="shared" si="6"/>
        <v>{"Month":9;"Title":"sep";"TGP":58,39554322;"TO":52,06764413;"TD":10,83627578;"TS_Subj":36,76522663;"TS_Obj":9,147685097};</v>
      </c>
    </row>
    <row r="83" spans="1:12" x14ac:dyDescent="0.25">
      <c r="A83">
        <v>2007</v>
      </c>
      <c r="B83">
        <v>10</v>
      </c>
      <c r="C83" t="s">
        <v>17</v>
      </c>
      <c r="D83">
        <v>60.651229450000002</v>
      </c>
      <c r="E83">
        <v>54.557082489999999</v>
      </c>
      <c r="F83">
        <v>10.04785397</v>
      </c>
      <c r="G83">
        <v>34.806505909999998</v>
      </c>
      <c r="H83">
        <v>9.4317501159999999</v>
      </c>
      <c r="J83" t="str">
        <f t="shared" si="4"/>
        <v>"oct"</v>
      </c>
      <c r="K83" t="str">
        <f t="shared" si="5"/>
        <v/>
      </c>
      <c r="L83" s="1" t="str">
        <f t="shared" si="6"/>
        <v>{"Month":10;"Title":"oct";"TGP":60,65122945;"TO":54,55708249;"TD":10,04785397;"TS_Subj":34,80650591;"TS_Obj":9,431750116};</v>
      </c>
    </row>
    <row r="84" spans="1:12" x14ac:dyDescent="0.25">
      <c r="A84">
        <v>2007</v>
      </c>
      <c r="B84">
        <v>11</v>
      </c>
      <c r="C84" t="s">
        <v>18</v>
      </c>
      <c r="D84">
        <v>59.674557200000002</v>
      </c>
      <c r="E84">
        <v>54.055751829999998</v>
      </c>
      <c r="F84">
        <v>9.4157470720000003</v>
      </c>
      <c r="G84">
        <v>36.451693249999998</v>
      </c>
      <c r="H84">
        <v>10.43380584</v>
      </c>
      <c r="J84" t="str">
        <f t="shared" si="4"/>
        <v>"nov"</v>
      </c>
      <c r="K84" t="str">
        <f t="shared" si="5"/>
        <v/>
      </c>
      <c r="L84" s="1" t="str">
        <f t="shared" si="6"/>
        <v>{"Month":11;"Title":"nov";"TGP":59,6745572;"TO":54,05575183;"TD":9,415747072;"TS_Subj":36,45169325;"TS_Obj":10,43380584};</v>
      </c>
    </row>
    <row r="85" spans="1:12" x14ac:dyDescent="0.25">
      <c r="A85">
        <v>2007</v>
      </c>
      <c r="B85">
        <v>12</v>
      </c>
      <c r="C85" t="s">
        <v>19</v>
      </c>
      <c r="D85">
        <v>58.187200339999997</v>
      </c>
      <c r="E85">
        <v>52.430235779999997</v>
      </c>
      <c r="F85">
        <v>9.8938675929999995</v>
      </c>
      <c r="G85">
        <v>34.304063030000002</v>
      </c>
      <c r="H85">
        <v>9.5615844209999992</v>
      </c>
      <c r="J85" t="str">
        <f t="shared" si="4"/>
        <v>"dic"</v>
      </c>
      <c r="K85" t="str">
        <f t="shared" si="5"/>
        <v/>
      </c>
      <c r="L85" s="1" t="str">
        <f t="shared" si="6"/>
        <v>{"Month":12;"Title":"dic";"TGP":58,18720034;"TO":52,43023578;"TD":9,893867593;"TS_Subj":34,30406303;"TS_Obj":9,561584421}]};</v>
      </c>
    </row>
    <row r="86" spans="1:12" x14ac:dyDescent="0.25">
      <c r="A86">
        <v>2008</v>
      </c>
      <c r="B86">
        <v>1</v>
      </c>
      <c r="C86" t="s">
        <v>8</v>
      </c>
      <c r="D86">
        <v>57.673375159999999</v>
      </c>
      <c r="E86">
        <v>50.130255920000003</v>
      </c>
      <c r="F86">
        <v>13.079032079999999</v>
      </c>
      <c r="G86">
        <v>31.87857863</v>
      </c>
      <c r="H86">
        <v>10.26117116</v>
      </c>
      <c r="J86" t="str">
        <f t="shared" si="4"/>
        <v>"ene"</v>
      </c>
      <c r="K86" t="str">
        <f t="shared" si="5"/>
        <v>{"Year":2008;"Months":[</v>
      </c>
      <c r="L86" s="1" t="str">
        <f t="shared" si="6"/>
        <v>{"Month":1;"Title":"ene";"TGP":57,67337516;"TO":50,13025592;"TD":13,07903208;"TS_Subj":31,87857863;"TS_Obj":10,26117116};</v>
      </c>
    </row>
    <row r="87" spans="1:12" x14ac:dyDescent="0.25">
      <c r="A87">
        <v>2008</v>
      </c>
      <c r="B87">
        <v>2</v>
      </c>
      <c r="C87" t="s">
        <v>9</v>
      </c>
      <c r="D87">
        <v>58.966641439999997</v>
      </c>
      <c r="E87">
        <v>51.899192759999998</v>
      </c>
      <c r="F87">
        <v>11.985498079999999</v>
      </c>
      <c r="G87">
        <v>31.769653569999999</v>
      </c>
      <c r="H87">
        <v>11.065911829999999</v>
      </c>
      <c r="J87" t="str">
        <f t="shared" si="4"/>
        <v>"feb"</v>
      </c>
      <c r="K87" t="str">
        <f t="shared" si="5"/>
        <v/>
      </c>
      <c r="L87" s="1" t="str">
        <f t="shared" si="6"/>
        <v>{"Month":2;"Title":"feb";"TGP":58,96664144;"TO":51,89919276;"TD":11,98549808;"TS_Subj":31,76965357;"TS_Obj":11,06591183};</v>
      </c>
    </row>
    <row r="88" spans="1:12" x14ac:dyDescent="0.25">
      <c r="A88">
        <v>2008</v>
      </c>
      <c r="B88">
        <v>3</v>
      </c>
      <c r="C88" t="s">
        <v>10</v>
      </c>
      <c r="D88">
        <v>59.704186720000003</v>
      </c>
      <c r="E88">
        <v>53.00268835</v>
      </c>
      <c r="F88">
        <v>11.224503240000001</v>
      </c>
      <c r="G88">
        <v>30.331362760000001</v>
      </c>
      <c r="H88">
        <v>10.077197569999999</v>
      </c>
      <c r="J88" t="str">
        <f t="shared" si="4"/>
        <v>"mar"</v>
      </c>
      <c r="K88" t="str">
        <f t="shared" si="5"/>
        <v/>
      </c>
      <c r="L88" s="1" t="str">
        <f t="shared" si="6"/>
        <v>{"Month":3;"Title":"mar";"TGP":59,70418672;"TO":53,00268835;"TD":11,22450324;"TS_Subj":30,33136276;"TS_Obj":10,07719757};</v>
      </c>
    </row>
    <row r="89" spans="1:12" x14ac:dyDescent="0.25">
      <c r="A89">
        <v>2008</v>
      </c>
      <c r="B89">
        <v>4</v>
      </c>
      <c r="C89" t="s">
        <v>11</v>
      </c>
      <c r="D89">
        <v>59.560972919999998</v>
      </c>
      <c r="E89">
        <v>52.932282620000002</v>
      </c>
      <c r="F89">
        <v>11.12925622</v>
      </c>
      <c r="G89">
        <v>28.500780519999999</v>
      </c>
      <c r="H89">
        <v>9.2096866320000004</v>
      </c>
      <c r="J89" t="str">
        <f t="shared" si="4"/>
        <v>"abr"</v>
      </c>
      <c r="K89" t="str">
        <f t="shared" si="5"/>
        <v/>
      </c>
      <c r="L89" s="1" t="str">
        <f t="shared" si="6"/>
        <v>{"Month":4;"Title":"abr";"TGP":59,56097292;"TO":52,93228262;"TD":11,12925622;"TS_Subj":28,50078052;"TS_Obj":9,209686632};</v>
      </c>
    </row>
    <row r="90" spans="1:12" x14ac:dyDescent="0.25">
      <c r="A90">
        <v>2008</v>
      </c>
      <c r="B90">
        <v>5</v>
      </c>
      <c r="C90" t="s">
        <v>12</v>
      </c>
      <c r="D90">
        <v>59.154495920000002</v>
      </c>
      <c r="E90">
        <v>52.743203020000003</v>
      </c>
      <c r="F90">
        <v>10.838217459999999</v>
      </c>
      <c r="G90">
        <v>30.82538237</v>
      </c>
      <c r="H90">
        <v>9.7145063839999999</v>
      </c>
      <c r="J90" t="str">
        <f t="shared" si="4"/>
        <v>"may"</v>
      </c>
      <c r="K90" t="str">
        <f t="shared" si="5"/>
        <v/>
      </c>
      <c r="L90" s="1" t="str">
        <f t="shared" si="6"/>
        <v>{"Month":5;"Title":"may";"TGP":59,15449592;"TO":52,74320302;"TD":10,83821746;"TS_Subj":30,82538237;"TS_Obj":9,714506384};</v>
      </c>
    </row>
    <row r="91" spans="1:12" x14ac:dyDescent="0.25">
      <c r="A91">
        <v>2008</v>
      </c>
      <c r="B91">
        <v>6</v>
      </c>
      <c r="C91" t="s">
        <v>13</v>
      </c>
      <c r="D91">
        <v>57.164713220000003</v>
      </c>
      <c r="E91">
        <v>50.77799194</v>
      </c>
      <c r="F91">
        <v>11.17248897</v>
      </c>
      <c r="G91">
        <v>29.045006430000001</v>
      </c>
      <c r="H91">
        <v>9.1559867639999997</v>
      </c>
      <c r="J91" t="str">
        <f t="shared" si="4"/>
        <v>"jun"</v>
      </c>
      <c r="K91" t="str">
        <f t="shared" si="5"/>
        <v/>
      </c>
      <c r="L91" s="1" t="str">
        <f t="shared" si="6"/>
        <v>{"Month":6;"Title":"jun";"TGP":57,16471322;"TO":50,77799194;"TD":11,17248897;"TS_Subj":29,04500643;"TS_Obj":9,155986764};</v>
      </c>
    </row>
    <row r="92" spans="1:12" x14ac:dyDescent="0.25">
      <c r="A92">
        <v>2008</v>
      </c>
      <c r="B92">
        <v>7</v>
      </c>
      <c r="C92" t="s">
        <v>14</v>
      </c>
      <c r="D92">
        <v>58.694254290000003</v>
      </c>
      <c r="E92">
        <v>51.613478620000002</v>
      </c>
      <c r="F92">
        <v>12.06383104</v>
      </c>
      <c r="G92">
        <v>28.046650629999998</v>
      </c>
      <c r="H92">
        <v>9.4980502100000006</v>
      </c>
      <c r="J92" t="str">
        <f t="shared" si="4"/>
        <v>"jul"</v>
      </c>
      <c r="K92" t="str">
        <f t="shared" si="5"/>
        <v/>
      </c>
      <c r="L92" s="1" t="str">
        <f t="shared" si="6"/>
        <v>{"Month":7;"Title":"jul";"TGP":58,69425429;"TO":51,61347862;"TD":12,06383104;"TS_Subj":28,04665063;"TS_Obj":9,49805021};</v>
      </c>
    </row>
    <row r="93" spans="1:12" x14ac:dyDescent="0.25">
      <c r="A93">
        <v>2008</v>
      </c>
      <c r="B93">
        <v>8</v>
      </c>
      <c r="C93" t="s">
        <v>15</v>
      </c>
      <c r="D93">
        <v>57.982623689999997</v>
      </c>
      <c r="E93">
        <v>51.4793205</v>
      </c>
      <c r="F93">
        <v>11.215946779999999</v>
      </c>
      <c r="G93">
        <v>29.416994930000001</v>
      </c>
      <c r="H93">
        <v>9.618006823</v>
      </c>
      <c r="J93" t="str">
        <f t="shared" si="4"/>
        <v>"ago"</v>
      </c>
      <c r="K93" t="str">
        <f t="shared" si="5"/>
        <v/>
      </c>
      <c r="L93" s="1" t="str">
        <f t="shared" si="6"/>
        <v>{"Month":8;"Title":"ago";"TGP":57,98262369;"TO":51,4793205;"TD":11,21594678;"TS_Subj":29,41699493;"TS_Obj":9,618006823};</v>
      </c>
    </row>
    <row r="94" spans="1:12" x14ac:dyDescent="0.25">
      <c r="A94">
        <v>2008</v>
      </c>
      <c r="B94">
        <v>9</v>
      </c>
      <c r="C94" t="s">
        <v>16</v>
      </c>
      <c r="D94">
        <v>58.519718159999996</v>
      </c>
      <c r="E94">
        <v>52.112735129999997</v>
      </c>
      <c r="F94">
        <v>10.948422519999999</v>
      </c>
      <c r="G94">
        <v>29.434855630000001</v>
      </c>
      <c r="H94">
        <v>9.3005884539999997</v>
      </c>
      <c r="J94" t="str">
        <f t="shared" si="4"/>
        <v>"sep"</v>
      </c>
      <c r="K94" t="str">
        <f t="shared" si="5"/>
        <v/>
      </c>
      <c r="L94" s="1" t="str">
        <f t="shared" si="6"/>
        <v>{"Month":9;"Title":"sep";"TGP":58,51971816;"TO":52,11273513;"TD":10,94842252;"TS_Subj":29,43485563;"TS_Obj":9,300588454};</v>
      </c>
    </row>
    <row r="95" spans="1:12" x14ac:dyDescent="0.25">
      <c r="A95">
        <v>2008</v>
      </c>
      <c r="B95">
        <v>10</v>
      </c>
      <c r="C95" t="s">
        <v>17</v>
      </c>
      <c r="D95">
        <v>58.654631129999999</v>
      </c>
      <c r="E95">
        <v>52.716889510000001</v>
      </c>
      <c r="F95">
        <v>10.12322728</v>
      </c>
      <c r="G95">
        <v>27.153906989999999</v>
      </c>
      <c r="H95">
        <v>9.3822092030000004</v>
      </c>
      <c r="J95" t="str">
        <f t="shared" si="4"/>
        <v>"oct"</v>
      </c>
      <c r="K95" t="str">
        <f t="shared" si="5"/>
        <v/>
      </c>
      <c r="L95" s="1" t="str">
        <f t="shared" si="6"/>
        <v>{"Month":10;"Title":"oct";"TGP":58,65463113;"TO":52,71688951;"TD":10,12322728;"TS_Subj":27,15390699;"TS_Obj":9,382209203};</v>
      </c>
    </row>
    <row r="96" spans="1:12" x14ac:dyDescent="0.25">
      <c r="A96">
        <v>2008</v>
      </c>
      <c r="B96">
        <v>11</v>
      </c>
      <c r="C96" t="s">
        <v>18</v>
      </c>
      <c r="D96">
        <v>57.543495960000001</v>
      </c>
      <c r="E96">
        <v>51.327966689999997</v>
      </c>
      <c r="F96">
        <v>10.80144535</v>
      </c>
      <c r="G96">
        <v>26.592925699999999</v>
      </c>
      <c r="H96">
        <v>9.172121486</v>
      </c>
      <c r="J96" t="str">
        <f t="shared" si="4"/>
        <v>"nov"</v>
      </c>
      <c r="K96" t="str">
        <f t="shared" si="5"/>
        <v/>
      </c>
      <c r="L96" s="1" t="str">
        <f t="shared" si="6"/>
        <v>{"Month":11;"Title":"nov";"TGP":57,54349596;"TO":51,32796669;"TD":10,80144535;"TS_Subj":26,5929257;"TS_Obj":9,172121486};</v>
      </c>
    </row>
    <row r="97" spans="1:12" x14ac:dyDescent="0.25">
      <c r="A97">
        <v>2008</v>
      </c>
      <c r="B97">
        <v>12</v>
      </c>
      <c r="C97" t="s">
        <v>19</v>
      </c>
      <c r="D97">
        <v>58.415633409999998</v>
      </c>
      <c r="E97">
        <v>52.21959923</v>
      </c>
      <c r="F97">
        <v>10.60680816</v>
      </c>
      <c r="G97">
        <v>27.115740809999998</v>
      </c>
      <c r="H97">
        <v>8.8894283870000006</v>
      </c>
      <c r="J97" t="str">
        <f t="shared" si="4"/>
        <v>"dic"</v>
      </c>
      <c r="K97" t="str">
        <f t="shared" si="5"/>
        <v/>
      </c>
      <c r="L97" s="1" t="str">
        <f t="shared" si="6"/>
        <v>{"Month":12;"Title":"dic";"TGP":58,41563341;"TO":52,21959923;"TD":10,60680816;"TS_Subj":27,11574081;"TS_Obj":8,889428387}]};</v>
      </c>
    </row>
    <row r="98" spans="1:12" x14ac:dyDescent="0.25">
      <c r="A98">
        <v>2009</v>
      </c>
      <c r="B98">
        <v>1</v>
      </c>
      <c r="C98" t="s">
        <v>8</v>
      </c>
      <c r="D98">
        <v>58.687412590000001</v>
      </c>
      <c r="E98">
        <v>50.325290189999997</v>
      </c>
      <c r="F98">
        <v>14.24857909</v>
      </c>
      <c r="G98">
        <v>28.789263569999999</v>
      </c>
      <c r="H98">
        <v>9.2241393830000007</v>
      </c>
      <c r="J98" t="str">
        <f t="shared" si="4"/>
        <v>"ene"</v>
      </c>
      <c r="K98" t="str">
        <f t="shared" si="5"/>
        <v>{"Year":2009;"Months":[</v>
      </c>
      <c r="L98" s="1" t="str">
        <f t="shared" si="6"/>
        <v>{"Month":1;"Title":"ene";"TGP":58,68741259;"TO":50,32529019;"TD":14,24857909;"TS_Subj":28,78926357;"TS_Obj":9,224139383};</v>
      </c>
    </row>
    <row r="99" spans="1:12" x14ac:dyDescent="0.25">
      <c r="A99">
        <v>2009</v>
      </c>
      <c r="B99">
        <v>2</v>
      </c>
      <c r="C99" t="s">
        <v>9</v>
      </c>
      <c r="D99">
        <v>59.648916130000003</v>
      </c>
      <c r="E99">
        <v>52.199600240000002</v>
      </c>
      <c r="F99">
        <v>12.48860226</v>
      </c>
      <c r="G99">
        <v>29.425323859999999</v>
      </c>
      <c r="H99">
        <v>10.27997334</v>
      </c>
      <c r="J99" t="str">
        <f t="shared" si="4"/>
        <v>"feb"</v>
      </c>
      <c r="K99" t="str">
        <f t="shared" si="5"/>
        <v/>
      </c>
      <c r="L99" s="1" t="str">
        <f t="shared" si="6"/>
        <v>{"Month":2;"Title":"feb";"TGP":59,64891613;"TO":52,19960024;"TD":12,48860226;"TS_Subj":29,42532386;"TS_Obj":10,27997334};</v>
      </c>
    </row>
    <row r="100" spans="1:12" x14ac:dyDescent="0.25">
      <c r="A100">
        <v>2009</v>
      </c>
      <c r="B100">
        <v>3</v>
      </c>
      <c r="C100" t="s">
        <v>10</v>
      </c>
      <c r="D100">
        <v>60.651561100000002</v>
      </c>
      <c r="E100">
        <v>53.378309539999997</v>
      </c>
      <c r="F100">
        <v>11.991862080000001</v>
      </c>
      <c r="G100">
        <v>29.01183558</v>
      </c>
      <c r="H100">
        <v>10.55033779</v>
      </c>
      <c r="J100" t="str">
        <f t="shared" si="4"/>
        <v>"mar"</v>
      </c>
      <c r="K100" t="str">
        <f t="shared" si="5"/>
        <v/>
      </c>
      <c r="L100" s="1" t="str">
        <f t="shared" si="6"/>
        <v>{"Month":3;"Title":"mar";"TGP":60,6515611;"TO":53,37830954;"TD":11,99186208;"TS_Subj":29,01183558;"TS_Obj":10,55033779};</v>
      </c>
    </row>
    <row r="101" spans="1:12" x14ac:dyDescent="0.25">
      <c r="A101">
        <v>2009</v>
      </c>
      <c r="B101">
        <v>4</v>
      </c>
      <c r="C101" t="s">
        <v>11</v>
      </c>
      <c r="D101">
        <v>61.56005914</v>
      </c>
      <c r="E101">
        <v>54.086162180000002</v>
      </c>
      <c r="F101">
        <v>12.14082161</v>
      </c>
      <c r="G101">
        <v>29.505009789999999</v>
      </c>
      <c r="H101">
        <v>11.33631488</v>
      </c>
      <c r="J101" t="str">
        <f t="shared" si="4"/>
        <v>"abr"</v>
      </c>
      <c r="K101" t="str">
        <f t="shared" si="5"/>
        <v/>
      </c>
      <c r="L101" s="1" t="str">
        <f t="shared" si="6"/>
        <v>{"Month":4;"Title":"abr";"TGP":61,56005914;"TO":54,08616218;"TD":12,14082161;"TS_Subj":29,50500979;"TS_Obj":11,33631488};</v>
      </c>
    </row>
    <row r="102" spans="1:12" x14ac:dyDescent="0.25">
      <c r="A102">
        <v>2009</v>
      </c>
      <c r="B102">
        <v>5</v>
      </c>
      <c r="C102" t="s">
        <v>12</v>
      </c>
      <c r="D102">
        <v>61.587973990000002</v>
      </c>
      <c r="E102">
        <v>54.404409270000002</v>
      </c>
      <c r="F102">
        <v>11.663908149999999</v>
      </c>
      <c r="G102">
        <v>30.351127200000001</v>
      </c>
      <c r="H102">
        <v>11.645068119999999</v>
      </c>
      <c r="J102" t="str">
        <f t="shared" si="4"/>
        <v>"may"</v>
      </c>
      <c r="K102" t="str">
        <f t="shared" si="5"/>
        <v/>
      </c>
      <c r="L102" s="1" t="str">
        <f t="shared" si="6"/>
        <v>{"Month":5;"Title":"may";"TGP":61,58797399;"TO":54,40440927;"TD":11,66390815;"TS_Subj":30,3511272;"TS_Obj":11,64506812};</v>
      </c>
    </row>
    <row r="103" spans="1:12" x14ac:dyDescent="0.25">
      <c r="A103">
        <v>2009</v>
      </c>
      <c r="B103">
        <v>6</v>
      </c>
      <c r="C103" t="s">
        <v>13</v>
      </c>
      <c r="D103">
        <v>61.134208020000003</v>
      </c>
      <c r="E103">
        <v>54.202665969999998</v>
      </c>
      <c r="F103">
        <v>11.338238069999999</v>
      </c>
      <c r="G103">
        <v>28.174912500000001</v>
      </c>
      <c r="H103">
        <v>11.970480500000001</v>
      </c>
      <c r="J103" t="str">
        <f t="shared" si="4"/>
        <v>"jun"</v>
      </c>
      <c r="K103" t="str">
        <f t="shared" si="5"/>
        <v/>
      </c>
      <c r="L103" s="1" t="str">
        <f t="shared" si="6"/>
        <v>{"Month":6;"Title":"jun";"TGP":61,13420802;"TO":54,20266597;"TD":11,33823807;"TS_Subj":28,1749125;"TS_Obj":11,9704805};</v>
      </c>
    </row>
    <row r="104" spans="1:12" x14ac:dyDescent="0.25">
      <c r="A104">
        <v>2009</v>
      </c>
      <c r="B104">
        <v>7</v>
      </c>
      <c r="C104" t="s">
        <v>14</v>
      </c>
      <c r="D104">
        <v>61.671460869999997</v>
      </c>
      <c r="E104">
        <v>53.881087170000001</v>
      </c>
      <c r="F104">
        <v>12.63206111</v>
      </c>
      <c r="G104">
        <v>30.239580190000002</v>
      </c>
      <c r="H104">
        <v>10.92316108</v>
      </c>
      <c r="J104" t="str">
        <f t="shared" si="4"/>
        <v>"jul"</v>
      </c>
      <c r="K104" t="str">
        <f t="shared" si="5"/>
        <v/>
      </c>
      <c r="L104" s="1" t="str">
        <f t="shared" si="6"/>
        <v>{"Month":7;"Title":"jul";"TGP":61,67146087;"TO":53,88108717;"TD":12,63206111;"TS_Subj":30,23958019;"TS_Obj":10,92316108};</v>
      </c>
    </row>
    <row r="105" spans="1:12" x14ac:dyDescent="0.25">
      <c r="A105">
        <v>2009</v>
      </c>
      <c r="B105">
        <v>8</v>
      </c>
      <c r="C105" t="s">
        <v>15</v>
      </c>
      <c r="D105">
        <v>60.436143719999997</v>
      </c>
      <c r="E105">
        <v>53.338851239999997</v>
      </c>
      <c r="F105">
        <v>11.743456889999999</v>
      </c>
      <c r="G105">
        <v>29.639955440000001</v>
      </c>
      <c r="H105">
        <v>11.119865109999999</v>
      </c>
      <c r="J105" t="str">
        <f t="shared" si="4"/>
        <v>"ago"</v>
      </c>
      <c r="K105" t="str">
        <f t="shared" si="5"/>
        <v/>
      </c>
      <c r="L105" s="1" t="str">
        <f t="shared" si="6"/>
        <v>{"Month":8;"Title":"ago";"TGP":60,43614372;"TO":53,33885124;"TD":11,74345689;"TS_Subj":29,63995544;"TS_Obj":11,11986511};</v>
      </c>
    </row>
    <row r="106" spans="1:12" x14ac:dyDescent="0.25">
      <c r="A106">
        <v>2009</v>
      </c>
      <c r="B106">
        <v>9</v>
      </c>
      <c r="C106" t="s">
        <v>16</v>
      </c>
      <c r="D106">
        <v>60.68997581</v>
      </c>
      <c r="E106">
        <v>53.312525000000001</v>
      </c>
      <c r="F106">
        <v>12.155962669999999</v>
      </c>
      <c r="G106">
        <v>28.351380129999999</v>
      </c>
      <c r="H106">
        <v>11.25907907</v>
      </c>
      <c r="J106" t="str">
        <f t="shared" si="4"/>
        <v>"sep"</v>
      </c>
      <c r="K106" t="str">
        <f t="shared" si="5"/>
        <v/>
      </c>
      <c r="L106" s="1" t="str">
        <f t="shared" si="6"/>
        <v>{"Month":9;"Title":"sep";"TGP":60,68997581;"TO":53,312525;"TD":12,15596267;"TS_Subj":28,35138013;"TS_Obj":11,25907907};</v>
      </c>
    </row>
    <row r="107" spans="1:12" x14ac:dyDescent="0.25">
      <c r="A107">
        <v>2009</v>
      </c>
      <c r="B107">
        <v>10</v>
      </c>
      <c r="C107" t="s">
        <v>17</v>
      </c>
      <c r="D107">
        <v>63.934747199999997</v>
      </c>
      <c r="E107">
        <v>56.553156799999996</v>
      </c>
      <c r="F107">
        <v>11.54550652</v>
      </c>
      <c r="G107">
        <v>32.008413910000002</v>
      </c>
      <c r="H107">
        <v>11.27350968</v>
      </c>
      <c r="J107" t="str">
        <f t="shared" si="4"/>
        <v>"oct"</v>
      </c>
      <c r="K107" t="str">
        <f t="shared" si="5"/>
        <v/>
      </c>
      <c r="L107" s="1" t="str">
        <f t="shared" si="6"/>
        <v>{"Month":10;"Title":"oct";"TGP":63,9347472;"TO":56,5531568;"TD":11,54550652;"TS_Subj":32,00841391;"TS_Obj":11,27350968};</v>
      </c>
    </row>
    <row r="108" spans="1:12" x14ac:dyDescent="0.25">
      <c r="A108">
        <v>2009</v>
      </c>
      <c r="B108">
        <v>11</v>
      </c>
      <c r="C108" t="s">
        <v>18</v>
      </c>
      <c r="D108">
        <v>62.89205381</v>
      </c>
      <c r="E108">
        <v>55.924631750000003</v>
      </c>
      <c r="F108">
        <v>11.07838214</v>
      </c>
      <c r="G108">
        <v>30.945689850000001</v>
      </c>
      <c r="H108">
        <v>10.59806388</v>
      </c>
      <c r="J108" t="str">
        <f t="shared" si="4"/>
        <v>"nov"</v>
      </c>
      <c r="K108" t="str">
        <f t="shared" si="5"/>
        <v/>
      </c>
      <c r="L108" s="1" t="str">
        <f t="shared" si="6"/>
        <v>{"Month":11;"Title":"nov";"TGP":62,89205381;"TO":55,92463175;"TD":11,07838214;"TS_Subj":30,94568985;"TS_Obj":10,59806388};</v>
      </c>
    </row>
    <row r="109" spans="1:12" x14ac:dyDescent="0.25">
      <c r="A109">
        <v>2009</v>
      </c>
      <c r="B109">
        <v>12</v>
      </c>
      <c r="C109" t="s">
        <v>19</v>
      </c>
      <c r="D109">
        <v>62.57891412</v>
      </c>
      <c r="E109">
        <v>55.500311490000001</v>
      </c>
      <c r="F109">
        <v>11.311486690000001</v>
      </c>
      <c r="G109">
        <v>29.881950410000002</v>
      </c>
      <c r="H109">
        <v>10.48942654</v>
      </c>
      <c r="J109" t="str">
        <f t="shared" si="4"/>
        <v>"dic"</v>
      </c>
      <c r="K109" t="str">
        <f t="shared" si="5"/>
        <v/>
      </c>
      <c r="L109" s="1" t="str">
        <f t="shared" si="6"/>
        <v>{"Month":12;"Title":"dic";"TGP":62,57891412;"TO":55,50031149;"TD":11,31148669;"TS_Subj":29,88195041;"TS_Obj":10,48942654}]};</v>
      </c>
    </row>
    <row r="110" spans="1:12" x14ac:dyDescent="0.25">
      <c r="A110">
        <v>2010</v>
      </c>
      <c r="B110">
        <v>1</v>
      </c>
      <c r="C110" t="s">
        <v>8</v>
      </c>
      <c r="D110">
        <v>62.099012879999997</v>
      </c>
      <c r="E110">
        <v>53.018222950000002</v>
      </c>
      <c r="F110">
        <v>14.623077909999999</v>
      </c>
      <c r="G110">
        <v>32.079220390000003</v>
      </c>
      <c r="H110">
        <v>12.0306827</v>
      </c>
      <c r="J110" t="str">
        <f t="shared" si="4"/>
        <v>"ene"</v>
      </c>
      <c r="K110" t="str">
        <f t="shared" si="5"/>
        <v>{"Year":2010;"Months":[</v>
      </c>
      <c r="L110" s="1" t="str">
        <f t="shared" si="6"/>
        <v>{"Month":1;"Title":"ene";"TGP":62,09901288;"TO":53,01822295;"TD":14,62307791;"TS_Subj":32,07922039;"TS_Obj":12,0306827};</v>
      </c>
    </row>
    <row r="111" spans="1:12" x14ac:dyDescent="0.25">
      <c r="A111">
        <v>2010</v>
      </c>
      <c r="B111">
        <v>2</v>
      </c>
      <c r="C111" t="s">
        <v>9</v>
      </c>
      <c r="D111">
        <v>62.450504459999998</v>
      </c>
      <c r="E111">
        <v>54.585113130000003</v>
      </c>
      <c r="F111">
        <v>12.59460015</v>
      </c>
      <c r="G111">
        <v>31.882324229999998</v>
      </c>
      <c r="H111">
        <v>12.540501819999999</v>
      </c>
      <c r="J111" t="str">
        <f t="shared" si="4"/>
        <v>"feb"</v>
      </c>
      <c r="K111" t="str">
        <f t="shared" si="5"/>
        <v/>
      </c>
      <c r="L111" s="1" t="str">
        <f t="shared" si="6"/>
        <v>{"Month":2;"Title":"feb";"TGP":62,45050446;"TO":54,58511313;"TD":12,59460015;"TS_Subj":31,88232423;"TS_Obj":12,54050182};</v>
      </c>
    </row>
    <row r="112" spans="1:12" x14ac:dyDescent="0.25">
      <c r="A112">
        <v>2010</v>
      </c>
      <c r="B112">
        <v>3</v>
      </c>
      <c r="C112" t="s">
        <v>10</v>
      </c>
      <c r="D112">
        <v>61.524446179999998</v>
      </c>
      <c r="E112">
        <v>54.260226070000002</v>
      </c>
      <c r="F112">
        <v>11.80704673</v>
      </c>
      <c r="G112">
        <v>30.677737799999999</v>
      </c>
      <c r="H112">
        <v>12.39947626</v>
      </c>
      <c r="J112" t="str">
        <f t="shared" si="4"/>
        <v>"mar"</v>
      </c>
      <c r="K112" t="str">
        <f t="shared" si="5"/>
        <v/>
      </c>
      <c r="L112" s="1" t="str">
        <f t="shared" si="6"/>
        <v>{"Month":3;"Title":"mar";"TGP":61,52444618;"TO":54,26022607;"TD":11,80704673;"TS_Subj":30,6777378;"TS_Obj":12,39947626};</v>
      </c>
    </row>
    <row r="113" spans="1:12" x14ac:dyDescent="0.25">
      <c r="A113">
        <v>2010</v>
      </c>
      <c r="B113">
        <v>4</v>
      </c>
      <c r="C113" t="s">
        <v>11</v>
      </c>
      <c r="D113">
        <v>63.125700219999999</v>
      </c>
      <c r="E113">
        <v>55.400924199999999</v>
      </c>
      <c r="F113">
        <v>12.237128630000001</v>
      </c>
      <c r="G113">
        <v>31.95091601</v>
      </c>
      <c r="H113">
        <v>12.163999690000001</v>
      </c>
      <c r="J113" t="str">
        <f t="shared" si="4"/>
        <v>"abr"</v>
      </c>
      <c r="K113" t="str">
        <f t="shared" si="5"/>
        <v/>
      </c>
      <c r="L113" s="1" t="str">
        <f t="shared" si="6"/>
        <v>{"Month":4;"Title":"abr";"TGP":63,1257002199999;"TO":55,4009242;"TD":12,23712863;"TS_Subj":31,95091601;"TS_Obj":12,16399969};</v>
      </c>
    </row>
    <row r="114" spans="1:12" x14ac:dyDescent="0.25">
      <c r="A114">
        <v>2010</v>
      </c>
      <c r="B114">
        <v>5</v>
      </c>
      <c r="C114" t="s">
        <v>12</v>
      </c>
      <c r="D114">
        <v>62.406970610000002</v>
      </c>
      <c r="E114">
        <v>54.892900750000003</v>
      </c>
      <c r="F114">
        <v>12.040433589999999</v>
      </c>
      <c r="G114">
        <v>32.810514840000003</v>
      </c>
      <c r="H114">
        <v>12.51601078</v>
      </c>
      <c r="J114" t="str">
        <f t="shared" si="4"/>
        <v>"may"</v>
      </c>
      <c r="K114" t="str">
        <f t="shared" si="5"/>
        <v/>
      </c>
      <c r="L114" s="1" t="str">
        <f t="shared" si="6"/>
        <v>{"Month":5;"Title":"may";"TGP":62,40697061;"TO":54,89290075;"TD":12,04043359;"TS_Subj":32,81051484;"TS_Obj":12,51601078};</v>
      </c>
    </row>
    <row r="115" spans="1:12" x14ac:dyDescent="0.25">
      <c r="A115">
        <v>2010</v>
      </c>
      <c r="B115">
        <v>6</v>
      </c>
      <c r="C115" t="s">
        <v>13</v>
      </c>
      <c r="D115">
        <v>62.414867229999999</v>
      </c>
      <c r="E115">
        <v>55.152511490000002</v>
      </c>
      <c r="F115">
        <v>11.635618340000001</v>
      </c>
      <c r="G115">
        <v>32.67194714</v>
      </c>
      <c r="H115">
        <v>12.37351381</v>
      </c>
      <c r="J115" t="str">
        <f t="shared" si="4"/>
        <v>"jun"</v>
      </c>
      <c r="K115" t="str">
        <f t="shared" si="5"/>
        <v/>
      </c>
      <c r="L115" s="1" t="str">
        <f t="shared" si="6"/>
        <v>{"Month":6;"Title":"jun";"TGP":62,41486723;"TO":55,15251149;"TD":11,63561834;"TS_Subj":32,67194714;"TS_Obj":12,37351381};</v>
      </c>
    </row>
    <row r="116" spans="1:12" x14ac:dyDescent="0.25">
      <c r="A116">
        <v>2010</v>
      </c>
      <c r="B116">
        <v>7</v>
      </c>
      <c r="C116" t="s">
        <v>14</v>
      </c>
      <c r="D116">
        <v>62.567568360000003</v>
      </c>
      <c r="E116">
        <v>54.631231079999999</v>
      </c>
      <c r="F116">
        <v>12.68442198</v>
      </c>
      <c r="G116">
        <v>34.230091629999997</v>
      </c>
      <c r="H116">
        <v>12.969239160000001</v>
      </c>
      <c r="J116" t="str">
        <f t="shared" si="4"/>
        <v>"jul"</v>
      </c>
      <c r="K116" t="str">
        <f t="shared" si="5"/>
        <v/>
      </c>
      <c r="L116" s="1" t="str">
        <f t="shared" si="6"/>
        <v>{"Month":7;"Title":"jul";"TGP":62,56756836;"TO":54,63123108;"TD":12,68442198;"TS_Subj":34,23009163;"TS_Obj":12,96923916};</v>
      </c>
    </row>
    <row r="117" spans="1:12" x14ac:dyDescent="0.25">
      <c r="A117">
        <v>2010</v>
      </c>
      <c r="B117">
        <v>8</v>
      </c>
      <c r="C117" t="s">
        <v>15</v>
      </c>
      <c r="D117">
        <v>62.532028789999998</v>
      </c>
      <c r="E117">
        <v>55.552285320000003</v>
      </c>
      <c r="F117">
        <v>11.161869530000001</v>
      </c>
      <c r="G117">
        <v>34.02748193</v>
      </c>
      <c r="H117">
        <v>13.29386124</v>
      </c>
      <c r="J117" t="str">
        <f t="shared" si="4"/>
        <v>"ago"</v>
      </c>
      <c r="K117" t="str">
        <f t="shared" si="5"/>
        <v/>
      </c>
      <c r="L117" s="1" t="str">
        <f t="shared" si="6"/>
        <v>{"Month":8;"Title":"ago";"TGP":62,53202879;"TO":55,55228532;"TD":11,16186953;"TS_Subj":34,02748193;"TS_Obj":13,29386124};</v>
      </c>
    </row>
    <row r="118" spans="1:12" x14ac:dyDescent="0.25">
      <c r="A118">
        <v>2010</v>
      </c>
      <c r="B118">
        <v>9</v>
      </c>
      <c r="C118" t="s">
        <v>16</v>
      </c>
      <c r="D118">
        <v>63.351641389999998</v>
      </c>
      <c r="E118">
        <v>56.652977749999998</v>
      </c>
      <c r="F118">
        <v>10.573780709999999</v>
      </c>
      <c r="G118">
        <v>32.486829470000004</v>
      </c>
      <c r="H118">
        <v>12.72044633</v>
      </c>
      <c r="J118" t="str">
        <f t="shared" si="4"/>
        <v>"sep"</v>
      </c>
      <c r="K118" t="str">
        <f t="shared" si="5"/>
        <v/>
      </c>
      <c r="L118" s="1" t="str">
        <f t="shared" si="6"/>
        <v>{"Month":9;"Title":"sep";"TGP":63,35164139;"TO":56,65297775;"TD":10,57378071;"TS_Subj":32,48682947;"TS_Obj":12,72044633};</v>
      </c>
    </row>
    <row r="119" spans="1:12" x14ac:dyDescent="0.25">
      <c r="A119">
        <v>2010</v>
      </c>
      <c r="B119">
        <v>10</v>
      </c>
      <c r="C119" t="s">
        <v>17</v>
      </c>
      <c r="D119">
        <v>63.854432940000002</v>
      </c>
      <c r="E119">
        <v>57.37144618</v>
      </c>
      <c r="F119">
        <v>10.15275911</v>
      </c>
      <c r="G119">
        <v>34.603334420000003</v>
      </c>
      <c r="H119">
        <v>13.601212</v>
      </c>
      <c r="J119" t="str">
        <f t="shared" si="4"/>
        <v>"oct"</v>
      </c>
      <c r="K119" t="str">
        <f t="shared" si="5"/>
        <v/>
      </c>
      <c r="L119" s="1" t="str">
        <f t="shared" si="6"/>
        <v>{"Month":10;"Title":"oct";"TGP":63,85443294;"TO":57,37144618;"TD":10,15275911;"TS_Subj":34,60333442;"TS_Obj":13,601212};</v>
      </c>
    </row>
    <row r="120" spans="1:12" x14ac:dyDescent="0.25">
      <c r="A120">
        <v>2010</v>
      </c>
      <c r="B120">
        <v>11</v>
      </c>
      <c r="C120" t="s">
        <v>18</v>
      </c>
      <c r="D120">
        <v>63.694952170000001</v>
      </c>
      <c r="E120">
        <v>56.820740929999999</v>
      </c>
      <c r="F120">
        <v>10.792395640000001</v>
      </c>
      <c r="G120">
        <v>32.800049899999998</v>
      </c>
      <c r="H120">
        <v>12.550737489999999</v>
      </c>
      <c r="J120" t="str">
        <f t="shared" si="4"/>
        <v>"nov"</v>
      </c>
      <c r="K120" t="str">
        <f t="shared" si="5"/>
        <v/>
      </c>
      <c r="L120" s="1" t="str">
        <f t="shared" si="6"/>
        <v>{"Month":11;"Title":"nov";"TGP":63,69495217;"TO":56,82074093;"TD":10,79239564;"TS_Subj":32,8000499;"TS_Obj":12,55073749};</v>
      </c>
    </row>
    <row r="121" spans="1:12" x14ac:dyDescent="0.25">
      <c r="A121">
        <v>2010</v>
      </c>
      <c r="B121">
        <v>12</v>
      </c>
      <c r="C121" t="s">
        <v>19</v>
      </c>
      <c r="D121">
        <v>62.923354070000002</v>
      </c>
      <c r="E121">
        <v>55.92625468</v>
      </c>
      <c r="F121">
        <v>11.12003563</v>
      </c>
      <c r="G121">
        <v>30.44407064</v>
      </c>
      <c r="H121">
        <v>11.683771699999999</v>
      </c>
      <c r="J121" t="str">
        <f t="shared" si="4"/>
        <v>"dic"</v>
      </c>
      <c r="K121" t="str">
        <f t="shared" si="5"/>
        <v/>
      </c>
      <c r="L121" s="1" t="str">
        <f t="shared" si="6"/>
        <v>{"Month":12;"Title":"dic";"TGP":62,92335407;"TO":55,92625468;"TD":11,12003563;"TS_Subj":30,44407064;"TS_Obj":11,6837717}]};</v>
      </c>
    </row>
    <row r="122" spans="1:12" x14ac:dyDescent="0.25">
      <c r="A122">
        <v>2011</v>
      </c>
      <c r="B122">
        <v>1</v>
      </c>
      <c r="C122" t="s">
        <v>8</v>
      </c>
      <c r="D122">
        <v>62.554576949999998</v>
      </c>
      <c r="E122">
        <v>54.074579180000001</v>
      </c>
      <c r="F122">
        <v>13.55615877</v>
      </c>
      <c r="G122">
        <v>30.23364303</v>
      </c>
      <c r="H122">
        <v>11.87738403</v>
      </c>
      <c r="J122" t="str">
        <f t="shared" si="4"/>
        <v>"ene"</v>
      </c>
      <c r="K122" t="str">
        <f t="shared" si="5"/>
        <v>{"Year":2011;"Months":[</v>
      </c>
      <c r="L122" s="1" t="str">
        <f t="shared" si="6"/>
        <v>{"Month":1;"Title":"ene";"TGP":62,55457695;"TO":54,07457918;"TD":13,55615877;"TS_Subj":30,23364303;"TS_Obj":11,87738403};</v>
      </c>
    </row>
    <row r="123" spans="1:12" x14ac:dyDescent="0.25">
      <c r="A123">
        <v>2011</v>
      </c>
      <c r="B123">
        <v>2</v>
      </c>
      <c r="C123" t="s">
        <v>9</v>
      </c>
      <c r="D123">
        <v>62.45194755</v>
      </c>
      <c r="E123">
        <v>54.419050980000002</v>
      </c>
      <c r="F123">
        <v>12.86252371</v>
      </c>
      <c r="G123">
        <v>32.333111889999998</v>
      </c>
      <c r="H123">
        <v>12.473207990000001</v>
      </c>
      <c r="J123" t="str">
        <f t="shared" si="4"/>
        <v>"feb"</v>
      </c>
      <c r="K123" t="str">
        <f t="shared" si="5"/>
        <v/>
      </c>
      <c r="L123" s="1" t="str">
        <f t="shared" si="6"/>
        <v>{"Month":2;"Title":"feb";"TGP":62,45194755;"TO":54,41905098;"TD":12,86252371;"TS_Subj":32,33311189;"TS_Obj":12,47320799};</v>
      </c>
    </row>
    <row r="124" spans="1:12" x14ac:dyDescent="0.25">
      <c r="A124">
        <v>2011</v>
      </c>
      <c r="B124">
        <v>3</v>
      </c>
      <c r="C124" t="s">
        <v>10</v>
      </c>
      <c r="D124">
        <v>62.616127419999998</v>
      </c>
      <c r="E124">
        <v>55.810948369999998</v>
      </c>
      <c r="F124">
        <v>10.868088589999999</v>
      </c>
      <c r="G124">
        <v>31.010464519999999</v>
      </c>
      <c r="H124">
        <v>12.14732386</v>
      </c>
      <c r="J124" t="str">
        <f t="shared" si="4"/>
        <v>"mar"</v>
      </c>
      <c r="K124" t="str">
        <f t="shared" si="5"/>
        <v/>
      </c>
      <c r="L124" s="1" t="str">
        <f t="shared" si="6"/>
        <v>{"Month":3;"Title":"mar";"TGP":62,61612742;"TO":55,81094837;"TD":10,86808859;"TS_Subj":31,01046452;"TS_Obj":12,14732386};</v>
      </c>
    </row>
    <row r="125" spans="1:12" x14ac:dyDescent="0.25">
      <c r="A125">
        <v>2011</v>
      </c>
      <c r="B125">
        <v>4</v>
      </c>
      <c r="C125" t="s">
        <v>11</v>
      </c>
      <c r="D125">
        <v>62.774184480000002</v>
      </c>
      <c r="E125">
        <v>55.750055580000001</v>
      </c>
      <c r="F125">
        <v>11.18951837</v>
      </c>
      <c r="G125">
        <v>31.88718604</v>
      </c>
      <c r="H125">
        <v>12.33376208</v>
      </c>
      <c r="J125" t="str">
        <f t="shared" si="4"/>
        <v>"abr"</v>
      </c>
      <c r="K125" t="str">
        <f t="shared" si="5"/>
        <v/>
      </c>
      <c r="L125" s="1" t="str">
        <f t="shared" si="6"/>
        <v>{"Month":4;"Title":"abr";"TGP":62,77418448;"TO":55,75005558;"TD":11,18951837;"TS_Subj":31,88718604;"TS_Obj":12,33376208};</v>
      </c>
    </row>
    <row r="126" spans="1:12" x14ac:dyDescent="0.25">
      <c r="A126">
        <v>2011</v>
      </c>
      <c r="B126">
        <v>5</v>
      </c>
      <c r="C126" t="s">
        <v>12</v>
      </c>
      <c r="D126">
        <v>63.536757450000003</v>
      </c>
      <c r="E126">
        <v>56.392500009999999</v>
      </c>
      <c r="F126">
        <v>11.24429029</v>
      </c>
      <c r="G126">
        <v>31.052013899999999</v>
      </c>
      <c r="H126">
        <v>11.768409569999999</v>
      </c>
      <c r="J126" t="str">
        <f t="shared" si="4"/>
        <v>"may"</v>
      </c>
      <c r="K126" t="str">
        <f t="shared" si="5"/>
        <v/>
      </c>
      <c r="L126" s="1" t="str">
        <f t="shared" si="6"/>
        <v>{"Month":5;"Title":"may";"TGP":63,53675745;"TO":56,39250001;"TD":11,24429029;"TS_Subj":31,0520139;"TS_Obj":11,76840957};</v>
      </c>
    </row>
    <row r="127" spans="1:12" x14ac:dyDescent="0.25">
      <c r="A127">
        <v>2011</v>
      </c>
      <c r="B127">
        <v>6</v>
      </c>
      <c r="C127" t="s">
        <v>13</v>
      </c>
      <c r="D127">
        <v>62.906020759999997</v>
      </c>
      <c r="E127">
        <v>56.045536140000003</v>
      </c>
      <c r="F127">
        <v>10.90592687</v>
      </c>
      <c r="G127">
        <v>31.018081550000002</v>
      </c>
      <c r="H127">
        <v>11.339629009999999</v>
      </c>
      <c r="J127" t="str">
        <f t="shared" si="4"/>
        <v>"jun"</v>
      </c>
      <c r="K127" t="str">
        <f t="shared" si="5"/>
        <v/>
      </c>
      <c r="L127" s="1" t="str">
        <f t="shared" si="6"/>
        <v>{"Month":6;"Title":"jun";"TGP":62,90602076;"TO":56,04553614;"TD":10,90592687;"TS_Subj":31,01808155;"TS_Obj":11,33962901};</v>
      </c>
    </row>
    <row r="128" spans="1:12" x14ac:dyDescent="0.25">
      <c r="A128">
        <v>2011</v>
      </c>
      <c r="B128">
        <v>7</v>
      </c>
      <c r="C128" t="s">
        <v>14</v>
      </c>
      <c r="D128">
        <v>63.309870019999998</v>
      </c>
      <c r="E128">
        <v>56.00371243</v>
      </c>
      <c r="F128">
        <v>11.54031367</v>
      </c>
      <c r="G128">
        <v>31.605684579999998</v>
      </c>
      <c r="H128">
        <v>12.526193129999999</v>
      </c>
      <c r="J128" t="str">
        <f t="shared" si="4"/>
        <v>"jul"</v>
      </c>
      <c r="K128" t="str">
        <f t="shared" si="5"/>
        <v/>
      </c>
      <c r="L128" s="1" t="str">
        <f t="shared" si="6"/>
        <v>{"Month":7;"Title":"jul";"TGP":63,30987002;"TO":56,00371243;"TD":11,54031367;"TS_Subj":31,60568458;"TS_Obj":12,52619313};</v>
      </c>
    </row>
    <row r="129" spans="1:12" x14ac:dyDescent="0.25">
      <c r="A129">
        <v>2011</v>
      </c>
      <c r="B129">
        <v>8</v>
      </c>
      <c r="C129" t="s">
        <v>15</v>
      </c>
      <c r="D129">
        <v>62.756780790000001</v>
      </c>
      <c r="E129">
        <v>56.431273939999997</v>
      </c>
      <c r="F129">
        <v>10.07939983</v>
      </c>
      <c r="G129">
        <v>31.269406419999999</v>
      </c>
      <c r="H129">
        <v>11.333588840000001</v>
      </c>
      <c r="J129" t="str">
        <f t="shared" si="4"/>
        <v>"ago"</v>
      </c>
      <c r="K129" t="str">
        <f t="shared" si="5"/>
        <v/>
      </c>
      <c r="L129" s="1" t="str">
        <f t="shared" si="6"/>
        <v>{"Month":8;"Title":"ago";"TGP":62,75678079;"TO":56,43127394;"TD":10,07939983;"TS_Subj":31,26940642;"TS_Obj":11,33358884};</v>
      </c>
    </row>
    <row r="130" spans="1:12" x14ac:dyDescent="0.25">
      <c r="A130">
        <v>2011</v>
      </c>
      <c r="B130">
        <v>9</v>
      </c>
      <c r="C130" t="s">
        <v>16</v>
      </c>
      <c r="D130">
        <v>63.880781949999999</v>
      </c>
      <c r="E130">
        <v>57.661745979999999</v>
      </c>
      <c r="F130">
        <v>9.7353830200000004</v>
      </c>
      <c r="G130">
        <v>30.63192681</v>
      </c>
      <c r="H130">
        <v>11.098030550000001</v>
      </c>
      <c r="J130" t="str">
        <f t="shared" si="4"/>
        <v>"sep"</v>
      </c>
      <c r="K130" t="str">
        <f t="shared" si="5"/>
        <v/>
      </c>
      <c r="L130" s="1" t="str">
        <f t="shared" si="6"/>
        <v>{"Month":9;"Title":"sep";"TGP":63,88078195;"TO":57,66174598;"TD":9,73538302;"TS_Subj":30,63192681;"TS_Obj":11,09803055};</v>
      </c>
    </row>
    <row r="131" spans="1:12" x14ac:dyDescent="0.25">
      <c r="A131">
        <v>2011</v>
      </c>
      <c r="B131">
        <v>10</v>
      </c>
      <c r="C131" t="s">
        <v>17</v>
      </c>
      <c r="D131">
        <v>66.883301520000003</v>
      </c>
      <c r="E131">
        <v>60.865244480000001</v>
      </c>
      <c r="F131">
        <v>8.9978468530000004</v>
      </c>
      <c r="G131">
        <v>33.693449690000001</v>
      </c>
      <c r="H131">
        <v>12.44398063</v>
      </c>
      <c r="J131" t="str">
        <f t="shared" ref="J131:J165" si="7">$I$1&amp;C131&amp;$I$1</f>
        <v>"oct"</v>
      </c>
      <c r="K131" t="str">
        <f t="shared" ref="K131:K165" si="8">IF(B131=1,"{"&amp;$K$1&amp;":"&amp;A131&amp;";"&amp;$I$1&amp;"Months"&amp;$I$1&amp;":[","")</f>
        <v/>
      </c>
      <c r="L131" s="1" t="str">
        <f t="shared" ref="L131:L165" si="9">"{"&amp;$L$1&amp;":"&amp;B131&amp;$M$1&amp;J131&amp;$N$1&amp;D131&amp;$O$1&amp;E131&amp;$P$1&amp;F131&amp;$Q$1&amp;G131&amp;$R$1&amp;H131&amp;"}"&amp;IF(B131=12,"]};",";")</f>
        <v>{"Month":10;"Title":"oct";"TGP":66,88330152;"TO":60,86524448;"TD":8,997846853;"TS_Subj":33,69344969;"TS_Obj":12,44398063};</v>
      </c>
    </row>
    <row r="132" spans="1:12" x14ac:dyDescent="0.25">
      <c r="A132">
        <v>2011</v>
      </c>
      <c r="B132">
        <v>11</v>
      </c>
      <c r="C132" t="s">
        <v>18</v>
      </c>
      <c r="D132">
        <v>65.535908180000007</v>
      </c>
      <c r="E132">
        <v>59.493376789999999</v>
      </c>
      <c r="F132">
        <v>9.2201841019999993</v>
      </c>
      <c r="G132">
        <v>33.162791730000002</v>
      </c>
      <c r="H132">
        <v>11.869915069999999</v>
      </c>
      <c r="J132" t="str">
        <f t="shared" si="7"/>
        <v>"nov"</v>
      </c>
      <c r="K132" t="str">
        <f t="shared" si="8"/>
        <v/>
      </c>
      <c r="L132" s="1" t="str">
        <f t="shared" si="9"/>
        <v>{"Month":11;"Title":"nov";"TGP":65,53590818;"TO":59,49337679;"TD":9,220184102;"TS_Subj":33,16279173;"TS_Obj":11,86991507};</v>
      </c>
    </row>
    <row r="133" spans="1:12" x14ac:dyDescent="0.25">
      <c r="A133">
        <v>2011</v>
      </c>
      <c r="B133">
        <v>12</v>
      </c>
      <c r="C133" t="s">
        <v>19</v>
      </c>
      <c r="D133">
        <v>64.888862430000003</v>
      </c>
      <c r="E133">
        <v>58.51835225</v>
      </c>
      <c r="F133">
        <v>9.8175710630000008</v>
      </c>
      <c r="G133">
        <v>30.280436099999999</v>
      </c>
      <c r="H133">
        <v>11.451172769999999</v>
      </c>
      <c r="J133" t="str">
        <f t="shared" si="7"/>
        <v>"dic"</v>
      </c>
      <c r="K133" t="str">
        <f t="shared" si="8"/>
        <v/>
      </c>
      <c r="L133" s="1" t="str">
        <f t="shared" si="9"/>
        <v>{"Month":12;"Title":"dic";"TGP":64,88886243;"TO":58,51835225;"TD":9,817571063;"TS_Subj":30,2804361;"TS_Obj":11,45117277}]};</v>
      </c>
    </row>
    <row r="134" spans="1:12" x14ac:dyDescent="0.25">
      <c r="A134">
        <v>2012</v>
      </c>
      <c r="B134">
        <v>1</v>
      </c>
      <c r="C134" t="s">
        <v>8</v>
      </c>
      <c r="D134">
        <v>63.92668956</v>
      </c>
      <c r="E134">
        <v>55.95075044</v>
      </c>
      <c r="F134">
        <v>12.476696629999999</v>
      </c>
      <c r="G134">
        <v>30.611950790000002</v>
      </c>
      <c r="H134">
        <v>11.28389071</v>
      </c>
      <c r="J134" t="str">
        <f t="shared" si="7"/>
        <v>"ene"</v>
      </c>
      <c r="K134" t="str">
        <f t="shared" si="8"/>
        <v>{"Year":2012;"Months":[</v>
      </c>
      <c r="L134" s="1" t="str">
        <f t="shared" si="9"/>
        <v>{"Month":1;"Title":"ene";"TGP":63,92668956;"TO":55,95075044;"TD":12,47669663;"TS_Subj":30,61195079;"TS_Obj":11,28389071};</v>
      </c>
    </row>
    <row r="135" spans="1:12" x14ac:dyDescent="0.25">
      <c r="A135">
        <v>2012</v>
      </c>
      <c r="B135">
        <v>2</v>
      </c>
      <c r="C135" t="s">
        <v>9</v>
      </c>
      <c r="D135">
        <v>64.374871639999995</v>
      </c>
      <c r="E135">
        <v>56.733578860000001</v>
      </c>
      <c r="F135">
        <v>11.869993040000001</v>
      </c>
      <c r="G135">
        <v>32.054375389999997</v>
      </c>
      <c r="H135">
        <v>12.622421559999999</v>
      </c>
      <c r="J135" t="str">
        <f t="shared" si="7"/>
        <v>"feb"</v>
      </c>
      <c r="K135" t="str">
        <f t="shared" si="8"/>
        <v/>
      </c>
      <c r="L135" s="1" t="str">
        <f t="shared" si="9"/>
        <v>{"Month":2;"Title":"feb";"TGP":64,37487164;"TO":56,73357886;"TD":11,86999304;"TS_Subj":32,05437539;"TS_Obj":12,62242156};</v>
      </c>
    </row>
    <row r="136" spans="1:12" x14ac:dyDescent="0.25">
      <c r="A136">
        <v>2012</v>
      </c>
      <c r="B136">
        <v>3</v>
      </c>
      <c r="C136" t="s">
        <v>10</v>
      </c>
      <c r="D136">
        <v>64.175252760000006</v>
      </c>
      <c r="E136">
        <v>57.52431232</v>
      </c>
      <c r="F136">
        <v>10.36371085</v>
      </c>
      <c r="G136">
        <v>30.60587043</v>
      </c>
      <c r="H136">
        <v>11.75330009</v>
      </c>
      <c r="J136" t="str">
        <f t="shared" si="7"/>
        <v>"mar"</v>
      </c>
      <c r="K136" t="str">
        <f t="shared" si="8"/>
        <v/>
      </c>
      <c r="L136" s="1" t="str">
        <f t="shared" si="9"/>
        <v>{"Month":3;"Title":"mar";"TGP":64,17525276;"TO":57,52431232;"TD":10,36371085;"TS_Subj":30,60587043;"TS_Obj":11,75330009};</v>
      </c>
    </row>
    <row r="137" spans="1:12" x14ac:dyDescent="0.25">
      <c r="A137">
        <v>2012</v>
      </c>
      <c r="B137">
        <v>4</v>
      </c>
      <c r="C137" t="s">
        <v>11</v>
      </c>
      <c r="D137">
        <v>64.487629839999997</v>
      </c>
      <c r="E137">
        <v>57.481563639999997</v>
      </c>
      <c r="F137">
        <v>10.86419738</v>
      </c>
      <c r="G137">
        <v>32.451547499999997</v>
      </c>
      <c r="H137">
        <v>12.792985509999999</v>
      </c>
      <c r="J137" t="str">
        <f t="shared" si="7"/>
        <v>"abr"</v>
      </c>
      <c r="K137" t="str">
        <f t="shared" si="8"/>
        <v/>
      </c>
      <c r="L137" s="1" t="str">
        <f t="shared" si="9"/>
        <v>{"Month":4;"Title":"abr";"TGP":64,48762984;"TO":57,48156364;"TD":10,86419738;"TS_Subj":32,4515475;"TS_Obj":12,79298551};</v>
      </c>
    </row>
    <row r="138" spans="1:12" x14ac:dyDescent="0.25">
      <c r="A138">
        <v>2012</v>
      </c>
      <c r="B138">
        <v>5</v>
      </c>
      <c r="C138" t="s">
        <v>12</v>
      </c>
      <c r="D138">
        <v>65.245366630000007</v>
      </c>
      <c r="E138">
        <v>58.257934460000001</v>
      </c>
      <c r="F138">
        <v>10.709468790000001</v>
      </c>
      <c r="G138">
        <v>33.995996390000002</v>
      </c>
      <c r="H138">
        <v>12.80492716</v>
      </c>
      <c r="J138" t="str">
        <f t="shared" si="7"/>
        <v>"may"</v>
      </c>
      <c r="K138" t="str">
        <f t="shared" si="8"/>
        <v/>
      </c>
      <c r="L138" s="1" t="str">
        <f t="shared" si="9"/>
        <v>{"Month":5;"Title":"may";"TGP":65,24536663;"TO":58,25793446;"TD":10,70946879;"TS_Subj":33,99599639;"TS_Obj":12,80492716};</v>
      </c>
    </row>
    <row r="139" spans="1:12" x14ac:dyDescent="0.25">
      <c r="A139">
        <v>2012</v>
      </c>
      <c r="B139">
        <v>6</v>
      </c>
      <c r="C139" t="s">
        <v>13</v>
      </c>
      <c r="D139">
        <v>65.33925936</v>
      </c>
      <c r="E139">
        <v>58.788248920000001</v>
      </c>
      <c r="F139">
        <v>10.026143100000001</v>
      </c>
      <c r="G139">
        <v>33.124943530000003</v>
      </c>
      <c r="H139">
        <v>12.23786123</v>
      </c>
      <c r="J139" t="str">
        <f t="shared" si="7"/>
        <v>"jun"</v>
      </c>
      <c r="K139" t="str">
        <f t="shared" si="8"/>
        <v/>
      </c>
      <c r="L139" s="1" t="str">
        <f t="shared" si="9"/>
        <v>{"Month":6;"Title":"jun";"TGP":65,33925936;"TO":58,78824892;"TD":10,0261431;"TS_Subj":33,12494353;"TS_Obj":12,23786123};</v>
      </c>
    </row>
    <row r="140" spans="1:12" x14ac:dyDescent="0.25">
      <c r="A140">
        <v>2012</v>
      </c>
      <c r="B140">
        <v>7</v>
      </c>
      <c r="C140" t="s">
        <v>14</v>
      </c>
      <c r="D140">
        <v>64.188129009999997</v>
      </c>
      <c r="E140">
        <v>57.215318320000002</v>
      </c>
      <c r="F140">
        <v>10.863080139999999</v>
      </c>
      <c r="G140">
        <v>33.725617769999999</v>
      </c>
      <c r="H140">
        <v>13.195221610000001</v>
      </c>
      <c r="J140" t="str">
        <f t="shared" si="7"/>
        <v>"jul"</v>
      </c>
      <c r="K140" t="str">
        <f t="shared" si="8"/>
        <v/>
      </c>
      <c r="L140" s="1" t="str">
        <f t="shared" si="9"/>
        <v>{"Month":7;"Title":"jul";"TGP":64,18812901;"TO":57,21531832;"TD":10,86308014;"TS_Subj":33,72561777;"TS_Obj":13,19522161};</v>
      </c>
    </row>
    <row r="141" spans="1:12" x14ac:dyDescent="0.25">
      <c r="A141">
        <v>2012</v>
      </c>
      <c r="B141">
        <v>8</v>
      </c>
      <c r="C141" t="s">
        <v>15</v>
      </c>
      <c r="D141">
        <v>64.41976717</v>
      </c>
      <c r="E141">
        <v>58.139951959999998</v>
      </c>
      <c r="F141">
        <v>9.7482736869999993</v>
      </c>
      <c r="G141">
        <v>33.103265090000001</v>
      </c>
      <c r="H141">
        <v>12.18543846</v>
      </c>
      <c r="J141" t="str">
        <f t="shared" si="7"/>
        <v>"ago"</v>
      </c>
      <c r="K141" t="str">
        <f t="shared" si="8"/>
        <v/>
      </c>
      <c r="L141" s="1" t="str">
        <f t="shared" si="9"/>
        <v>{"Month":8;"Title":"ago";"TGP":64,41976717;"TO":58,13995196;"TD":9,748273687;"TS_Subj":33,10326509;"TS_Obj":12,18543846};</v>
      </c>
    </row>
    <row r="142" spans="1:12" x14ac:dyDescent="0.25">
      <c r="A142">
        <v>2012</v>
      </c>
      <c r="B142">
        <v>9</v>
      </c>
      <c r="C142" t="s">
        <v>16</v>
      </c>
      <c r="D142">
        <v>63.593614809999998</v>
      </c>
      <c r="E142">
        <v>57.271028080000001</v>
      </c>
      <c r="F142">
        <v>9.9421722450000001</v>
      </c>
      <c r="G142">
        <v>32.04151822</v>
      </c>
      <c r="H142">
        <v>11.870137939999999</v>
      </c>
      <c r="J142" t="str">
        <f t="shared" si="7"/>
        <v>"sep"</v>
      </c>
      <c r="K142" t="str">
        <f t="shared" si="8"/>
        <v/>
      </c>
      <c r="L142" s="1" t="str">
        <f t="shared" si="9"/>
        <v>{"Month":9;"Title":"sep";"TGP":63,59361481;"TO":57,27102808;"TD":9,942172245;"TS_Subj":32,04151822;"TS_Obj":11,87013794};</v>
      </c>
    </row>
    <row r="143" spans="1:12" x14ac:dyDescent="0.25">
      <c r="A143">
        <v>2012</v>
      </c>
      <c r="B143">
        <v>10</v>
      </c>
      <c r="C143" t="s">
        <v>17</v>
      </c>
      <c r="D143">
        <v>65.757985160000004</v>
      </c>
      <c r="E143">
        <v>59.936132620000002</v>
      </c>
      <c r="F143">
        <v>8.8534533599999996</v>
      </c>
      <c r="G143">
        <v>34.400085140000002</v>
      </c>
      <c r="H143">
        <v>11.88492617</v>
      </c>
      <c r="J143" t="str">
        <f t="shared" si="7"/>
        <v>"oct"</v>
      </c>
      <c r="K143" t="str">
        <f t="shared" si="8"/>
        <v/>
      </c>
      <c r="L143" s="1" t="str">
        <f t="shared" si="9"/>
        <v>{"Month":10;"Title":"oct";"TGP":65,75798516;"TO":59,93613262;"TD":8,85345336;"TS_Subj":34,40008514;"TS_Obj":11,88492617};</v>
      </c>
    </row>
    <row r="144" spans="1:12" x14ac:dyDescent="0.25">
      <c r="A144">
        <v>2012</v>
      </c>
      <c r="B144">
        <v>11</v>
      </c>
      <c r="C144" t="s">
        <v>18</v>
      </c>
      <c r="D144">
        <v>64.307892109999997</v>
      </c>
      <c r="E144">
        <v>58.36083155</v>
      </c>
      <c r="F144">
        <v>9.2477927209999997</v>
      </c>
      <c r="G144">
        <v>32.661750609999999</v>
      </c>
      <c r="H144">
        <v>11.379493719999999</v>
      </c>
      <c r="J144" t="str">
        <f t="shared" si="7"/>
        <v>"nov"</v>
      </c>
      <c r="K144" t="str">
        <f t="shared" si="8"/>
        <v/>
      </c>
      <c r="L144" s="1" t="str">
        <f t="shared" si="9"/>
        <v>{"Month":11;"Title":"nov";"TGP":64,30789211;"TO":58,36083155;"TD":9,247792721;"TS_Subj":32,66175061;"TS_Obj":11,37949372};</v>
      </c>
    </row>
    <row r="145" spans="1:12" x14ac:dyDescent="0.25">
      <c r="A145">
        <v>2012</v>
      </c>
      <c r="B145">
        <v>12</v>
      </c>
      <c r="C145" t="s">
        <v>19</v>
      </c>
      <c r="D145">
        <v>64.57551445</v>
      </c>
      <c r="E145">
        <v>58.408020319999999</v>
      </c>
      <c r="F145">
        <v>9.5508246299999993</v>
      </c>
      <c r="G145">
        <v>30.043022310000001</v>
      </c>
      <c r="H145">
        <v>10.5589358</v>
      </c>
      <c r="J145" t="str">
        <f t="shared" si="7"/>
        <v>"dic"</v>
      </c>
      <c r="K145" t="str">
        <f t="shared" si="8"/>
        <v/>
      </c>
      <c r="L145" s="1" t="str">
        <f t="shared" si="9"/>
        <v>{"Month":12;"Title":"dic";"TGP":64,57551445;"TO":58,40802032;"TD":9,55082463;"TS_Subj":30,04302231;"TS_Obj":10,5589358}]};</v>
      </c>
    </row>
    <row r="146" spans="1:12" x14ac:dyDescent="0.25">
      <c r="A146">
        <v>2013</v>
      </c>
      <c r="B146">
        <v>1</v>
      </c>
      <c r="C146" t="s">
        <v>8</v>
      </c>
      <c r="D146">
        <v>63.867188800000001</v>
      </c>
      <c r="E146">
        <v>56.158550570000003</v>
      </c>
      <c r="F146">
        <v>12.069789829999999</v>
      </c>
      <c r="G146">
        <v>31.2</v>
      </c>
      <c r="H146">
        <v>11.4</v>
      </c>
      <c r="J146" t="str">
        <f t="shared" si="7"/>
        <v>"ene"</v>
      </c>
      <c r="K146" t="str">
        <f t="shared" si="8"/>
        <v>{"Year":2013;"Months":[</v>
      </c>
      <c r="L146" s="1" t="str">
        <f t="shared" si="9"/>
        <v>{"Month":1;"Title":"ene";"TGP":63,8671888;"TO":56,15855057;"TD":12,06978983;"TS_Subj":31,2;"TS_Obj":11,4};</v>
      </c>
    </row>
    <row r="147" spans="1:12" x14ac:dyDescent="0.25">
      <c r="A147">
        <v>2013</v>
      </c>
      <c r="B147">
        <v>2</v>
      </c>
      <c r="C147" t="s">
        <v>9</v>
      </c>
      <c r="D147">
        <v>63.708084849999999</v>
      </c>
      <c r="E147">
        <v>56.197340859999997</v>
      </c>
      <c r="F147">
        <v>11.78931058</v>
      </c>
      <c r="G147">
        <v>30.086260589999998</v>
      </c>
      <c r="H147">
        <v>12.38206686</v>
      </c>
      <c r="J147" t="str">
        <f t="shared" si="7"/>
        <v>"feb"</v>
      </c>
      <c r="K147" t="str">
        <f t="shared" si="8"/>
        <v/>
      </c>
      <c r="L147" s="1" t="str">
        <f t="shared" si="9"/>
        <v>{"Month":2;"Title":"feb";"TGP":63,70808485;"TO":56,19734086;"TD":11,78931058;"TS_Subj":30,08626059;"TS_Obj":12,38206686};</v>
      </c>
    </row>
    <row r="148" spans="1:12" x14ac:dyDescent="0.25">
      <c r="A148">
        <v>2013</v>
      </c>
      <c r="B148">
        <v>3</v>
      </c>
      <c r="C148" t="s">
        <v>10</v>
      </c>
      <c r="D148">
        <v>62.888747199999997</v>
      </c>
      <c r="E148">
        <v>56.470201760000002</v>
      </c>
      <c r="F148">
        <v>10.206195060000001</v>
      </c>
      <c r="G148">
        <v>29.909393560000002</v>
      </c>
      <c r="H148">
        <v>11.289046129999999</v>
      </c>
      <c r="J148" t="str">
        <f t="shared" si="7"/>
        <v>"mar"</v>
      </c>
      <c r="K148" t="str">
        <f t="shared" si="8"/>
        <v/>
      </c>
      <c r="L148" s="1" t="str">
        <f t="shared" si="9"/>
        <v>{"Month":3;"Title":"mar";"TGP":62,8887472;"TO":56,47020176;"TD":10,20619506;"TS_Subj":29,90939356;"TS_Obj":11,28904613};</v>
      </c>
    </row>
    <row r="149" spans="1:12" x14ac:dyDescent="0.25">
      <c r="A149">
        <v>2013</v>
      </c>
      <c r="B149">
        <v>4</v>
      </c>
      <c r="C149" t="s">
        <v>11</v>
      </c>
      <c r="D149">
        <v>63.45649813</v>
      </c>
      <c r="E149">
        <v>57.000645280000001</v>
      </c>
      <c r="F149">
        <v>10.173671410000001</v>
      </c>
      <c r="G149">
        <v>32.602883060000003</v>
      </c>
      <c r="H149">
        <v>11.996175709999999</v>
      </c>
      <c r="J149" t="str">
        <f t="shared" si="7"/>
        <v>"abr"</v>
      </c>
      <c r="K149" t="str">
        <f t="shared" si="8"/>
        <v/>
      </c>
      <c r="L149" s="1" t="str">
        <f t="shared" si="9"/>
        <v>{"Month":4;"Title":"abr";"TGP":63,45649813;"TO":57,00064528;"TD":10,17367141;"TS_Subj":32,60288306;"TS_Obj":11,99617571};</v>
      </c>
    </row>
    <row r="150" spans="1:12" x14ac:dyDescent="0.25">
      <c r="A150">
        <v>2013</v>
      </c>
      <c r="B150">
        <v>5</v>
      </c>
      <c r="C150" t="s">
        <v>12</v>
      </c>
      <c r="D150">
        <v>64.837357359999999</v>
      </c>
      <c r="E150">
        <v>58.72893809</v>
      </c>
      <c r="F150">
        <v>9.4211416349999997</v>
      </c>
      <c r="G150">
        <v>33.72728438</v>
      </c>
      <c r="H150">
        <v>12.121385829999999</v>
      </c>
      <c r="J150" t="str">
        <f t="shared" si="7"/>
        <v>"may"</v>
      </c>
      <c r="K150" t="str">
        <f t="shared" si="8"/>
        <v/>
      </c>
      <c r="L150" s="1" t="str">
        <f t="shared" si="9"/>
        <v>{"Month":5;"Title":"may";"TGP":64,83735736;"TO":58,72893809;"TD":9,421141635;"TS_Subj":33,72728438;"TS_Obj":12,12138583};</v>
      </c>
    </row>
    <row r="151" spans="1:12" x14ac:dyDescent="0.25">
      <c r="A151">
        <v>2013</v>
      </c>
      <c r="B151">
        <v>6</v>
      </c>
      <c r="C151" t="s">
        <v>13</v>
      </c>
      <c r="D151">
        <v>63.729128189999997</v>
      </c>
      <c r="E151">
        <v>57.842673740000002</v>
      </c>
      <c r="F151">
        <v>9.2366781279999994</v>
      </c>
      <c r="G151">
        <v>32.173563700000003</v>
      </c>
      <c r="H151">
        <v>11.34307407</v>
      </c>
      <c r="J151" t="str">
        <f t="shared" si="7"/>
        <v>"jun"</v>
      </c>
      <c r="K151" t="str">
        <f t="shared" si="8"/>
        <v/>
      </c>
      <c r="L151" s="1" t="str">
        <f t="shared" si="9"/>
        <v>{"Month":6;"Title":"jun";"TGP":63,72912819;"TO":57,84267374;"TD":9,236678128;"TS_Subj":32,1735637;"TS_Obj":11,34307407};</v>
      </c>
    </row>
    <row r="152" spans="1:12" x14ac:dyDescent="0.25">
      <c r="A152">
        <v>2013</v>
      </c>
      <c r="B152">
        <v>7</v>
      </c>
      <c r="C152" t="s">
        <v>14</v>
      </c>
      <c r="D152">
        <v>64.146553539999999</v>
      </c>
      <c r="E152">
        <v>57.807773570000002</v>
      </c>
      <c r="F152">
        <v>9.8817155739999993</v>
      </c>
      <c r="G152">
        <v>30.347094810000002</v>
      </c>
      <c r="H152">
        <v>11.76384739</v>
      </c>
      <c r="J152" t="str">
        <f t="shared" si="7"/>
        <v>"jul"</v>
      </c>
      <c r="K152" t="str">
        <f t="shared" si="8"/>
        <v/>
      </c>
      <c r="L152" s="1" t="str">
        <f t="shared" si="9"/>
        <v>{"Month":7;"Title":"jul";"TGP":64,14655354;"TO":57,80777357;"TD":9,881715574;"TS_Subj":30,34709481;"TS_Obj":11,76384739};</v>
      </c>
    </row>
    <row r="153" spans="1:12" x14ac:dyDescent="0.25">
      <c r="A153">
        <v>2013</v>
      </c>
      <c r="B153">
        <v>8</v>
      </c>
      <c r="C153" t="s">
        <v>15</v>
      </c>
      <c r="D153">
        <v>64.575648700000002</v>
      </c>
      <c r="E153">
        <v>58.590243899999997</v>
      </c>
      <c r="F153">
        <v>9.2688264379999996</v>
      </c>
      <c r="G153">
        <v>31.39394695</v>
      </c>
      <c r="H153">
        <v>11.56073344</v>
      </c>
      <c r="J153" t="str">
        <f t="shared" si="7"/>
        <v>"ago"</v>
      </c>
      <c r="K153" t="str">
        <f t="shared" si="8"/>
        <v/>
      </c>
      <c r="L153" s="1" t="str">
        <f t="shared" si="9"/>
        <v>{"Month":8;"Title":"ago";"TGP":64,5756487;"TO":58,5902439;"TD":9,268826438;"TS_Subj":31,39394695;"TS_Obj":11,56073344};</v>
      </c>
    </row>
    <row r="154" spans="1:12" x14ac:dyDescent="0.25">
      <c r="A154">
        <v>2013</v>
      </c>
      <c r="B154">
        <v>9</v>
      </c>
      <c r="C154" t="s">
        <v>16</v>
      </c>
      <c r="D154">
        <v>63.727757220000001</v>
      </c>
      <c r="E154">
        <v>58.006005459999997</v>
      </c>
      <c r="F154">
        <v>8.9784295099999998</v>
      </c>
      <c r="G154">
        <v>28.93024277</v>
      </c>
      <c r="H154">
        <v>10.803597290000001</v>
      </c>
      <c r="J154" t="str">
        <f t="shared" si="7"/>
        <v>"sep"</v>
      </c>
      <c r="K154" t="str">
        <f t="shared" si="8"/>
        <v/>
      </c>
      <c r="L154" s="1" t="str">
        <f t="shared" si="9"/>
        <v>{"Month":9;"Title":"sep";"TGP":63,72775722;"TO":58,00600546;"TD":8,97842951;"TS_Subj":28,93024277;"TS_Obj":10,80359729};</v>
      </c>
    </row>
    <row r="155" spans="1:12" x14ac:dyDescent="0.25">
      <c r="A155">
        <v>2013</v>
      </c>
      <c r="B155">
        <v>10</v>
      </c>
      <c r="C155" t="s">
        <v>17</v>
      </c>
      <c r="D155">
        <v>66.070706430000001</v>
      </c>
      <c r="E155">
        <v>60.921966419999997</v>
      </c>
      <c r="F155">
        <v>7.792776902</v>
      </c>
      <c r="G155">
        <v>32.492363840000003</v>
      </c>
      <c r="H155">
        <v>10.88528107</v>
      </c>
      <c r="J155" t="str">
        <f t="shared" si="7"/>
        <v>"oct"</v>
      </c>
      <c r="K155" t="str">
        <f t="shared" si="8"/>
        <v/>
      </c>
      <c r="L155" s="1" t="str">
        <f t="shared" si="9"/>
        <v>{"Month":10;"Title":"oct";"TGP":66,07070643;"TO":60,92196642;"TD":7,792776902;"TS_Subj":32,49236384;"TS_Obj":10,88528107};</v>
      </c>
    </row>
    <row r="156" spans="1:12" x14ac:dyDescent="0.25">
      <c r="A156">
        <v>2013</v>
      </c>
      <c r="B156">
        <v>11</v>
      </c>
      <c r="C156" t="s">
        <v>18</v>
      </c>
      <c r="D156">
        <v>64.29364726</v>
      </c>
      <c r="E156">
        <v>58.841907810000002</v>
      </c>
      <c r="F156">
        <v>8.4794372130000006</v>
      </c>
      <c r="G156">
        <v>31.72779173</v>
      </c>
      <c r="H156">
        <v>10.682701460000001</v>
      </c>
      <c r="J156" t="str">
        <f t="shared" si="7"/>
        <v>"nov"</v>
      </c>
      <c r="K156" t="str">
        <f t="shared" si="8"/>
        <v/>
      </c>
      <c r="L156" s="1" t="str">
        <f t="shared" si="9"/>
        <v>{"Month":11;"Title":"nov";"TGP":64,29364726;"TO":58,84190781;"TD":8,479437213;"TS_Subj":31,72779173;"TS_Obj":10,68270146};</v>
      </c>
    </row>
    <row r="157" spans="1:12" x14ac:dyDescent="0.25">
      <c r="A157">
        <v>2013</v>
      </c>
      <c r="B157">
        <v>12</v>
      </c>
      <c r="C157" t="s">
        <v>19</v>
      </c>
      <c r="D157">
        <v>64.505395989999997</v>
      </c>
      <c r="E157">
        <v>59.059748120000002</v>
      </c>
      <c r="F157">
        <v>8.4421586550000001</v>
      </c>
      <c r="G157">
        <v>29.816422970000001</v>
      </c>
      <c r="H157">
        <v>10.42195289</v>
      </c>
      <c r="J157" t="str">
        <f t="shared" si="7"/>
        <v>"dic"</v>
      </c>
      <c r="K157" t="str">
        <f t="shared" si="8"/>
        <v/>
      </c>
      <c r="L157" s="1" t="str">
        <f t="shared" si="9"/>
        <v>{"Month":12;"Title":"dic";"TGP":64,50539599;"TO":59,05974812;"TD":8,442158655;"TS_Subj":29,81642297;"TS_Obj":10,42195289}]};</v>
      </c>
    </row>
    <row r="158" spans="1:12" x14ac:dyDescent="0.25">
      <c r="A158">
        <v>2014</v>
      </c>
      <c r="B158">
        <v>1</v>
      </c>
      <c r="C158" t="s">
        <v>8</v>
      </c>
      <c r="D158">
        <v>63.625829379999999</v>
      </c>
      <c r="E158">
        <v>56.562577640000001</v>
      </c>
      <c r="F158">
        <v>11.101233280000001</v>
      </c>
      <c r="G158">
        <v>29.337853160000002</v>
      </c>
      <c r="H158">
        <v>10.637401110000001</v>
      </c>
      <c r="J158" t="str">
        <f t="shared" si="7"/>
        <v>"ene"</v>
      </c>
      <c r="K158" t="str">
        <f t="shared" si="8"/>
        <v>{"Year":2014;"Months":[</v>
      </c>
      <c r="L158" s="1" t="str">
        <f t="shared" si="9"/>
        <v>{"Month":1;"Title":"ene";"TGP":63,62582938;"TO":56,56257764;"TD":11,10123328;"TS_Subj":29,33785316;"TS_Obj":10,63740111};</v>
      </c>
    </row>
    <row r="159" spans="1:12" x14ac:dyDescent="0.25">
      <c r="A159">
        <v>2014</v>
      </c>
      <c r="B159">
        <v>3</v>
      </c>
      <c r="C159" t="s">
        <v>9</v>
      </c>
      <c r="D159">
        <v>63.021953979999999</v>
      </c>
      <c r="E159">
        <v>56.291769850000001</v>
      </c>
      <c r="F159">
        <v>10.679110530000001</v>
      </c>
      <c r="G159">
        <v>28.870481810000001</v>
      </c>
      <c r="H159">
        <v>11.133081349999999</v>
      </c>
      <c r="J159" t="str">
        <f t="shared" si="7"/>
        <v>"feb"</v>
      </c>
      <c r="K159" t="str">
        <f t="shared" si="8"/>
        <v/>
      </c>
      <c r="L159" s="1" t="str">
        <f t="shared" si="9"/>
        <v>{"Month":3;"Title":"feb";"TGP":63,02195398;"TO":56,29176985;"TD":10,67911053;"TS_Subj":28,87048181;"TS_Obj":11,13308135};</v>
      </c>
    </row>
    <row r="160" spans="1:12" x14ac:dyDescent="0.25">
      <c r="A160">
        <v>2014</v>
      </c>
      <c r="B160">
        <v>4</v>
      </c>
      <c r="C160" t="s">
        <v>10</v>
      </c>
      <c r="D160">
        <v>62.84007433</v>
      </c>
      <c r="E160">
        <v>56.723000759999998</v>
      </c>
      <c r="F160">
        <v>9.7343512719999996</v>
      </c>
      <c r="G160">
        <v>26.953581369999998</v>
      </c>
      <c r="H160">
        <v>10.06299523</v>
      </c>
      <c r="J160" t="str">
        <f t="shared" si="7"/>
        <v>"mar"</v>
      </c>
      <c r="K160" t="str">
        <f t="shared" si="8"/>
        <v/>
      </c>
      <c r="L160" s="1" t="str">
        <f t="shared" si="9"/>
        <v>{"Month":4;"Title":"mar";"TGP":62,84007433;"TO":56,72300076;"TD":9,734351272;"TS_Subj":26,95358137;"TS_Obj":10,06299523};</v>
      </c>
    </row>
    <row r="161" spans="1:12" x14ac:dyDescent="0.25">
      <c r="A161">
        <v>2014</v>
      </c>
      <c r="B161">
        <v>5</v>
      </c>
      <c r="C161" t="s">
        <v>11</v>
      </c>
      <c r="D161">
        <v>63.849004399999998</v>
      </c>
      <c r="E161">
        <v>58.124939220000002</v>
      </c>
      <c r="F161">
        <v>8.9650030399999991</v>
      </c>
      <c r="G161">
        <v>26.551670089999998</v>
      </c>
      <c r="H161">
        <v>10.13215699</v>
      </c>
      <c r="J161" t="str">
        <f t="shared" si="7"/>
        <v>"abr"</v>
      </c>
      <c r="K161" t="str">
        <f t="shared" si="8"/>
        <v/>
      </c>
      <c r="L161" s="1" t="str">
        <f t="shared" si="9"/>
        <v>{"Month":5;"Title":"abr";"TGP":63,8490044;"TO":58,12493922;"TD":8,96500304;"TS_Subj":26,55167009;"TS_Obj":10,13215699};</v>
      </c>
    </row>
    <row r="162" spans="1:12" x14ac:dyDescent="0.25">
      <c r="A162">
        <v>2014</v>
      </c>
      <c r="B162">
        <v>6</v>
      </c>
      <c r="C162" t="s">
        <v>12</v>
      </c>
      <c r="D162">
        <v>63.94936285</v>
      </c>
      <c r="E162">
        <v>58.32294641</v>
      </c>
      <c r="F162">
        <v>8.7982368910000002</v>
      </c>
      <c r="G162">
        <v>28.790655940000001</v>
      </c>
      <c r="H162">
        <v>10.79302815</v>
      </c>
      <c r="J162" t="str">
        <f t="shared" si="7"/>
        <v>"may"</v>
      </c>
      <c r="K162" t="str">
        <f t="shared" si="8"/>
        <v/>
      </c>
      <c r="L162" s="1" t="str">
        <f t="shared" si="9"/>
        <v>{"Month":6;"Title":"may";"TGP":63,94936285;"TO":58,32294641;"TD":8,798236891;"TS_Subj":28,79065594;"TS_Obj":10,79302815};</v>
      </c>
    </row>
    <row r="163" spans="1:12" x14ac:dyDescent="0.25">
      <c r="A163">
        <v>2014</v>
      </c>
      <c r="B163">
        <v>7</v>
      </c>
      <c r="C163" t="s">
        <v>13</v>
      </c>
      <c r="D163">
        <v>64.256549969999995</v>
      </c>
      <c r="E163">
        <v>58.348408499999998</v>
      </c>
      <c r="F163">
        <v>9.1946135810000005</v>
      </c>
      <c r="G163">
        <v>28.978873199999999</v>
      </c>
      <c r="H163">
        <v>11.688399</v>
      </c>
      <c r="J163" t="str">
        <f t="shared" si="7"/>
        <v>"jun"</v>
      </c>
      <c r="K163" t="str">
        <f t="shared" si="8"/>
        <v/>
      </c>
      <c r="L163" s="1" t="str">
        <f t="shared" si="9"/>
        <v>{"Month":7;"Title":"jun";"TGP":64,25654997;"TO":58,3484085;"TD":9,194613581;"TS_Subj":28,9788732;"TS_Obj":11,688399};</v>
      </c>
    </row>
    <row r="164" spans="1:12" x14ac:dyDescent="0.25">
      <c r="A164">
        <v>2014</v>
      </c>
      <c r="B164">
        <v>8</v>
      </c>
      <c r="C164" t="s">
        <v>14</v>
      </c>
      <c r="D164">
        <v>63.547010810000003</v>
      </c>
      <c r="E164">
        <v>57.643647659999999</v>
      </c>
      <c r="F164">
        <v>9.2897531420000004</v>
      </c>
      <c r="G164">
        <v>27.655430630000001</v>
      </c>
      <c r="H164">
        <v>10.57766275</v>
      </c>
      <c r="J164" t="str">
        <f t="shared" si="7"/>
        <v>"jul"</v>
      </c>
      <c r="K164" t="str">
        <f t="shared" si="8"/>
        <v/>
      </c>
      <c r="L164" s="1" t="str">
        <f t="shared" si="9"/>
        <v>{"Month":8;"Title":"jul";"TGP":63,54701081;"TO":57,64364766;"TD":9,289753142;"TS_Subj":27,65543063;"TS_Obj":10,57766275};</v>
      </c>
    </row>
    <row r="165" spans="1:12" x14ac:dyDescent="0.25">
      <c r="A165">
        <v>2014</v>
      </c>
      <c r="B165">
        <v>9</v>
      </c>
      <c r="C165" t="s">
        <v>15</v>
      </c>
      <c r="D165">
        <v>64.732375860000005</v>
      </c>
      <c r="E165">
        <v>58.970529300000003</v>
      </c>
      <c r="F165">
        <v>8.9010274840000001</v>
      </c>
      <c r="G165">
        <v>28.502353580000001</v>
      </c>
      <c r="H165">
        <v>10.136512079999999</v>
      </c>
      <c r="J165" t="str">
        <f t="shared" si="7"/>
        <v>"ago"</v>
      </c>
      <c r="K165" t="str">
        <f t="shared" si="8"/>
        <v/>
      </c>
      <c r="L165" s="1" t="str">
        <f t="shared" si="9"/>
        <v>{"Month":9;"Title":"ago";"TGP":64,73237586;"TO":58,9705293;"TD":8,901027484;"TS_Subj":28,50235358;"TS_Obj":10,13651208};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GEIH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Andres Saavedra Cuenca</dc:creator>
  <cp:lastModifiedBy>Orlando Andres Saavedra Cuenca</cp:lastModifiedBy>
  <dcterms:created xsi:type="dcterms:W3CDTF">2015-04-08T20:33:59Z</dcterms:created>
  <dcterms:modified xsi:type="dcterms:W3CDTF">2015-04-08T23:11:05Z</dcterms:modified>
</cp:coreProperties>
</file>